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new_file\统计建模\PLOS ONE\投稿\PLOS_ONE_Final_Submission_20261019\"/>
    </mc:Choice>
  </mc:AlternateContent>
  <bookViews>
    <workbookView windowWidth="24750" windowHeight="12790"/>
  </bookViews>
  <sheets>
    <sheet name="README" sheetId="1" r:id="rId1"/>
    <sheet name="Monthly_338" sheetId="2" r:id="rId2"/>
    <sheet name="Customs_134" sheetId="3" r:id="rId3"/>
    <sheet name="Fig2_observations" sheetId="4" r:id="rId4"/>
    <sheet name="Dictionary" sheetId="5" r:id="rId5"/>
    <sheet name="Source_and_Q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<sst xmlns="http://schemas.openxmlformats.org/spreadsheetml/2006/main" count="10985" uniqueCount="497">
  <si>
    <t>S1 Data | Monthly analysis observations and Figure 2 supporting data</t>
  </si>
  <si>
    <t>Field</t>
  </si>
  <si>
    <t>Description</t>
  </si>
  <si>
    <t>Working paper</t>
  </si>
  <si>
    <t>Renminbi-denominated oil-price movements and inflation dynamics across China’s price system</t>
  </si>
  <si>
    <t>Main observations</t>
  </si>
  <si>
    <t>Monthly_338: 1998-01 through 2026-02; 338 monthly rows</t>
  </si>
  <si>
    <t>Customs observations</t>
  </si>
  <si>
    <t>Customs_134: 2015-01 through 2026-02; HS 27090000 only, 134 rows</t>
  </si>
  <si>
    <t>Figure 2 source</t>
  </si>
  <si>
    <t>Fig2_observations: long format reconstructed from author-supplied raw inputs, NOT the old private 7,774-row figure export</t>
  </si>
  <si>
    <t>Raw file fingerprint</t>
  </si>
  <si>
    <t>10/10 primary input SHA256 match released repository config/raw_inputs.json</t>
  </si>
  <si>
    <t>Provenance</t>
  </si>
  <si>
    <t>Author-supplied 01_raw.zip, using original EIA/FRED/NBS/Customs series; third-party terms remain applicable</t>
  </si>
  <si>
    <t>Primary outcome</t>
  </si>
  <si>
    <t>Monthly change in year-on-year inflation, in percentage points, not month-on-month price inflation</t>
  </si>
  <si>
    <t>Shock variable</t>
  </si>
  <si>
    <t>100 x calendar-month log change of Brent USD/barrel times CNY/USD</t>
  </si>
  <si>
    <t>Lag/lead policy</t>
  </si>
  <si>
    <t>Primary LP two oil-change and two outcome lags; h=0–12 with calendar-aware observations</t>
  </si>
  <si>
    <t>Missing data</t>
  </si>
  <si>
    <t>Blank means unavailable or undefined at transformation boundary; zeros are actual zeros</t>
  </si>
  <si>
    <t>Publication status</t>
  </si>
  <si>
    <t>Final supporting dataset for journal submission. Observation-level and sample consistency checks completed; full independent statistical re-estimation was not performed.</t>
  </si>
  <si>
    <t>Archive identity</t>
  </si>
  <si>
    <t>Supplementary file distinct from GitHub v2.0.0 / Zenodo DOI 10.5281/zenodo.23388839</t>
  </si>
  <si>
    <t>Do not label independent 39-model / MBB / full figure recreation as verified from this workbook; consult the repository VALIDATION.md.</t>
  </si>
  <si>
    <t>Files in this workbook are reconstructed observations. Recomputing regression tables requires the released analysis scripts and historical environment.</t>
  </si>
  <si>
    <t>Short-sample transformation boundary</t>
  </si>
  <si>
    <t>For the formal customs-sample stationary data, restrict the calendar to January 2015–February 2026 before computing differences. January 2015 is the transformation boundary. Full-calendar macroeconomic changes remain unchanged in Monthly_338.</t>
  </si>
  <si>
    <t>Estimation-sample indicators</t>
  </si>
  <si>
    <t>The link1_origin flag identifies the 130 Customs Link 1 months beginning in May 2015. Primary LP eligibility indicators refer only to the long-sample macroeconomic models and must not be substituted for customs-sample eligibility.</t>
  </si>
  <si>
    <t>month</t>
  </si>
  <si>
    <t>brent_usd_per_bbl</t>
  </si>
  <si>
    <t>cny_per_usd</t>
  </si>
  <si>
    <t>oil_rmb_cny_per_bbl</t>
  </si>
  <si>
    <t>dlog_brent</t>
  </si>
  <si>
    <t>dlog_fx</t>
  </si>
  <si>
    <t>dlog_oil_rmb</t>
  </si>
  <si>
    <t>fuel_index_yoy</t>
  </si>
  <si>
    <t>ppi_index_yoy</t>
  </si>
  <si>
    <t>cpi_index_yoy</t>
  </si>
  <si>
    <t>d_fuel_power_inflation</t>
  </si>
  <si>
    <t>d_ppi_inflation</t>
  </si>
  <si>
    <t>d_cpi_inflation</t>
  </si>
  <si>
    <t>purchase_index_yoy</t>
  </si>
  <si>
    <t>indust_va_yoy</t>
  </si>
  <si>
    <t>indust_va_cum_yoy</t>
  </si>
  <si>
    <t>lp_origin_h0</t>
  </si>
  <si>
    <t>lp_origin_h3</t>
  </si>
  <si>
    <t>lp_origin_h6</t>
  </si>
  <si>
    <t>lp_origin_h12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</si>
  <si>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</si>
  <si>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</si>
  <si>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</si>
  <si>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</si>
  <si>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</si>
  <si>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</si>
  <si>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</si>
  <si>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</si>
  <si>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</si>
  <si>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</si>
  <si>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</si>
  <si>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</si>
  <si>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</si>
  <si>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</si>
  <si>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</si>
  <si>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</si>
  <si>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</si>
  <si>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</si>
  <si>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</si>
  <si>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</si>
  <si>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</si>
  <si>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</si>
  <si>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</si>
  <si>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</si>
  <si>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</si>
  <si>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</si>
  <si>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</si>
  <si>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</si>
  <si>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</si>
  <si>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</si>
  <si>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</si>
  <si>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</si>
  <si>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</si>
  <si>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</si>
  <si>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</si>
  <si>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</si>
  <si>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</si>
  <si>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</si>
  <si>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</si>
  <si>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</si>
  <si>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</si>
  <si>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</si>
  <si>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</si>
  <si>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</si>
  <si>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</si>
  <si>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</si>
  <si>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</si>
  <si>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</si>
  <si>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</si>
  <si>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</si>
  <si>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</si>
  <si>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</si>
  <si>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</si>
  <si>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</si>
  <si>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</si>
  <si>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</si>
  <si>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</si>
  <si>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</si>
  <si>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</si>
  <si>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</si>
  <si>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</si>
  <si>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</si>
  <si>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</si>
  <si>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</si>
  <si>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</si>
  <si>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</si>
  <si>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</si>
  <si>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</si>
  <si>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</si>
  <si>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</si>
  <si>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</si>
  <si>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</si>
  <si>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</si>
  <si>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</si>
  <si>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</si>
  <si>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</si>
  <si>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</si>
  <si>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</si>
  <si>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</si>
  <si>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</si>
  <si>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</si>
  <si>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</si>
  <si>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</si>
  <si>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</si>
  <si>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</si>
  <si>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</si>
  <si>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</si>
  <si>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</si>
  <si>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</si>
  <si>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</si>
  <si>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</si>
  <si>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</si>
  <si>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</si>
  <si>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</si>
  <si>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</si>
  <si>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</si>
  <si>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</si>
  <si>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</si>
  <si>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</si>
  <si>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</si>
  <si>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</si>
  <si>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</si>
  <si>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</si>
  <si>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</si>
  <si>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</si>
  <si>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</si>
  <si>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</si>
  <si>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</si>
  <si>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</si>
  <si>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</si>
  <si>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</si>
  <si>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</si>
  <si>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</si>
  <si>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</si>
  <si>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</si>
  <si>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</si>
  <si>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</si>
  <si>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</si>
  <si>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</si>
  <si>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</si>
  <si>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</si>
  <si>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</si>
  <si>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</si>
  <si>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</si>
  <si>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</si>
  <si>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</si>
  <si>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</si>
  <si>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</si>
  <si>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</si>
  <si>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</si>
  <si>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</si>
  <si>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</si>
  <si>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</si>
  <si>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</si>
  <si>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</si>
  <si>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</si>
  <si>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</si>
  <si>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</si>
  <si>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</si>
  <si>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</si>
  <si>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</si>
  <si>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</si>
  <si>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</si>
  <si>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</si>
  <si>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</si>
  <si>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</si>
  <si>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</si>
  <si>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</si>
  <si>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</si>
  <si>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</si>
  <si>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</si>
  <si>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</si>
  <si>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</si>
  <si>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</si>
  <si>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</si>
  <si>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</si>
  <si>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</si>
  <si>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</si>
  <si>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</si>
  <si>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</si>
  <si>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</si>
  <si>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</si>
  <si>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</si>
  <si>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</si>
  <si>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</si>
  <si>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</si>
  <si>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</si>
  <si>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</si>
  <si>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</si>
  <si>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</si>
  <si>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</si>
  <si>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</si>
  <si>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</si>
  <si>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</si>
  <si>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</si>
  <si>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</si>
  <si>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</si>
  <si>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</si>
  <si>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</si>
  <si>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</si>
  <si>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</si>
  <si>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</si>
  <si>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</si>
  <si>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</si>
  <si>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</si>
  <si>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</si>
  <si>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</si>
  <si>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</si>
  <si>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</si>
  <si>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</si>
  <si>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</si>
  <si>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</si>
  <si>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</si>
  <si>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</si>
  <si>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</si>
  <si>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</si>
  <si>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</si>
  <si>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</si>
  <si>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</si>
  <si>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</si>
  <si>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</si>
  <si>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</si>
  <si>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</si>
  <si>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</si>
  <si>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</si>
  <si>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</si>
  <si>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</si>
  <si>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</si>
  <si>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</si>
  <si>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</si>
  <si>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</si>
  <si>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</si>
  <si>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</si>
  <si>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</si>
  <si>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</si>
  <si>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</si>
  <si>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</si>
  <si>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</si>
  <si>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</si>
  <si>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</si>
  <si>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</si>
  <si>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</si>
  <si>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</si>
  <si>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</si>
  <si>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</si>
  <si>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</si>
  <si>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</si>
  <si>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</si>
  <si>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</si>
  <si>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</si>
  <si>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</si>
  <si>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</si>
  <si>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</si>
  <si>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</si>
  <si>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</si>
  <si>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</si>
  <si>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</si>
  <si>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</si>
  <si>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</si>
  <si>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</si>
  <si>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</si>
  <si>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</si>
  <si>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</si>
  <si>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</si>
  <si>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</si>
  <si>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</si>
  <si>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</si>
  <si>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</si>
  <si>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</si>
  <si>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</si>
  <si>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</si>
  <si>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</si>
  <si>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</si>
  <si>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</si>
  <si>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</si>
  <si>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</si>
  <si>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</si>
  <si>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</si>
  <si>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</si>
  <si>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</si>
  <si>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</si>
  <si>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</si>
  <si>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</si>
  <si>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</si>
  <si>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</si>
  <si>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</si>
  <si>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</si>
  <si>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</si>
  <si>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</si>
  <si>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</si>
  <si>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</si>
  <si>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</si>
  <si>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</si>
  <si>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</si>
  <si>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</si>
  <si>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</si>
  <si>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</si>
  <si>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</si>
  <si>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</si>
  <si>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</si>
  <si>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</si>
  <si>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</si>
  <si>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</si>
  <si>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</si>
  <si>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</si>
  <si>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</si>
  <si>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</si>
  <si>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</si>
  <si>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</si>
  <si>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</si>
  <si>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</si>
  <si>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</si>
  <si>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</si>
  <si>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</si>
  <si>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</si>
  <si>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</si>
  <si>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</si>
  <si>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</si>
  <si>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</si>
  <si>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</si>
  <si>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</si>
  <si>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</si>
  <si>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</si>
  <si>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</si>
  <si>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</si>
  <si>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</si>
  <si>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</si>
  <si>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</si>
  <si>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</si>
  <si>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</si>
  <si>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</si>
  <si>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</si>
  <si>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</si>
  <si>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</si>
  <si>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</si>
  <si>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</si>
  <si>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</si>
  <si>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</si>
  <si>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</si>
  <si>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</si>
  <si>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</si>
  <si>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</si>
  <si>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</si>
  <si>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</si>
  <si>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</si>
  <si>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</si>
  <si>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</si>
  <si>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</si>
  <si>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</si>
  <si>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</si>
  <si>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</si>
  <si>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</si>
  <si>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</si>
  <si>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</si>
  <si>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</si>
  <si>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</si>
  <si>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</si>
  <si>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</si>
  <si>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HS</t>
  </si>
  <si>
    <t>import_quantity_kg</t>
  </si>
  <si>
    <t>import_value_cny</t>
  </si>
  <si>
    <t>import_unit_value_cny_per_kg</t>
  </si>
  <si>
    <t>dlog_import_quantity</t>
  </si>
  <si>
    <t>dlog_import_unit_value</t>
  </si>
  <si>
    <t>link1_origin</t>
  </si>
  <si>
    <t>27090000</t>
  </si>
  <si>
    <t>variable</t>
  </si>
  <si>
    <t>value</t>
  </si>
  <si>
    <t>available</t>
  </si>
  <si>
    <t>primary_lp_origin_h0</t>
  </si>
  <si>
    <t>primary_lp_origin_h12</t>
  </si>
  <si>
    <t>units</t>
  </si>
  <si>
    <t>meaning_and_transformation</t>
  </si>
  <si>
    <t>provider_or_role</t>
  </si>
  <si>
    <t>YYYY-MM</t>
  </si>
  <si>
    <t>Monthly calendar, not row-adjacent imputed records</t>
  </si>
  <si>
    <t>all</t>
  </si>
  <si>
    <t>USD/barrel</t>
  </si>
  <si>
    <t>EIA monthly Brent RBRTE, as provided</t>
  </si>
  <si>
    <t>EIA</t>
  </si>
  <si>
    <t>CNY/USD</t>
  </si>
  <si>
    <t>FRED EXCHUS monthly average, CNY per USD, no inversion</t>
  </si>
  <si>
    <t>FRED</t>
  </si>
  <si>
    <t>CNY/barrel</t>
  </si>
  <si>
    <t>brent_usd_per_bbl x cny_per_usd</t>
  </si>
  <si>
    <t>Derived</t>
  </si>
  <si>
    <t>approx %</t>
  </si>
  <si>
    <t>100 x ln(Brent_t/Brent_(t-1))</t>
  </si>
  <si>
    <t>100 x ln(FX_t/FX_(t-1))</t>
  </si>
  <si>
    <t>100 x ln(oil_rmb_t/oil_rmb_(t-1)); exact log identity with Brent and FX</t>
  </si>
  <si>
    <t>index; YoY=100 base</t>
  </si>
  <si>
    <t>Fuel and power purchase price index, previous-year same month=100</t>
  </si>
  <si>
    <t>NBS</t>
  </si>
  <si>
    <t>Industrial producer factory-gate price index</t>
  </si>
  <si>
    <t>Headline CPI index; four mutually exclusive source-year slices</t>
  </si>
  <si>
    <t>percentage points</t>
  </si>
  <si>
    <t>Fuel index_t-Fuel index_(t-1); monthly change in YoY inflation</t>
  </si>
  <si>
    <t>PPI index_t-PPI index_(t-1); monthly change in YoY inflation</t>
  </si>
  <si>
    <t>CPI index_t-CPI index_(t-1); monthly change in YoY inflation</t>
  </si>
  <si>
    <t>index</t>
  </si>
  <si>
    <t>Industrial purchase price index, previous-year same month=100</t>
  </si>
  <si>
    <t>percent</t>
  </si>
  <si>
    <t>Reported single-month YoY growth; naturally missing Jan/Feb</t>
  </si>
  <si>
    <t>Reported cumulative YoY growth; NOT interchangeable with monthly YoY</t>
  </si>
  <si>
    <t>0/1</t>
  </si>
  <si>
    <t>Eligible origin month for p=2, h=0 local projection</t>
  </si>
  <si>
    <t>Eligible origin month for p=2, h=3 local projection</t>
  </si>
  <si>
    <t>Eligible origin month for p=2, h=6 local projection</t>
  </si>
  <si>
    <t>Eligible origin month for p=2, h=12 local projection</t>
  </si>
  <si>
    <t>code</t>
  </si>
  <si>
    <t>Customs original crude oil commodity code, 27090000</t>
  </si>
  <si>
    <t>Customs</t>
  </si>
  <si>
    <t>kg</t>
  </si>
  <si>
    <t>First quantity of national imports, not barrels</t>
  </si>
  <si>
    <t>CNY</t>
  </si>
  <si>
    <t>Customs import RMB value, not a rate</t>
  </si>
  <si>
    <t>CNY/kg</t>
  </si>
  <si>
    <t>Customs import value/first quantity; not quality-adjusted price index</t>
  </si>
  <si>
    <t>100 x adjacent-month log change of import quantity</t>
  </si>
  <si>
    <t>100 x adjacent-month log change of import unit value</t>
  </si>
  <si>
    <t>Fixed lag order p=3 Customs Link 1, origins start May 2015</t>
  </si>
  <si>
    <t/>
  </si>
  <si>
    <t>see README</t>
  </si>
  <si>
    <t>Observed/defined value available in figure-data long table</t>
  </si>
  <si>
    <t>Macro LP origin eligibility flag for horizon zero</t>
  </si>
  <si>
    <t>Macro LP origin eligibility flag for horizon twelve</t>
  </si>
  <si>
    <t>source</t>
  </si>
  <si>
    <t>series</t>
  </si>
  <si>
    <t>official_url</t>
  </si>
  <si>
    <t>distribution_note</t>
  </si>
  <si>
    <t>EIA Brent</t>
  </si>
  <si>
    <t>RBRTE</t>
  </si>
  <si>
    <t>https://www.eia.gov/dnav/pet/hist/LeafHandler.ashx?n=PET&amp;s=RBRTE&amp;f=M</t>
  </si>
  <si>
    <t>Original provider dataset; check Thomson Reuters credit and terms prior to redistributed supplement.</t>
  </si>
  <si>
    <t>Federal Reserve / FRED</t>
  </si>
  <si>
    <t>EXCHUS</t>
  </si>
  <si>
    <t>https://fred.stlouisfed.org/series/EXCHUS</t>
  </si>
  <si>
    <t>Monthly EXCHUS observations also included in GitHub release.</t>
  </si>
  <si>
    <t>NBS China</t>
  </si>
  <si>
    <t>CPI / PPI / Fuel / industrial purchase / industrial value added</t>
  </si>
  <si>
    <t>https://data.stats.gov.cn/</t>
  </si>
  <si>
    <t>Official monthly query results; downstream reuse conditions must be assessed.</t>
  </si>
  <si>
    <t>China Customs</t>
  </si>
  <si>
    <t>HS27090000 monthly imports</t>
  </si>
  <si>
    <t>https://stats.customs.gov.cn/</t>
  </si>
  <si>
    <t>First quantity kg; RMB value CNY; 134 months; conditions of public redistribution are author responsibility.</t>
  </si>
  <si>
    <t>QA measure</t>
  </si>
  <si>
    <t>Value</t>
  </si>
  <si>
    <t>Primary input SHA256 matches</t>
  </si>
  <si>
    <t>10 / 10</t>
  </si>
  <si>
    <t>Calendar months (1998-01–2026-02)</t>
  </si>
  <si>
    <t>Customs months (2015-01–2026-02)</t>
  </si>
  <si>
    <t>Eligible LP origin h=0</t>
  </si>
  <si>
    <t>Eligible LP origin h=12</t>
  </si>
  <si>
    <t>Customs Link1 p=3 observations</t>
  </si>
  <si>
    <t>Excluded raw CPI placeholders</t>
  </si>
  <si>
    <t>The source OOXML values 66 and 40 are shared-string indices representing blank cells, not numeric CPI observations. No invalid CPI placeholders were included.</t>
  </si>
  <si>
    <t>Crude-oil HS code</t>
  </si>
  <si>
    <t>Excluded other customs code</t>
  </si>
  <si>
    <t>27102000</t>
  </si>
  <si>
    <t>Quantitative independence</t>
  </si>
  <si>
    <t>Raw data -&gt; stationary transformations only; no models refit for this file</t>
  </si>
  <si>
    <t>Reproduction limits</t>
  </si>
  <si>
    <t>The reconstructed Figure 2 observations were checked against the frozen 7,774-row source, including coverage, distributions, eligibility indicators and all 64 outliers. The historical source file is not separately redistributed.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</si>
</sst>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0.0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C55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176" fontId="0" fillId="0" borderId="0" xfId="49" applyNumberFormat="1" applyFont="1" applyFill="1" applyBorder="1"/>
    <xf numFmtId="3" fontId="0" fillId="0" borderId="0" xfId="49" applyNumberFormat="1" applyFont="1" applyFill="1" applyBorder="1"/>
    <xf numFmtId="1" fontId="0" fillId="0" borderId="0" xfId="49" applyNumberFormat="1" applyFont="1" applyFill="1" applyBorder="1"/>
    <xf numFmtId="177" fontId="0" fillId="0" borderId="0" xfId="49" applyNumberFormat="1" applyFont="1" applyFill="1" applyBorder="1"/>
    <xf numFmtId="0" fontId="2" fillId="2" borderId="0" xfId="49" applyNumberFormat="1" applyFont="1" applyFill="1" applyBorder="1"/>
    <xf numFmtId="0" fontId="1" fillId="3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9"/>
  <sheetViews>
    <sheetView tabSelected="1" workbookViewId="0">
      <selection activeCell="B25" sqref="B25"/>
    </sheetView>
  </sheetViews>
  <sheetFormatPr defaultColWidth="9" defaultRowHeight="14" outlineLevelCol="4"/>
  <cols>
    <col min="1" max="1" width="30" customWidth="1"/>
    <col min="2" max="2" width="223.25" customWidth="1"/>
  </cols>
  <sheetData>
    <row r="1" ht="34" customHeight="1" spans="1:5">
      <c r="A1" s="7" t="s">
        <v>0</v>
      </c>
      <c r="B1" s="7"/>
      <c r="C1" s="7"/>
      <c r="D1" s="7"/>
      <c r="E1" s="7"/>
    </row>
    <row r="3" spans="1:5">
      <c r="A3" s="8" t="s">
        <v>1</v>
      </c>
      <c r="B3" s="8" t="s">
        <v>2</v>
      </c>
    </row>
    <row r="4" ht="25" customHeight="1" spans="1:5">
      <c r="A4" t="s">
        <v>3</v>
      </c>
      <c r="B4" t="s">
        <v>4</v>
      </c>
    </row>
    <row r="5" ht="25" customHeight="1" spans="1:5">
      <c r="A5" t="s">
        <v>5</v>
      </c>
      <c r="B5" t="s">
        <v>6</v>
      </c>
    </row>
    <row r="6" ht="25" customHeight="1" spans="1:5">
      <c r="A6" t="s">
        <v>7</v>
      </c>
      <c r="B6" t="s">
        <v>8</v>
      </c>
    </row>
    <row r="7" ht="25" customHeight="1" spans="1:5">
      <c r="A7" t="s">
        <v>9</v>
      </c>
      <c r="B7" t="s">
        <v>10</v>
      </c>
    </row>
    <row r="8" ht="25" customHeight="1" spans="1:5">
      <c r="A8" t="s">
        <v>11</v>
      </c>
      <c r="B8" t="s">
        <v>12</v>
      </c>
    </row>
    <row r="9" ht="25" customHeight="1" spans="1:5">
      <c r="A9" t="s">
        <v>13</v>
      </c>
      <c r="B9" t="s">
        <v>14</v>
      </c>
    </row>
    <row r="10" ht="25" customHeight="1" spans="1:5">
      <c r="A10" t="s">
        <v>15</v>
      </c>
      <c r="B10" t="s">
        <v>16</v>
      </c>
    </row>
    <row r="11" ht="25" customHeight="1" spans="1:5">
      <c r="A11" t="s">
        <v>17</v>
      </c>
      <c r="B11" t="s">
        <v>18</v>
      </c>
    </row>
    <row r="12" ht="25" customHeight="1" spans="1:5">
      <c r="A12" t="s">
        <v>19</v>
      </c>
      <c r="B12" t="s">
        <v>20</v>
      </c>
    </row>
    <row r="13" ht="25" customHeight="1" spans="1:5">
      <c r="A13" t="s">
        <v>21</v>
      </c>
      <c r="B13" t="s">
        <v>22</v>
      </c>
    </row>
    <row r="14" ht="25" customHeight="1" spans="1:5">
      <c r="A14" t="s">
        <v>23</v>
      </c>
      <c r="B14" t="s">
        <v>24</v>
      </c>
    </row>
    <row r="15" ht="25" customHeight="1" spans="1:5">
      <c r="A15" t="s">
        <v>25</v>
      </c>
      <c r="B15" t="s">
        <v>26</v>
      </c>
    </row>
    <row r="16" ht="25" customHeight="1" spans="1:5">
      <c r="A16" s="2" t="s">
        <v>27</v>
      </c>
      <c r="B16" s="2"/>
      <c r="C16" s="2"/>
      <c r="D16" s="2"/>
      <c r="E16" s="2"/>
    </row>
    <row r="17" ht="25" customHeight="1" spans="1:2">
      <c r="A17" t="s">
        <v>28</v>
      </c>
    </row>
    <row r="18" ht="25" customHeight="1" spans="1:2">
      <c r="A18" t="s">
        <v>29</v>
      </c>
      <c r="B18" t="s">
        <v>30</v>
      </c>
    </row>
    <row r="19" ht="25" customHeight="1" spans="1:2">
      <c r="A19" t="s">
        <v>31</v>
      </c>
      <c r="B19" t="s">
        <v>32</v>
      </c>
    </row>
  </sheetData>
  <mergeCells count="2">
    <mergeCell ref="A1:E1"/>
    <mergeCell ref="A16:E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3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0" width="18" customWidth="1"/>
  </cols>
  <sheetData>
    <row r="1" ht="28" customHeight="1" spans="1:2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</row>
    <row r="2" spans="1:20">
      <c r="A2" t="s">
        <v>53</v>
      </c>
      <c r="B2" s="3">
        <v>15.19</v>
      </c>
      <c r="C2" s="3">
        <v>8.3094</v>
      </c>
      <c r="D2" s="3">
        <f t="shared" ref="D2:D65" si="0" xml:space="preserve">B2*C2</f>
        <v>126.219786</v>
      </c>
      <c r="E2" s="3" t="str">
        <f xml:space="preserve">""</f>
        <v/>
      </c>
      <c r="F2" s="3" t="str">
        <f xml:space="preserve">""</f>
        <v/>
      </c>
      <c r="G2" s="3" t="str">
        <f xml:space="preserve">""</f>
        <v/>
      </c>
      <c r="H2" s="6">
        <v>105.9</v>
      </c>
      <c r="I2" s="6">
        <v>98.7</v>
      </c>
      <c r="J2" s="6">
        <v>100.3</v>
      </c>
      <c r="K2" s="3" t="str">
        <f xml:space="preserve">""</f>
        <v/>
      </c>
      <c r="L2" s="3" t="str">
        <f xml:space="preserve">""</f>
        <v/>
      </c>
      <c r="M2" s="3" t="str">
        <f xml:space="preserve">""</f>
        <v/>
      </c>
      <c r="N2" s="3">
        <v>99.6</v>
      </c>
      <c r="O2" s="3"/>
      <c r="P2" s="3"/>
      <c r="Q2" s="5">
        <f t="shared" ref="Q2:Q65" si="1" xml:space="preserve">IF(ROW()&gt;=5,1,0)</f>
        <v>0</v>
      </c>
      <c r="R2" s="5">
        <f t="shared" ref="R2:R65" si="2" xml:space="preserve">IF(AND(ROW()&gt;=5,ROW()+3&lt;=339),1,0)</f>
        <v>0</v>
      </c>
      <c r="S2" s="5">
        <f t="shared" ref="S2:S65" si="3" xml:space="preserve">IF(AND(ROW()&gt;=5,ROW()+6&lt;=339),1,0)</f>
        <v>0</v>
      </c>
      <c r="T2" s="5">
        <f t="shared" ref="T2:T65" si="4" xml:space="preserve">IF(AND(ROW()&gt;=5,ROW()+12&lt;=339),1,0)</f>
        <v>0</v>
      </c>
    </row>
    <row r="3" spans="1:20">
      <c r="A3" t="s">
        <v>54</v>
      </c>
      <c r="B3" s="3">
        <v>14.07</v>
      </c>
      <c r="C3" s="3">
        <v>8.3072</v>
      </c>
      <c r="D3" s="3">
        <f t="shared" si="0"/>
        <v>116.882304</v>
      </c>
      <c r="E3" s="3">
        <f t="shared" ref="E3:E66" si="5" xml:space="preserve">100*LN(B3/B2)</f>
        <v>-7.65924454813837</v>
      </c>
      <c r="F3" s="3">
        <f t="shared" ref="F3:F66" si="6" xml:space="preserve">100*LN(C3/C2)</f>
        <v>-0.0264795447065591</v>
      </c>
      <c r="G3" s="3">
        <f t="shared" ref="G3:G66" si="7" xml:space="preserve">100*LN(D3/D2)</f>
        <v>-7.68572409284493</v>
      </c>
      <c r="H3" s="6">
        <v>101.5</v>
      </c>
      <c r="I3" s="6">
        <v>97.4</v>
      </c>
      <c r="J3" s="6">
        <v>99.9</v>
      </c>
      <c r="K3" s="3">
        <f t="shared" ref="K3:K66" si="8" xml:space="preserve">H3-H2</f>
        <v>-4.40000000000001</v>
      </c>
      <c r="L3" s="3">
        <f t="shared" ref="L3:L66" si="9" xml:space="preserve">I3-I2</f>
        <v>-1.3</v>
      </c>
      <c r="M3" s="3">
        <f t="shared" ref="M3:M66" si="10" xml:space="preserve">J3-J2</f>
        <v>-0.399999999999991</v>
      </c>
      <c r="N3" s="3">
        <v>98.3</v>
      </c>
      <c r="O3" s="3"/>
      <c r="P3" s="3"/>
      <c r="Q3" s="5">
        <f t="shared" si="1"/>
        <v>0</v>
      </c>
      <c r="R3" s="5">
        <f t="shared" si="2"/>
        <v>0</v>
      </c>
      <c r="S3" s="5">
        <f t="shared" si="3"/>
        <v>0</v>
      </c>
      <c r="T3" s="5">
        <f t="shared" si="4"/>
        <v>0</v>
      </c>
    </row>
    <row r="4" spans="1:20">
      <c r="A4" t="s">
        <v>55</v>
      </c>
      <c r="B4" s="3">
        <v>13.1</v>
      </c>
      <c r="C4" s="3">
        <v>8.3076</v>
      </c>
      <c r="D4" s="3">
        <f t="shared" si="0"/>
        <v>108.82956</v>
      </c>
      <c r="E4" s="3">
        <f t="shared" si="5"/>
        <v>-7.14326409191919</v>
      </c>
      <c r="F4" s="3">
        <f t="shared" si="6"/>
        <v>0.00481498423186118</v>
      </c>
      <c r="G4" s="3">
        <f t="shared" si="7"/>
        <v>-7.13844910768733</v>
      </c>
      <c r="H4" s="6">
        <v>100.7</v>
      </c>
      <c r="I4" s="6">
        <v>96.8</v>
      </c>
      <c r="J4" s="6">
        <v>100.7</v>
      </c>
      <c r="K4" s="3">
        <f t="shared" si="8"/>
        <v>-0.799999999999997</v>
      </c>
      <c r="L4" s="3">
        <f t="shared" si="9"/>
        <v>-0.600000000000009</v>
      </c>
      <c r="M4" s="3">
        <f t="shared" si="10"/>
        <v>0.799999999999997</v>
      </c>
      <c r="N4" s="3">
        <v>97.7</v>
      </c>
      <c r="O4" s="3"/>
      <c r="P4" s="3"/>
      <c r="Q4" s="5">
        <f t="shared" si="1"/>
        <v>0</v>
      </c>
      <c r="R4" s="5">
        <f t="shared" si="2"/>
        <v>0</v>
      </c>
      <c r="S4" s="5">
        <f t="shared" si="3"/>
        <v>0</v>
      </c>
      <c r="T4" s="5">
        <f t="shared" si="4"/>
        <v>0</v>
      </c>
    </row>
    <row r="5" spans="1:20">
      <c r="A5" t="s">
        <v>56</v>
      </c>
      <c r="B5" s="3">
        <v>13.53</v>
      </c>
      <c r="C5" s="3">
        <v>8.3058</v>
      </c>
      <c r="D5" s="3">
        <f t="shared" si="0"/>
        <v>112.377474</v>
      </c>
      <c r="E5" s="3">
        <f t="shared" si="5"/>
        <v>3.22972119755907</v>
      </c>
      <c r="F5" s="3">
        <f t="shared" si="6"/>
        <v>-0.0216692550235938</v>
      </c>
      <c r="G5" s="3">
        <f t="shared" si="7"/>
        <v>3.20805194253549</v>
      </c>
      <c r="H5" s="6">
        <v>100.3</v>
      </c>
      <c r="I5" s="6">
        <v>96.3</v>
      </c>
      <c r="J5" s="6">
        <v>99.7</v>
      </c>
      <c r="K5" s="3">
        <f t="shared" si="8"/>
        <v>-0.400000000000006</v>
      </c>
      <c r="L5" s="3">
        <f t="shared" si="9"/>
        <v>-0.5</v>
      </c>
      <c r="M5" s="3">
        <f t="shared" si="10"/>
        <v>-1</v>
      </c>
      <c r="N5" s="3">
        <v>97.3</v>
      </c>
      <c r="O5" s="3"/>
      <c r="P5" s="3"/>
      <c r="Q5" s="5">
        <f t="shared" si="1"/>
        <v>1</v>
      </c>
      <c r="R5" s="5">
        <f t="shared" si="2"/>
        <v>1</v>
      </c>
      <c r="S5" s="5">
        <f t="shared" si="3"/>
        <v>1</v>
      </c>
      <c r="T5" s="5">
        <f t="shared" si="4"/>
        <v>1</v>
      </c>
    </row>
    <row r="6" spans="1:20">
      <c r="A6" t="s">
        <v>57</v>
      </c>
      <c r="B6" s="3">
        <v>14.36</v>
      </c>
      <c r="C6" s="3">
        <v>8.3084</v>
      </c>
      <c r="D6" s="3">
        <f t="shared" si="0"/>
        <v>119.308624</v>
      </c>
      <c r="E6" s="3">
        <f t="shared" si="5"/>
        <v>5.95371214373814</v>
      </c>
      <c r="F6" s="3">
        <f t="shared" si="6"/>
        <v>0.0312985280209244</v>
      </c>
      <c r="G6" s="3">
        <f t="shared" si="7"/>
        <v>5.98501067175906</v>
      </c>
      <c r="H6" s="6">
        <v>98.4</v>
      </c>
      <c r="I6" s="6">
        <v>95.5</v>
      </c>
      <c r="J6" s="6">
        <v>99</v>
      </c>
      <c r="K6" s="3">
        <f t="shared" si="8"/>
        <v>-1.89999999999999</v>
      </c>
      <c r="L6" s="3">
        <f t="shared" si="9"/>
        <v>-0.799999999999997</v>
      </c>
      <c r="M6" s="3">
        <f t="shared" si="10"/>
        <v>-0.700000000000003</v>
      </c>
      <c r="N6" s="3">
        <v>94.7</v>
      </c>
      <c r="O6" s="3"/>
      <c r="P6" s="3"/>
      <c r="Q6" s="5">
        <f t="shared" si="1"/>
        <v>1</v>
      </c>
      <c r="R6" s="5">
        <f t="shared" si="2"/>
        <v>1</v>
      </c>
      <c r="S6" s="5">
        <f t="shared" si="3"/>
        <v>1</v>
      </c>
      <c r="T6" s="5">
        <f t="shared" si="4"/>
        <v>1</v>
      </c>
    </row>
    <row r="7" spans="1:20">
      <c r="A7" t="s">
        <v>58</v>
      </c>
      <c r="B7" s="3">
        <v>12.21</v>
      </c>
      <c r="C7" s="3">
        <v>8.31</v>
      </c>
      <c r="D7" s="3">
        <f t="shared" si="0"/>
        <v>101.4651</v>
      </c>
      <c r="E7" s="3">
        <f t="shared" si="5"/>
        <v>-16.2191275497465</v>
      </c>
      <c r="F7" s="3">
        <f t="shared" si="6"/>
        <v>0.0192557647540603</v>
      </c>
      <c r="G7" s="3">
        <f t="shared" si="7"/>
        <v>-16.1998717849924</v>
      </c>
      <c r="H7" s="6">
        <v>98.4</v>
      </c>
      <c r="I7" s="6">
        <v>95.1</v>
      </c>
      <c r="J7" s="6">
        <v>98.7</v>
      </c>
      <c r="K7" s="3">
        <f t="shared" si="8"/>
        <v>0</v>
      </c>
      <c r="L7" s="3">
        <f t="shared" si="9"/>
        <v>-0.400000000000006</v>
      </c>
      <c r="M7" s="3">
        <f t="shared" si="10"/>
        <v>-0.299999999999997</v>
      </c>
      <c r="N7" s="3">
        <v>94.8</v>
      </c>
      <c r="O7" s="3"/>
      <c r="P7" s="3"/>
      <c r="Q7" s="5">
        <f t="shared" si="1"/>
        <v>1</v>
      </c>
      <c r="R7" s="5">
        <f t="shared" si="2"/>
        <v>1</v>
      </c>
      <c r="S7" s="5">
        <f t="shared" si="3"/>
        <v>1</v>
      </c>
      <c r="T7" s="5">
        <f t="shared" si="4"/>
        <v>1</v>
      </c>
    </row>
    <row r="8" spans="1:20">
      <c r="A8" t="s">
        <v>59</v>
      </c>
      <c r="B8" s="3">
        <v>12.08</v>
      </c>
      <c r="C8" s="3">
        <v>8.31</v>
      </c>
      <c r="D8" s="3">
        <f t="shared" si="0"/>
        <v>100.3848</v>
      </c>
      <c r="E8" s="3">
        <f t="shared" si="5"/>
        <v>-1.07040956159445</v>
      </c>
      <c r="F8" s="3">
        <f t="shared" si="6"/>
        <v>0</v>
      </c>
      <c r="G8" s="3">
        <f t="shared" si="7"/>
        <v>-1.07040956159443</v>
      </c>
      <c r="H8" s="6">
        <v>95.8</v>
      </c>
      <c r="I8" s="6">
        <v>95</v>
      </c>
      <c r="J8" s="6">
        <v>98.6</v>
      </c>
      <c r="K8" s="3">
        <f t="shared" si="8"/>
        <v>-2.60000000000001</v>
      </c>
      <c r="L8" s="3">
        <f t="shared" si="9"/>
        <v>-0.0999999999999943</v>
      </c>
      <c r="M8" s="3">
        <f t="shared" si="10"/>
        <v>-0.100000000000009</v>
      </c>
      <c r="N8" s="3">
        <v>94</v>
      </c>
      <c r="O8" s="3">
        <v>7.6</v>
      </c>
      <c r="P8" s="3">
        <v>7.8</v>
      </c>
      <c r="Q8" s="5">
        <f t="shared" si="1"/>
        <v>1</v>
      </c>
      <c r="R8" s="5">
        <f t="shared" si="2"/>
        <v>1</v>
      </c>
      <c r="S8" s="5">
        <f t="shared" si="3"/>
        <v>1</v>
      </c>
      <c r="T8" s="5">
        <f t="shared" si="4"/>
        <v>1</v>
      </c>
    </row>
    <row r="9" spans="1:20">
      <c r="A9" t="s">
        <v>60</v>
      </c>
      <c r="B9" s="3">
        <v>11.91</v>
      </c>
      <c r="C9" s="3">
        <v>8.31</v>
      </c>
      <c r="D9" s="3">
        <f t="shared" si="0"/>
        <v>98.9721</v>
      </c>
      <c r="E9" s="3">
        <f t="shared" si="5"/>
        <v>-1.41728091394602</v>
      </c>
      <c r="F9" s="3">
        <f t="shared" si="6"/>
        <v>0</v>
      </c>
      <c r="G9" s="3">
        <f t="shared" si="7"/>
        <v>-1.41728091394602</v>
      </c>
      <c r="H9" s="6">
        <v>95.7</v>
      </c>
      <c r="I9" s="6">
        <v>94.5</v>
      </c>
      <c r="J9" s="6">
        <v>98.6</v>
      </c>
      <c r="K9" s="3">
        <f t="shared" si="8"/>
        <v>-0.0999999999999943</v>
      </c>
      <c r="L9" s="3">
        <f t="shared" si="9"/>
        <v>-0.5</v>
      </c>
      <c r="M9" s="3">
        <f t="shared" si="10"/>
        <v>0</v>
      </c>
      <c r="N9" s="3">
        <v>92.9</v>
      </c>
      <c r="O9" s="3">
        <v>7.9</v>
      </c>
      <c r="P9" s="3">
        <v>7.8</v>
      </c>
      <c r="Q9" s="5">
        <f t="shared" si="1"/>
        <v>1</v>
      </c>
      <c r="R9" s="5">
        <f t="shared" si="2"/>
        <v>1</v>
      </c>
      <c r="S9" s="5">
        <f t="shared" si="3"/>
        <v>1</v>
      </c>
      <c r="T9" s="5">
        <f t="shared" si="4"/>
        <v>1</v>
      </c>
    </row>
    <row r="10" spans="1:20">
      <c r="A10" t="s">
        <v>61</v>
      </c>
      <c r="B10" s="3">
        <v>13.34</v>
      </c>
      <c r="C10" s="3">
        <v>8.3055</v>
      </c>
      <c r="D10" s="3">
        <f t="shared" si="0"/>
        <v>110.79537</v>
      </c>
      <c r="E10" s="3">
        <f t="shared" si="5"/>
        <v>11.3388657120269</v>
      </c>
      <c r="F10" s="3">
        <f t="shared" si="6"/>
        <v>-0.0541662918362322</v>
      </c>
      <c r="G10" s="3">
        <f t="shared" si="7"/>
        <v>11.2846994201907</v>
      </c>
      <c r="H10" s="6">
        <v>95.7</v>
      </c>
      <c r="I10" s="6">
        <v>95.8</v>
      </c>
      <c r="J10" s="6">
        <v>98.5</v>
      </c>
      <c r="K10" s="3">
        <f t="shared" si="8"/>
        <v>0</v>
      </c>
      <c r="L10" s="3">
        <f t="shared" si="9"/>
        <v>1.3</v>
      </c>
      <c r="M10" s="3">
        <f t="shared" si="10"/>
        <v>-0.0999999999999943</v>
      </c>
      <c r="N10" s="3">
        <v>94.1</v>
      </c>
      <c r="O10" s="3">
        <v>10.2</v>
      </c>
      <c r="P10" s="3">
        <v>8</v>
      </c>
      <c r="Q10" s="5">
        <f t="shared" si="1"/>
        <v>1</v>
      </c>
      <c r="R10" s="5">
        <f t="shared" si="2"/>
        <v>1</v>
      </c>
      <c r="S10" s="5">
        <f t="shared" si="3"/>
        <v>1</v>
      </c>
      <c r="T10" s="5">
        <f t="shared" si="4"/>
        <v>1</v>
      </c>
    </row>
    <row r="11" spans="1:20">
      <c r="A11" t="s">
        <v>62</v>
      </c>
      <c r="B11" s="3">
        <v>12.7</v>
      </c>
      <c r="C11" s="3">
        <v>8.2778</v>
      </c>
      <c r="D11" s="3">
        <f t="shared" si="0"/>
        <v>105.12806</v>
      </c>
      <c r="E11" s="3">
        <f t="shared" si="5"/>
        <v>-4.91650470229321</v>
      </c>
      <c r="F11" s="3">
        <f t="shared" si="6"/>
        <v>-0.33407133395452</v>
      </c>
      <c r="G11" s="3">
        <f t="shared" si="7"/>
        <v>-5.25057603624774</v>
      </c>
      <c r="H11" s="6">
        <v>97</v>
      </c>
      <c r="I11" s="6">
        <v>94.3</v>
      </c>
      <c r="J11" s="6">
        <v>98.9</v>
      </c>
      <c r="K11" s="3">
        <f t="shared" si="8"/>
        <v>1.3</v>
      </c>
      <c r="L11" s="3">
        <f t="shared" si="9"/>
        <v>-1.5</v>
      </c>
      <c r="M11" s="3">
        <f t="shared" si="10"/>
        <v>0.400000000000006</v>
      </c>
      <c r="N11" s="3">
        <v>93.9</v>
      </c>
      <c r="O11" s="3">
        <v>10.6</v>
      </c>
      <c r="P11" s="3">
        <v>8.2</v>
      </c>
      <c r="Q11" s="5">
        <f t="shared" si="1"/>
        <v>1</v>
      </c>
      <c r="R11" s="5">
        <f t="shared" si="2"/>
        <v>1</v>
      </c>
      <c r="S11" s="5">
        <f t="shared" si="3"/>
        <v>1</v>
      </c>
      <c r="T11" s="5">
        <f t="shared" si="4"/>
        <v>1</v>
      </c>
    </row>
    <row r="12" spans="1:20">
      <c r="A12" t="s">
        <v>63</v>
      </c>
      <c r="B12" s="3">
        <v>11.04</v>
      </c>
      <c r="C12" s="3">
        <v>8.2778</v>
      </c>
      <c r="D12" s="3">
        <f t="shared" si="0"/>
        <v>91.386912</v>
      </c>
      <c r="E12" s="3">
        <f t="shared" si="5"/>
        <v>-14.0076952615596</v>
      </c>
      <c r="F12" s="3">
        <f t="shared" si="6"/>
        <v>0</v>
      </c>
      <c r="G12" s="3">
        <f t="shared" si="7"/>
        <v>-14.0076952615596</v>
      </c>
      <c r="H12" s="6">
        <v>96.8</v>
      </c>
      <c r="I12" s="6">
        <v>94.6</v>
      </c>
      <c r="J12" s="6">
        <v>98.8</v>
      </c>
      <c r="K12" s="3">
        <f t="shared" si="8"/>
        <v>-0.200000000000003</v>
      </c>
      <c r="L12" s="3">
        <f t="shared" si="9"/>
        <v>0.299999999999997</v>
      </c>
      <c r="M12" s="3">
        <f t="shared" si="10"/>
        <v>-0.100000000000009</v>
      </c>
      <c r="N12" s="3">
        <v>93.9</v>
      </c>
      <c r="O12" s="3">
        <v>11</v>
      </c>
      <c r="P12" s="3">
        <v>8.5</v>
      </c>
      <c r="Q12" s="5">
        <f t="shared" si="1"/>
        <v>1</v>
      </c>
      <c r="R12" s="5">
        <f t="shared" si="2"/>
        <v>1</v>
      </c>
      <c r="S12" s="5">
        <f t="shared" si="3"/>
        <v>1</v>
      </c>
      <c r="T12" s="5">
        <f t="shared" si="4"/>
        <v>1</v>
      </c>
    </row>
    <row r="13" spans="1:20">
      <c r="A13" t="s">
        <v>64</v>
      </c>
      <c r="B13" s="3">
        <v>9.82</v>
      </c>
      <c r="C13" s="3">
        <v>8.278</v>
      </c>
      <c r="D13" s="3">
        <f t="shared" si="0"/>
        <v>81.28996</v>
      </c>
      <c r="E13" s="3">
        <f t="shared" si="5"/>
        <v>-11.7103918482575</v>
      </c>
      <c r="F13" s="3">
        <f t="shared" si="6"/>
        <v>0.00241607170914874</v>
      </c>
      <c r="G13" s="3">
        <f t="shared" si="7"/>
        <v>-11.7079757765483</v>
      </c>
      <c r="H13" s="6">
        <v>96.4</v>
      </c>
      <c r="I13" s="6">
        <v>96.2</v>
      </c>
      <c r="J13" s="6">
        <v>99</v>
      </c>
      <c r="K13" s="3">
        <f t="shared" si="8"/>
        <v>-0.399999999999991</v>
      </c>
      <c r="L13" s="3">
        <f t="shared" si="9"/>
        <v>1.60000000000001</v>
      </c>
      <c r="M13" s="3">
        <f t="shared" si="10"/>
        <v>0.200000000000003</v>
      </c>
      <c r="N13" s="3">
        <v>93.9</v>
      </c>
      <c r="O13" s="3">
        <v>11.5</v>
      </c>
      <c r="P13" s="3">
        <v>8.8</v>
      </c>
      <c r="Q13" s="5">
        <f t="shared" si="1"/>
        <v>1</v>
      </c>
      <c r="R13" s="5">
        <f t="shared" si="2"/>
        <v>1</v>
      </c>
      <c r="S13" s="5">
        <f t="shared" si="3"/>
        <v>1</v>
      </c>
      <c r="T13" s="5">
        <f t="shared" si="4"/>
        <v>1</v>
      </c>
    </row>
    <row r="14" spans="1:20">
      <c r="A14" t="s">
        <v>65</v>
      </c>
      <c r="B14" s="3">
        <v>11.11</v>
      </c>
      <c r="C14" s="3">
        <v>8.2789</v>
      </c>
      <c r="D14" s="3">
        <f t="shared" si="0"/>
        <v>91.978579</v>
      </c>
      <c r="E14" s="3">
        <f t="shared" si="5"/>
        <v>12.3424481285164</v>
      </c>
      <c r="F14" s="3">
        <f t="shared" si="6"/>
        <v>0.0108716003706746</v>
      </c>
      <c r="G14" s="3">
        <f t="shared" si="7"/>
        <v>12.3533197288871</v>
      </c>
      <c r="H14" s="6">
        <v>95.4</v>
      </c>
      <c r="I14" s="6">
        <v>95.1</v>
      </c>
      <c r="J14" s="6">
        <v>98.8</v>
      </c>
      <c r="K14" s="3">
        <f t="shared" si="8"/>
        <v>-1</v>
      </c>
      <c r="L14" s="3">
        <f t="shared" si="9"/>
        <v>-1.10000000000001</v>
      </c>
      <c r="M14" s="3">
        <f t="shared" si="10"/>
        <v>-0.200000000000003</v>
      </c>
      <c r="N14" s="3">
        <v>92.7</v>
      </c>
      <c r="O14" s="3"/>
      <c r="P14" s="3"/>
      <c r="Q14" s="5">
        <f t="shared" si="1"/>
        <v>1</v>
      </c>
      <c r="R14" s="5">
        <f t="shared" si="2"/>
        <v>1</v>
      </c>
      <c r="S14" s="5">
        <f t="shared" si="3"/>
        <v>1</v>
      </c>
      <c r="T14" s="5">
        <f t="shared" si="4"/>
        <v>1</v>
      </c>
    </row>
    <row r="15" spans="1:20">
      <c r="A15" t="s">
        <v>66</v>
      </c>
      <c r="B15" s="3">
        <v>10.27</v>
      </c>
      <c r="C15" s="3">
        <v>8.2781</v>
      </c>
      <c r="D15" s="3">
        <f t="shared" si="0"/>
        <v>85.016087</v>
      </c>
      <c r="E15" s="3">
        <f t="shared" si="5"/>
        <v>-7.86185797110717</v>
      </c>
      <c r="F15" s="3">
        <f t="shared" si="6"/>
        <v>-0.00966358640602113</v>
      </c>
      <c r="G15" s="3">
        <f t="shared" si="7"/>
        <v>-7.87152155751319</v>
      </c>
      <c r="H15" s="6">
        <v>94.3</v>
      </c>
      <c r="I15" s="6">
        <v>95.1</v>
      </c>
      <c r="J15" s="6">
        <v>98.7</v>
      </c>
      <c r="K15" s="3">
        <f t="shared" si="8"/>
        <v>-1.10000000000001</v>
      </c>
      <c r="L15" s="3">
        <f t="shared" si="9"/>
        <v>0</v>
      </c>
      <c r="M15" s="3">
        <f t="shared" si="10"/>
        <v>-0.0999999999999943</v>
      </c>
      <c r="N15" s="3">
        <v>93.2</v>
      </c>
      <c r="O15" s="3">
        <v>2.1</v>
      </c>
      <c r="P15" s="3">
        <v>10.6</v>
      </c>
      <c r="Q15" s="5">
        <f t="shared" si="1"/>
        <v>1</v>
      </c>
      <c r="R15" s="5">
        <f t="shared" si="2"/>
        <v>1</v>
      </c>
      <c r="S15" s="5">
        <f t="shared" si="3"/>
        <v>1</v>
      </c>
      <c r="T15" s="5">
        <f t="shared" si="4"/>
        <v>1</v>
      </c>
    </row>
    <row r="16" spans="1:20">
      <c r="A16" t="s">
        <v>67</v>
      </c>
      <c r="B16" s="3">
        <v>12.51</v>
      </c>
      <c r="C16" s="3">
        <v>8.2792</v>
      </c>
      <c r="D16" s="3">
        <f t="shared" si="0"/>
        <v>103.572792</v>
      </c>
      <c r="E16" s="3">
        <f t="shared" si="5"/>
        <v>19.7301300538353</v>
      </c>
      <c r="F16" s="3">
        <f t="shared" si="6"/>
        <v>0.0132871905638842</v>
      </c>
      <c r="G16" s="3">
        <f t="shared" si="7"/>
        <v>19.7434172443992</v>
      </c>
      <c r="H16" s="6">
        <v>95.3</v>
      </c>
      <c r="I16" s="6">
        <v>95.4</v>
      </c>
      <c r="J16" s="6">
        <v>98.2</v>
      </c>
      <c r="K16" s="3">
        <f t="shared" si="8"/>
        <v>1</v>
      </c>
      <c r="L16" s="3">
        <f t="shared" si="9"/>
        <v>0.300000000000011</v>
      </c>
      <c r="M16" s="3">
        <f t="shared" si="10"/>
        <v>-0.5</v>
      </c>
      <c r="N16" s="3">
        <v>93.5</v>
      </c>
      <c r="O16" s="3">
        <v>9</v>
      </c>
      <c r="P16" s="3">
        <v>10.1</v>
      </c>
      <c r="Q16" s="5">
        <f t="shared" si="1"/>
        <v>1</v>
      </c>
      <c r="R16" s="5">
        <f t="shared" si="2"/>
        <v>1</v>
      </c>
      <c r="S16" s="5">
        <f t="shared" si="3"/>
        <v>1</v>
      </c>
      <c r="T16" s="5">
        <f t="shared" si="4"/>
        <v>1</v>
      </c>
    </row>
    <row r="17" spans="1:20">
      <c r="A17" t="s">
        <v>68</v>
      </c>
      <c r="B17" s="3">
        <v>15.29</v>
      </c>
      <c r="C17" s="3">
        <v>8.2792</v>
      </c>
      <c r="D17" s="3">
        <f t="shared" si="0"/>
        <v>126.588968</v>
      </c>
      <c r="E17" s="3">
        <f t="shared" si="5"/>
        <v>20.0670695462151</v>
      </c>
      <c r="F17" s="3">
        <f t="shared" si="6"/>
        <v>0</v>
      </c>
      <c r="G17" s="3">
        <f t="shared" si="7"/>
        <v>20.0670695462151</v>
      </c>
      <c r="H17" s="6">
        <v>96.1</v>
      </c>
      <c r="I17" s="6">
        <v>96.1</v>
      </c>
      <c r="J17" s="6">
        <v>97.8</v>
      </c>
      <c r="K17" s="3">
        <f t="shared" si="8"/>
        <v>0.799999999999997</v>
      </c>
      <c r="L17" s="3">
        <f t="shared" si="9"/>
        <v>0.699999999999989</v>
      </c>
      <c r="M17" s="3">
        <f t="shared" si="10"/>
        <v>-0.400000000000006</v>
      </c>
      <c r="N17" s="3">
        <v>93.7</v>
      </c>
      <c r="O17" s="3">
        <v>9.1</v>
      </c>
      <c r="P17" s="3">
        <v>9.7</v>
      </c>
      <c r="Q17" s="5">
        <f t="shared" si="1"/>
        <v>1</v>
      </c>
      <c r="R17" s="5">
        <f t="shared" si="2"/>
        <v>1</v>
      </c>
      <c r="S17" s="5">
        <f t="shared" si="3"/>
        <v>1</v>
      </c>
      <c r="T17" s="5">
        <f t="shared" si="4"/>
        <v>1</v>
      </c>
    </row>
    <row r="18" spans="1:20">
      <c r="A18" t="s">
        <v>69</v>
      </c>
      <c r="B18" s="3">
        <v>15.23</v>
      </c>
      <c r="C18" s="3">
        <v>8.2785</v>
      </c>
      <c r="D18" s="3">
        <f t="shared" si="0"/>
        <v>126.081555</v>
      </c>
      <c r="E18" s="3">
        <f t="shared" si="5"/>
        <v>-0.393185303390041</v>
      </c>
      <c r="F18" s="3">
        <f t="shared" si="6"/>
        <v>-0.00845528062976753</v>
      </c>
      <c r="G18" s="3">
        <f t="shared" si="7"/>
        <v>-0.401640584019803</v>
      </c>
      <c r="H18" s="6">
        <v>98.3</v>
      </c>
      <c r="I18" s="6">
        <v>96.6</v>
      </c>
      <c r="J18" s="6">
        <v>97.8</v>
      </c>
      <c r="K18" s="3">
        <f t="shared" si="8"/>
        <v>2.2</v>
      </c>
      <c r="L18" s="3">
        <f t="shared" si="9"/>
        <v>0.5</v>
      </c>
      <c r="M18" s="3">
        <f t="shared" si="10"/>
        <v>0</v>
      </c>
      <c r="N18" s="3">
        <v>95.1</v>
      </c>
      <c r="O18" s="3">
        <v>8.9</v>
      </c>
      <c r="P18" s="3">
        <v>9.5</v>
      </c>
      <c r="Q18" s="5">
        <f t="shared" si="1"/>
        <v>1</v>
      </c>
      <c r="R18" s="5">
        <f t="shared" si="2"/>
        <v>1</v>
      </c>
      <c r="S18" s="5">
        <f t="shared" si="3"/>
        <v>1</v>
      </c>
      <c r="T18" s="5">
        <f t="shared" si="4"/>
        <v>1</v>
      </c>
    </row>
    <row r="19" spans="1:20">
      <c r="A19" t="s">
        <v>70</v>
      </c>
      <c r="B19" s="3">
        <v>15.86</v>
      </c>
      <c r="C19" s="3">
        <v>8.278</v>
      </c>
      <c r="D19" s="3">
        <f t="shared" si="0"/>
        <v>131.28908</v>
      </c>
      <c r="E19" s="3">
        <f t="shared" si="5"/>
        <v>4.05330492996314</v>
      </c>
      <c r="F19" s="3">
        <f t="shared" si="6"/>
        <v>-0.0060399238987844</v>
      </c>
      <c r="G19" s="3">
        <f t="shared" si="7"/>
        <v>4.04726500606437</v>
      </c>
      <c r="H19" s="6">
        <v>99.4</v>
      </c>
      <c r="I19" s="6">
        <v>96.4</v>
      </c>
      <c r="J19" s="6">
        <v>97.9</v>
      </c>
      <c r="K19" s="3">
        <f t="shared" si="8"/>
        <v>1.10000000000001</v>
      </c>
      <c r="L19" s="3">
        <f t="shared" si="9"/>
        <v>-0.199999999999989</v>
      </c>
      <c r="M19" s="3">
        <f t="shared" si="10"/>
        <v>0.100000000000009</v>
      </c>
      <c r="N19" s="3">
        <v>95.1</v>
      </c>
      <c r="O19" s="3">
        <v>9.1</v>
      </c>
      <c r="P19" s="3">
        <v>9.4</v>
      </c>
      <c r="Q19" s="5">
        <f t="shared" si="1"/>
        <v>1</v>
      </c>
      <c r="R19" s="5">
        <f t="shared" si="2"/>
        <v>1</v>
      </c>
      <c r="S19" s="5">
        <f t="shared" si="3"/>
        <v>1</v>
      </c>
      <c r="T19" s="5">
        <f t="shared" si="4"/>
        <v>1</v>
      </c>
    </row>
    <row r="20" spans="1:20">
      <c r="A20" t="s">
        <v>71</v>
      </c>
      <c r="B20" s="3">
        <v>19.08</v>
      </c>
      <c r="C20" s="3">
        <v>8.2776</v>
      </c>
      <c r="D20" s="3">
        <f t="shared" si="0"/>
        <v>157.936608</v>
      </c>
      <c r="E20" s="3">
        <f t="shared" si="5"/>
        <v>18.4840449813438</v>
      </c>
      <c r="F20" s="3">
        <f t="shared" si="6"/>
        <v>-0.00483220179369402</v>
      </c>
      <c r="G20" s="3">
        <f t="shared" si="7"/>
        <v>18.4792127795502</v>
      </c>
      <c r="H20" s="6">
        <v>100.3</v>
      </c>
      <c r="I20" s="6">
        <v>97.5</v>
      </c>
      <c r="J20" s="6">
        <v>98.6</v>
      </c>
      <c r="K20" s="3">
        <f t="shared" si="8"/>
        <v>0.899999999999991</v>
      </c>
      <c r="L20" s="3">
        <f t="shared" si="9"/>
        <v>1.09999999999999</v>
      </c>
      <c r="M20" s="3">
        <f t="shared" si="10"/>
        <v>0.699999999999989</v>
      </c>
      <c r="N20" s="3">
        <v>96.6</v>
      </c>
      <c r="O20" s="3">
        <v>9.3</v>
      </c>
      <c r="P20" s="3">
        <v>9.4</v>
      </c>
      <c r="Q20" s="5">
        <f t="shared" si="1"/>
        <v>1</v>
      </c>
      <c r="R20" s="5">
        <f t="shared" si="2"/>
        <v>1</v>
      </c>
      <c r="S20" s="5">
        <f t="shared" si="3"/>
        <v>1</v>
      </c>
      <c r="T20" s="5">
        <f t="shared" si="4"/>
        <v>1</v>
      </c>
    </row>
    <row r="21" spans="1:20">
      <c r="A21" t="s">
        <v>72</v>
      </c>
      <c r="B21" s="3">
        <v>20.22</v>
      </c>
      <c r="C21" s="3">
        <v>8.2772</v>
      </c>
      <c r="D21" s="3">
        <f t="shared" si="0"/>
        <v>167.364984</v>
      </c>
      <c r="E21" s="3">
        <f t="shared" si="5"/>
        <v>5.8031547572185</v>
      </c>
      <c r="F21" s="3">
        <f t="shared" si="6"/>
        <v>-0.00483243530670691</v>
      </c>
      <c r="G21" s="3">
        <f t="shared" si="7"/>
        <v>5.79832232191178</v>
      </c>
      <c r="H21" s="6">
        <v>103.1</v>
      </c>
      <c r="I21" s="6">
        <v>97.7</v>
      </c>
      <c r="J21" s="6">
        <v>98.7</v>
      </c>
      <c r="K21" s="3">
        <f t="shared" si="8"/>
        <v>2.8</v>
      </c>
      <c r="L21" s="3">
        <f t="shared" si="9"/>
        <v>0.200000000000003</v>
      </c>
      <c r="M21" s="3">
        <f t="shared" si="10"/>
        <v>0.100000000000009</v>
      </c>
      <c r="N21" s="3">
        <v>96.7</v>
      </c>
      <c r="O21" s="3">
        <v>9.5</v>
      </c>
      <c r="P21" s="3">
        <v>9.4</v>
      </c>
      <c r="Q21" s="5">
        <f t="shared" si="1"/>
        <v>1</v>
      </c>
      <c r="R21" s="5">
        <f t="shared" si="2"/>
        <v>1</v>
      </c>
      <c r="S21" s="5">
        <f t="shared" si="3"/>
        <v>1</v>
      </c>
      <c r="T21" s="5">
        <f t="shared" si="4"/>
        <v>1</v>
      </c>
    </row>
    <row r="22" spans="1:20">
      <c r="A22" t="s">
        <v>73</v>
      </c>
      <c r="B22" s="3">
        <v>22.54</v>
      </c>
      <c r="C22" s="3">
        <v>8.2774</v>
      </c>
      <c r="D22" s="3">
        <f t="shared" si="0"/>
        <v>186.572596</v>
      </c>
      <c r="E22" s="3">
        <f t="shared" si="5"/>
        <v>10.8619295019305</v>
      </c>
      <c r="F22" s="3">
        <f t="shared" si="6"/>
        <v>0.00241624684388715</v>
      </c>
      <c r="G22" s="3">
        <f t="shared" si="7"/>
        <v>10.8643457487744</v>
      </c>
      <c r="H22" s="6">
        <v>103.1</v>
      </c>
      <c r="I22" s="6">
        <v>97.9</v>
      </c>
      <c r="J22" s="6">
        <v>99.2</v>
      </c>
      <c r="K22" s="3">
        <f t="shared" si="8"/>
        <v>0</v>
      </c>
      <c r="L22" s="3">
        <f t="shared" si="9"/>
        <v>0.200000000000003</v>
      </c>
      <c r="M22" s="3">
        <f t="shared" si="10"/>
        <v>0.5</v>
      </c>
      <c r="N22" s="3">
        <v>98.2</v>
      </c>
      <c r="O22" s="3">
        <v>8.2</v>
      </c>
      <c r="P22" s="3">
        <v>9.3</v>
      </c>
      <c r="Q22" s="5">
        <f t="shared" si="1"/>
        <v>1</v>
      </c>
      <c r="R22" s="5">
        <f t="shared" si="2"/>
        <v>1</v>
      </c>
      <c r="S22" s="5">
        <f t="shared" si="3"/>
        <v>1</v>
      </c>
      <c r="T22" s="5">
        <f t="shared" si="4"/>
        <v>1</v>
      </c>
    </row>
    <row r="23" spans="1:20">
      <c r="A23" t="s">
        <v>74</v>
      </c>
      <c r="B23" s="3">
        <v>22</v>
      </c>
      <c r="C23" s="3">
        <v>8.2775</v>
      </c>
      <c r="D23" s="3">
        <f t="shared" si="0"/>
        <v>182.105</v>
      </c>
      <c r="E23" s="3">
        <f t="shared" si="5"/>
        <v>-2.42490552533144</v>
      </c>
      <c r="F23" s="3">
        <f t="shared" si="6"/>
        <v>0.00120810152886894</v>
      </c>
      <c r="G23" s="3">
        <f t="shared" si="7"/>
        <v>-2.42369742380257</v>
      </c>
      <c r="H23" s="6">
        <v>107.1</v>
      </c>
      <c r="I23" s="6">
        <v>99.3</v>
      </c>
      <c r="J23" s="6">
        <v>99.4</v>
      </c>
      <c r="K23" s="3">
        <f t="shared" si="8"/>
        <v>4</v>
      </c>
      <c r="L23" s="3">
        <f t="shared" si="9"/>
        <v>1.39999999999999</v>
      </c>
      <c r="M23" s="3">
        <f t="shared" si="10"/>
        <v>0.200000000000003</v>
      </c>
      <c r="N23" s="3">
        <v>98.9</v>
      </c>
      <c r="O23" s="3">
        <v>7</v>
      </c>
      <c r="P23" s="3">
        <v>9.1</v>
      </c>
      <c r="Q23" s="5">
        <f t="shared" si="1"/>
        <v>1</v>
      </c>
      <c r="R23" s="5">
        <f t="shared" si="2"/>
        <v>1</v>
      </c>
      <c r="S23" s="5">
        <f t="shared" si="3"/>
        <v>1</v>
      </c>
      <c r="T23" s="5">
        <f t="shared" si="4"/>
        <v>1</v>
      </c>
    </row>
    <row r="24" spans="1:20">
      <c r="A24" t="s">
        <v>75</v>
      </c>
      <c r="B24" s="3">
        <v>24.58</v>
      </c>
      <c r="C24" s="3">
        <v>8.2782</v>
      </c>
      <c r="D24" s="3">
        <f t="shared" si="0"/>
        <v>203.478156</v>
      </c>
      <c r="E24" s="3">
        <f t="shared" si="5"/>
        <v>11.0890650779573</v>
      </c>
      <c r="F24" s="3">
        <f t="shared" si="6"/>
        <v>0.0084563020641586</v>
      </c>
      <c r="G24" s="3">
        <f t="shared" si="7"/>
        <v>11.0975213800214</v>
      </c>
      <c r="H24" s="6">
        <v>104.6</v>
      </c>
      <c r="I24" s="6">
        <v>98.9</v>
      </c>
      <c r="J24" s="6">
        <v>99.1</v>
      </c>
      <c r="K24" s="3">
        <f t="shared" si="8"/>
        <v>-2.5</v>
      </c>
      <c r="L24" s="3">
        <f t="shared" si="9"/>
        <v>-0.399999999999991</v>
      </c>
      <c r="M24" s="3">
        <f t="shared" si="10"/>
        <v>-0.300000000000011</v>
      </c>
      <c r="N24" s="3">
        <v>98.3</v>
      </c>
      <c r="O24" s="3">
        <v>7.6</v>
      </c>
      <c r="P24" s="3">
        <v>9</v>
      </c>
      <c r="Q24" s="5">
        <f t="shared" si="1"/>
        <v>1</v>
      </c>
      <c r="R24" s="5">
        <f t="shared" si="2"/>
        <v>1</v>
      </c>
      <c r="S24" s="5">
        <f t="shared" si="3"/>
        <v>1</v>
      </c>
      <c r="T24" s="5">
        <f t="shared" si="4"/>
        <v>1</v>
      </c>
    </row>
    <row r="25" spans="1:20">
      <c r="A25" t="s">
        <v>76</v>
      </c>
      <c r="B25" s="3">
        <v>25.47</v>
      </c>
      <c r="C25" s="3">
        <v>8.2794</v>
      </c>
      <c r="D25" s="3">
        <f t="shared" si="0"/>
        <v>210.876318</v>
      </c>
      <c r="E25" s="3">
        <f t="shared" si="5"/>
        <v>3.5568184853477</v>
      </c>
      <c r="F25" s="3">
        <f t="shared" si="6"/>
        <v>0.0144948543521033</v>
      </c>
      <c r="G25" s="3">
        <f t="shared" si="7"/>
        <v>3.57131333969978</v>
      </c>
      <c r="H25" s="6">
        <v>110.3</v>
      </c>
      <c r="I25" s="6">
        <v>99.2</v>
      </c>
      <c r="J25" s="6">
        <v>99</v>
      </c>
      <c r="K25" s="3">
        <f t="shared" si="8"/>
        <v>5.7</v>
      </c>
      <c r="L25" s="3">
        <f t="shared" si="9"/>
        <v>0.299999999999997</v>
      </c>
      <c r="M25" s="3">
        <f t="shared" si="10"/>
        <v>-0.0999999999999943</v>
      </c>
      <c r="N25" s="3">
        <v>100.8</v>
      </c>
      <c r="O25" s="3">
        <v>7.4</v>
      </c>
      <c r="P25" s="3">
        <v>8.9</v>
      </c>
      <c r="Q25" s="5">
        <f t="shared" si="1"/>
        <v>1</v>
      </c>
      <c r="R25" s="5">
        <f t="shared" si="2"/>
        <v>1</v>
      </c>
      <c r="S25" s="5">
        <f t="shared" si="3"/>
        <v>1</v>
      </c>
      <c r="T25" s="5">
        <f t="shared" si="4"/>
        <v>1</v>
      </c>
    </row>
    <row r="26" spans="1:20">
      <c r="A26" t="s">
        <v>77</v>
      </c>
      <c r="B26" s="3">
        <v>25.51</v>
      </c>
      <c r="C26" s="3">
        <v>8.2792</v>
      </c>
      <c r="D26" s="3">
        <f t="shared" si="0"/>
        <v>211.202392</v>
      </c>
      <c r="E26" s="3">
        <f t="shared" si="5"/>
        <v>0.156924316235455</v>
      </c>
      <c r="F26" s="3">
        <f t="shared" si="6"/>
        <v>-0.00241566316006249</v>
      </c>
      <c r="G26" s="3">
        <f t="shared" si="7"/>
        <v>0.1545086530754</v>
      </c>
      <c r="H26" s="6">
        <v>113.2</v>
      </c>
      <c r="I26" s="6">
        <v>100</v>
      </c>
      <c r="J26" s="6">
        <v>99.8</v>
      </c>
      <c r="K26" s="3">
        <f t="shared" si="8"/>
        <v>2.90000000000001</v>
      </c>
      <c r="L26" s="3">
        <f t="shared" si="9"/>
        <v>0.799999999999997</v>
      </c>
      <c r="M26" s="3">
        <f t="shared" si="10"/>
        <v>0.799999999999997</v>
      </c>
      <c r="N26" s="3">
        <v>102.1</v>
      </c>
      <c r="O26" s="3"/>
      <c r="P26" s="3"/>
      <c r="Q26" s="5">
        <f t="shared" si="1"/>
        <v>1</v>
      </c>
      <c r="R26" s="5">
        <f t="shared" si="2"/>
        <v>1</v>
      </c>
      <c r="S26" s="5">
        <f t="shared" si="3"/>
        <v>1</v>
      </c>
      <c r="T26" s="5">
        <f t="shared" si="4"/>
        <v>1</v>
      </c>
    </row>
    <row r="27" spans="1:20">
      <c r="A27" t="s">
        <v>78</v>
      </c>
      <c r="B27" s="3">
        <v>27.78</v>
      </c>
      <c r="C27" s="3">
        <v>8.2781</v>
      </c>
      <c r="D27" s="3">
        <f t="shared" si="0"/>
        <v>229.965618</v>
      </c>
      <c r="E27" s="3">
        <f t="shared" si="5"/>
        <v>8.52458051724776</v>
      </c>
      <c r="F27" s="3">
        <f t="shared" si="6"/>
        <v>-0.0132871905638891</v>
      </c>
      <c r="G27" s="3">
        <f t="shared" si="7"/>
        <v>8.51129332668386</v>
      </c>
      <c r="H27" s="6">
        <v>114.1</v>
      </c>
      <c r="I27" s="6">
        <v>101</v>
      </c>
      <c r="J27" s="6">
        <v>100.7</v>
      </c>
      <c r="K27" s="3">
        <f t="shared" si="8"/>
        <v>0.899999999999991</v>
      </c>
      <c r="L27" s="3">
        <f t="shared" si="9"/>
        <v>1</v>
      </c>
      <c r="M27" s="3">
        <f t="shared" si="10"/>
        <v>0.900000000000006</v>
      </c>
      <c r="N27" s="3">
        <v>103.6</v>
      </c>
      <c r="O27" s="3">
        <v>12</v>
      </c>
      <c r="P27" s="3">
        <v>10.4</v>
      </c>
      <c r="Q27" s="5">
        <f t="shared" si="1"/>
        <v>1</v>
      </c>
      <c r="R27" s="5">
        <f t="shared" si="2"/>
        <v>1</v>
      </c>
      <c r="S27" s="5">
        <f t="shared" si="3"/>
        <v>1</v>
      </c>
      <c r="T27" s="5">
        <f t="shared" si="4"/>
        <v>1</v>
      </c>
    </row>
    <row r="28" spans="1:20">
      <c r="A28" t="s">
        <v>79</v>
      </c>
      <c r="B28" s="3">
        <v>27.49</v>
      </c>
      <c r="C28" s="3">
        <v>8.2786</v>
      </c>
      <c r="D28" s="3">
        <f t="shared" si="0"/>
        <v>227.578714</v>
      </c>
      <c r="E28" s="3">
        <f t="shared" si="5"/>
        <v>-1.04940351490434</v>
      </c>
      <c r="F28" s="3">
        <f t="shared" si="6"/>
        <v>0.00603985093832363</v>
      </c>
      <c r="G28" s="3">
        <f t="shared" si="7"/>
        <v>-1.04336366396602</v>
      </c>
      <c r="H28" s="6">
        <v>115.7</v>
      </c>
      <c r="I28" s="6">
        <v>101.9</v>
      </c>
      <c r="J28" s="6">
        <v>99.8</v>
      </c>
      <c r="K28" s="3">
        <f t="shared" si="8"/>
        <v>1.60000000000001</v>
      </c>
      <c r="L28" s="3">
        <f t="shared" si="9"/>
        <v>0.900000000000006</v>
      </c>
      <c r="M28" s="3">
        <f t="shared" si="10"/>
        <v>-0.900000000000006</v>
      </c>
      <c r="N28" s="3">
        <v>104.8</v>
      </c>
      <c r="O28" s="3">
        <v>11.9</v>
      </c>
      <c r="P28" s="3">
        <v>10.7</v>
      </c>
      <c r="Q28" s="5">
        <f t="shared" si="1"/>
        <v>1</v>
      </c>
      <c r="R28" s="5">
        <f t="shared" si="2"/>
        <v>1</v>
      </c>
      <c r="S28" s="5">
        <f t="shared" si="3"/>
        <v>1</v>
      </c>
      <c r="T28" s="5">
        <f t="shared" si="4"/>
        <v>1</v>
      </c>
    </row>
    <row r="29" spans="1:20">
      <c r="A29" t="s">
        <v>80</v>
      </c>
      <c r="B29" s="3">
        <v>22.76</v>
      </c>
      <c r="C29" s="3">
        <v>8.2793</v>
      </c>
      <c r="D29" s="3">
        <f t="shared" si="0"/>
        <v>188.436868</v>
      </c>
      <c r="E29" s="3">
        <f t="shared" si="5"/>
        <v>-18.8817692919024</v>
      </c>
      <c r="F29" s="3">
        <f t="shared" si="6"/>
        <v>0.00845517849986935</v>
      </c>
      <c r="G29" s="3">
        <f t="shared" si="7"/>
        <v>-18.8733141134025</v>
      </c>
      <c r="H29" s="6">
        <v>116.5</v>
      </c>
      <c r="I29" s="6">
        <v>102.6</v>
      </c>
      <c r="J29" s="6">
        <v>99.7</v>
      </c>
      <c r="K29" s="3">
        <f t="shared" si="8"/>
        <v>0.799999999999997</v>
      </c>
      <c r="L29" s="3">
        <f t="shared" si="9"/>
        <v>0.699999999999989</v>
      </c>
      <c r="M29" s="3">
        <f t="shared" si="10"/>
        <v>-0.0999999999999943</v>
      </c>
      <c r="N29" s="3">
        <v>105.3</v>
      </c>
      <c r="O29" s="3">
        <v>11.4</v>
      </c>
      <c r="P29" s="3">
        <v>10.9</v>
      </c>
      <c r="Q29" s="5">
        <f t="shared" si="1"/>
        <v>1</v>
      </c>
      <c r="R29" s="5">
        <f t="shared" si="2"/>
        <v>1</v>
      </c>
      <c r="S29" s="5">
        <f t="shared" si="3"/>
        <v>1</v>
      </c>
      <c r="T29" s="5">
        <f t="shared" si="4"/>
        <v>1</v>
      </c>
    </row>
    <row r="30" spans="1:20">
      <c r="A30" t="s">
        <v>81</v>
      </c>
      <c r="B30" s="3">
        <v>27.74</v>
      </c>
      <c r="C30" s="3">
        <v>8.2781</v>
      </c>
      <c r="D30" s="3">
        <f t="shared" si="0"/>
        <v>229.634494</v>
      </c>
      <c r="E30" s="3">
        <f t="shared" si="5"/>
        <v>19.7870805628555</v>
      </c>
      <c r="F30" s="3">
        <f t="shared" si="6"/>
        <v>-0.0144950294381979</v>
      </c>
      <c r="G30" s="3">
        <f t="shared" si="7"/>
        <v>19.7725855334173</v>
      </c>
      <c r="H30" s="6">
        <v>111.9</v>
      </c>
      <c r="I30" s="6">
        <v>102.5</v>
      </c>
      <c r="J30" s="6">
        <v>100.1</v>
      </c>
      <c r="K30" s="3">
        <f t="shared" si="8"/>
        <v>-4.59999999999999</v>
      </c>
      <c r="L30" s="3">
        <f t="shared" si="9"/>
        <v>-0.0999999999999943</v>
      </c>
      <c r="M30" s="3">
        <f t="shared" si="10"/>
        <v>0.399999999999991</v>
      </c>
      <c r="N30" s="3">
        <v>105.5</v>
      </c>
      <c r="O30" s="3">
        <v>11.5</v>
      </c>
      <c r="P30" s="3">
        <v>11</v>
      </c>
      <c r="Q30" s="5">
        <f t="shared" si="1"/>
        <v>1</v>
      </c>
      <c r="R30" s="5">
        <f t="shared" si="2"/>
        <v>1</v>
      </c>
      <c r="S30" s="5">
        <f t="shared" si="3"/>
        <v>1</v>
      </c>
      <c r="T30" s="5">
        <f t="shared" si="4"/>
        <v>1</v>
      </c>
    </row>
    <row r="31" spans="1:20">
      <c r="A31" t="s">
        <v>82</v>
      </c>
      <c r="B31" s="3">
        <v>29.8</v>
      </c>
      <c r="C31" s="3">
        <v>8.2772</v>
      </c>
      <c r="D31" s="3">
        <f t="shared" si="0"/>
        <v>246.66056</v>
      </c>
      <c r="E31" s="3">
        <f t="shared" si="5"/>
        <v>7.16329786246733</v>
      </c>
      <c r="F31" s="3">
        <f t="shared" si="6"/>
        <v>-0.0108726510650516</v>
      </c>
      <c r="G31" s="3">
        <f t="shared" si="7"/>
        <v>7.15242521140228</v>
      </c>
      <c r="H31" s="6">
        <v>114.2</v>
      </c>
      <c r="I31" s="6">
        <v>102.9</v>
      </c>
      <c r="J31" s="6">
        <v>100.5</v>
      </c>
      <c r="K31" s="3">
        <f t="shared" si="8"/>
        <v>2.3</v>
      </c>
      <c r="L31" s="3">
        <f t="shared" si="9"/>
        <v>0.400000000000006</v>
      </c>
      <c r="M31" s="3">
        <f t="shared" si="10"/>
        <v>0.400000000000006</v>
      </c>
      <c r="N31" s="3">
        <v>107.1</v>
      </c>
      <c r="O31" s="3">
        <v>12.2</v>
      </c>
      <c r="P31" s="3">
        <v>11.2</v>
      </c>
      <c r="Q31" s="5">
        <f t="shared" si="1"/>
        <v>1</v>
      </c>
      <c r="R31" s="5">
        <f t="shared" si="2"/>
        <v>1</v>
      </c>
      <c r="S31" s="5">
        <f t="shared" si="3"/>
        <v>1</v>
      </c>
      <c r="T31" s="5">
        <f t="shared" si="4"/>
        <v>1</v>
      </c>
    </row>
    <row r="32" spans="1:20">
      <c r="A32" t="s">
        <v>83</v>
      </c>
      <c r="B32" s="3">
        <v>28.68</v>
      </c>
      <c r="C32" s="3">
        <v>8.2794</v>
      </c>
      <c r="D32" s="3">
        <f t="shared" si="0"/>
        <v>237.453192</v>
      </c>
      <c r="E32" s="3">
        <f t="shared" si="5"/>
        <v>-3.83083777799391</v>
      </c>
      <c r="F32" s="3">
        <f t="shared" si="6"/>
        <v>0.0265755047890044</v>
      </c>
      <c r="G32" s="3">
        <f t="shared" si="7"/>
        <v>-3.80426227320491</v>
      </c>
      <c r="H32" s="6">
        <v>115.2</v>
      </c>
      <c r="I32" s="6">
        <v>104.5</v>
      </c>
      <c r="J32" s="6">
        <v>100.5</v>
      </c>
      <c r="K32" s="3">
        <f t="shared" si="8"/>
        <v>1</v>
      </c>
      <c r="L32" s="3">
        <f t="shared" si="9"/>
        <v>1.59999999999999</v>
      </c>
      <c r="M32" s="3">
        <f t="shared" si="10"/>
        <v>0</v>
      </c>
      <c r="N32" s="3">
        <v>108.6</v>
      </c>
      <c r="O32" s="3">
        <v>12.8</v>
      </c>
      <c r="P32" s="3">
        <v>11.4</v>
      </c>
      <c r="Q32" s="5">
        <f t="shared" si="1"/>
        <v>1</v>
      </c>
      <c r="R32" s="5">
        <f t="shared" si="2"/>
        <v>1</v>
      </c>
      <c r="S32" s="5">
        <f t="shared" si="3"/>
        <v>1</v>
      </c>
      <c r="T32" s="5">
        <f t="shared" si="4"/>
        <v>1</v>
      </c>
    </row>
    <row r="33" spans="1:20">
      <c r="A33" t="s">
        <v>84</v>
      </c>
      <c r="B33" s="3">
        <v>30.2</v>
      </c>
      <c r="C33" s="3">
        <v>8.2796</v>
      </c>
      <c r="D33" s="3">
        <f t="shared" si="0"/>
        <v>250.04392</v>
      </c>
      <c r="E33" s="3">
        <f t="shared" si="5"/>
        <v>5.16419086494044</v>
      </c>
      <c r="F33" s="3">
        <f t="shared" si="6"/>
        <v>0.00241560480716487</v>
      </c>
      <c r="G33" s="3">
        <f t="shared" si="7"/>
        <v>5.1666064697476</v>
      </c>
      <c r="H33" s="6">
        <v>117.8</v>
      </c>
      <c r="I33" s="6">
        <v>103.9</v>
      </c>
      <c r="J33" s="6">
        <v>100.3</v>
      </c>
      <c r="K33" s="3">
        <f t="shared" si="8"/>
        <v>2.59999999999999</v>
      </c>
      <c r="L33" s="3">
        <f t="shared" si="9"/>
        <v>-0.599999999999994</v>
      </c>
      <c r="M33" s="3">
        <f t="shared" si="10"/>
        <v>-0.200000000000003</v>
      </c>
      <c r="N33" s="3">
        <v>104.6</v>
      </c>
      <c r="O33" s="3">
        <v>12.8</v>
      </c>
      <c r="P33" s="3">
        <v>11.6</v>
      </c>
      <c r="Q33" s="5">
        <f t="shared" si="1"/>
        <v>1</v>
      </c>
      <c r="R33" s="5">
        <f t="shared" si="2"/>
        <v>1</v>
      </c>
      <c r="S33" s="5">
        <f t="shared" si="3"/>
        <v>1</v>
      </c>
      <c r="T33" s="5">
        <f t="shared" si="4"/>
        <v>1</v>
      </c>
    </row>
    <row r="34" spans="1:20">
      <c r="A34" t="s">
        <v>85</v>
      </c>
      <c r="B34" s="3">
        <v>33.14</v>
      </c>
      <c r="C34" s="3">
        <v>8.2785</v>
      </c>
      <c r="D34" s="3">
        <f t="shared" si="0"/>
        <v>274.34949</v>
      </c>
      <c r="E34" s="3">
        <f t="shared" si="5"/>
        <v>9.28990876175929</v>
      </c>
      <c r="F34" s="3">
        <f t="shared" si="6"/>
        <v>-0.0132865485969941</v>
      </c>
      <c r="G34" s="3">
        <f t="shared" si="7"/>
        <v>9.2766222131623</v>
      </c>
      <c r="H34" s="6">
        <v>117.6</v>
      </c>
      <c r="I34" s="6">
        <v>103.7</v>
      </c>
      <c r="J34" s="6">
        <v>100</v>
      </c>
      <c r="K34" s="3">
        <f t="shared" si="8"/>
        <v>-0.200000000000003</v>
      </c>
      <c r="L34" s="3">
        <f t="shared" si="9"/>
        <v>-0.200000000000003</v>
      </c>
      <c r="M34" s="3">
        <f t="shared" si="10"/>
        <v>-0.299999999999997</v>
      </c>
      <c r="N34" s="3">
        <v>105.1</v>
      </c>
      <c r="O34" s="3">
        <v>12</v>
      </c>
      <c r="P34" s="3">
        <v>11.6</v>
      </c>
      <c r="Q34" s="5">
        <f t="shared" si="1"/>
        <v>1</v>
      </c>
      <c r="R34" s="5">
        <f t="shared" si="2"/>
        <v>1</v>
      </c>
      <c r="S34" s="5">
        <f t="shared" si="3"/>
        <v>1</v>
      </c>
      <c r="T34" s="5">
        <f t="shared" si="4"/>
        <v>1</v>
      </c>
    </row>
    <row r="35" spans="1:20">
      <c r="A35" t="s">
        <v>86</v>
      </c>
      <c r="B35" s="3">
        <v>30.96</v>
      </c>
      <c r="C35" s="3">
        <v>8.2785</v>
      </c>
      <c r="D35" s="3">
        <f t="shared" si="0"/>
        <v>256.30236</v>
      </c>
      <c r="E35" s="3">
        <f t="shared" si="5"/>
        <v>-6.80449632768904</v>
      </c>
      <c r="F35" s="3">
        <f t="shared" si="6"/>
        <v>0</v>
      </c>
      <c r="G35" s="3">
        <f t="shared" si="7"/>
        <v>-6.80449632768906</v>
      </c>
      <c r="H35" s="6">
        <v>118.1</v>
      </c>
      <c r="I35" s="6">
        <v>103.6</v>
      </c>
      <c r="J35" s="6">
        <v>100</v>
      </c>
      <c r="K35" s="3">
        <f t="shared" si="8"/>
        <v>0.5</v>
      </c>
      <c r="L35" s="3">
        <f t="shared" si="9"/>
        <v>-0.100000000000009</v>
      </c>
      <c r="M35" s="3">
        <f t="shared" si="10"/>
        <v>0</v>
      </c>
      <c r="N35" s="3">
        <v>105.2</v>
      </c>
      <c r="O35" s="3">
        <v>11.4</v>
      </c>
      <c r="P35" s="3">
        <v>11.6</v>
      </c>
      <c r="Q35" s="5">
        <f t="shared" si="1"/>
        <v>1</v>
      </c>
      <c r="R35" s="5">
        <f t="shared" si="2"/>
        <v>1</v>
      </c>
      <c r="S35" s="5">
        <f t="shared" si="3"/>
        <v>1</v>
      </c>
      <c r="T35" s="5">
        <f t="shared" si="4"/>
        <v>1</v>
      </c>
    </row>
    <row r="36" spans="1:20">
      <c r="A36" t="s">
        <v>87</v>
      </c>
      <c r="B36" s="3">
        <v>32.55</v>
      </c>
      <c r="C36" s="3">
        <v>8.2774</v>
      </c>
      <c r="D36" s="3">
        <f t="shared" si="0"/>
        <v>269.42937</v>
      </c>
      <c r="E36" s="3">
        <f t="shared" si="5"/>
        <v>5.00813199330518</v>
      </c>
      <c r="F36" s="3">
        <f t="shared" si="6"/>
        <v>-0.0132883141552853</v>
      </c>
      <c r="G36" s="3">
        <f t="shared" si="7"/>
        <v>4.9948436791499</v>
      </c>
      <c r="H36" s="6">
        <v>116.7</v>
      </c>
      <c r="I36" s="6">
        <v>103.5</v>
      </c>
      <c r="J36" s="6">
        <v>101.3</v>
      </c>
      <c r="K36" s="3">
        <f t="shared" si="8"/>
        <v>-1.39999999999999</v>
      </c>
      <c r="L36" s="3">
        <f t="shared" si="9"/>
        <v>-0.0999999999999943</v>
      </c>
      <c r="M36" s="3">
        <f t="shared" si="10"/>
        <v>1.3</v>
      </c>
      <c r="N36" s="3">
        <v>105</v>
      </c>
      <c r="O36" s="3">
        <v>10.6</v>
      </c>
      <c r="P36" s="3">
        <v>11.5</v>
      </c>
      <c r="Q36" s="5">
        <f t="shared" si="1"/>
        <v>1</v>
      </c>
      <c r="R36" s="5">
        <f t="shared" si="2"/>
        <v>1</v>
      </c>
      <c r="S36" s="5">
        <f t="shared" si="3"/>
        <v>1</v>
      </c>
      <c r="T36" s="5">
        <f t="shared" si="4"/>
        <v>1</v>
      </c>
    </row>
    <row r="37" spans="1:20">
      <c r="A37" t="s">
        <v>88</v>
      </c>
      <c r="B37" s="3">
        <v>25.66</v>
      </c>
      <c r="C37" s="3">
        <v>8.2771</v>
      </c>
      <c r="D37" s="3">
        <f t="shared" si="0"/>
        <v>212.390386</v>
      </c>
      <c r="E37" s="3">
        <f t="shared" si="5"/>
        <v>-23.7844009467088</v>
      </c>
      <c r="F37" s="3">
        <f t="shared" si="6"/>
        <v>-0.00362439215962255</v>
      </c>
      <c r="G37" s="3">
        <f t="shared" si="7"/>
        <v>-23.7880253388684</v>
      </c>
      <c r="H37" s="6">
        <v>113.5</v>
      </c>
      <c r="I37" s="6">
        <v>102.8</v>
      </c>
      <c r="J37" s="6">
        <v>101.5</v>
      </c>
      <c r="K37" s="3">
        <f t="shared" si="8"/>
        <v>-3.2</v>
      </c>
      <c r="L37" s="3">
        <f t="shared" si="9"/>
        <v>-0.700000000000003</v>
      </c>
      <c r="M37" s="3">
        <f t="shared" si="10"/>
        <v>0.200000000000003</v>
      </c>
      <c r="N37" s="3">
        <v>104.7</v>
      </c>
      <c r="O37" s="3">
        <v>10.4</v>
      </c>
      <c r="P37" s="3">
        <v>11.4</v>
      </c>
      <c r="Q37" s="5">
        <f t="shared" si="1"/>
        <v>1</v>
      </c>
      <c r="R37" s="5">
        <f t="shared" si="2"/>
        <v>1</v>
      </c>
      <c r="S37" s="5">
        <f t="shared" si="3"/>
        <v>1</v>
      </c>
      <c r="T37" s="5">
        <f t="shared" si="4"/>
        <v>1</v>
      </c>
    </row>
    <row r="38" spans="1:20">
      <c r="A38" t="s">
        <v>89</v>
      </c>
      <c r="B38" s="3">
        <v>25.62</v>
      </c>
      <c r="C38" s="3">
        <v>8.2776</v>
      </c>
      <c r="D38" s="3">
        <f t="shared" si="0"/>
        <v>212.072112</v>
      </c>
      <c r="E38" s="3">
        <f t="shared" si="5"/>
        <v>-0.156006271890212</v>
      </c>
      <c r="F38" s="3">
        <f t="shared" si="6"/>
        <v>0.00604058062243679</v>
      </c>
      <c r="G38" s="3">
        <f t="shared" si="7"/>
        <v>-0.149965691267792</v>
      </c>
      <c r="H38" s="6">
        <v>110</v>
      </c>
      <c r="I38" s="6">
        <v>101.4</v>
      </c>
      <c r="J38" s="6">
        <v>101.2</v>
      </c>
      <c r="K38" s="3">
        <f t="shared" si="8"/>
        <v>-3.5</v>
      </c>
      <c r="L38" s="3">
        <f t="shared" si="9"/>
        <v>-1.39999999999999</v>
      </c>
      <c r="M38" s="3">
        <f t="shared" si="10"/>
        <v>-0.299999999999997</v>
      </c>
      <c r="N38" s="3">
        <v>103.6</v>
      </c>
      <c r="O38" s="3"/>
      <c r="P38" s="3"/>
      <c r="Q38" s="5">
        <f t="shared" si="1"/>
        <v>1</v>
      </c>
      <c r="R38" s="5">
        <f t="shared" si="2"/>
        <v>1</v>
      </c>
      <c r="S38" s="5">
        <f t="shared" si="3"/>
        <v>1</v>
      </c>
      <c r="T38" s="5">
        <f t="shared" si="4"/>
        <v>1</v>
      </c>
    </row>
    <row r="39" spans="1:20">
      <c r="A39" t="s">
        <v>90</v>
      </c>
      <c r="B39" s="3">
        <v>27.5</v>
      </c>
      <c r="C39" s="3">
        <v>8.2771</v>
      </c>
      <c r="D39" s="3">
        <f t="shared" si="0"/>
        <v>227.62025</v>
      </c>
      <c r="E39" s="3">
        <f t="shared" si="5"/>
        <v>7.08127082039373</v>
      </c>
      <c r="F39" s="3">
        <f t="shared" si="6"/>
        <v>-0.00604058062243594</v>
      </c>
      <c r="G39" s="3">
        <f t="shared" si="7"/>
        <v>7.0752302397713</v>
      </c>
      <c r="H39" s="6">
        <v>105.9</v>
      </c>
      <c r="I39" s="6">
        <v>100.9</v>
      </c>
      <c r="J39" s="6">
        <v>100</v>
      </c>
      <c r="K39" s="3">
        <f t="shared" si="8"/>
        <v>-4.09999999999999</v>
      </c>
      <c r="L39" s="3">
        <f t="shared" si="9"/>
        <v>-0.5</v>
      </c>
      <c r="M39" s="3">
        <f t="shared" si="10"/>
        <v>-1.2</v>
      </c>
      <c r="N39" s="3">
        <v>102.7</v>
      </c>
      <c r="O39" s="3">
        <v>19</v>
      </c>
      <c r="P39" s="3">
        <v>10.2</v>
      </c>
      <c r="Q39" s="5">
        <f t="shared" si="1"/>
        <v>1</v>
      </c>
      <c r="R39" s="5">
        <f t="shared" si="2"/>
        <v>1</v>
      </c>
      <c r="S39" s="5">
        <f t="shared" si="3"/>
        <v>1</v>
      </c>
      <c r="T39" s="5">
        <f t="shared" si="4"/>
        <v>1</v>
      </c>
    </row>
    <row r="40" spans="1:20">
      <c r="A40" t="s">
        <v>91</v>
      </c>
      <c r="B40" s="3">
        <v>24.5</v>
      </c>
      <c r="C40" s="3">
        <v>8.2775</v>
      </c>
      <c r="D40" s="3">
        <f t="shared" si="0"/>
        <v>202.79875</v>
      </c>
      <c r="E40" s="3">
        <f t="shared" si="5"/>
        <v>-11.5512887121844</v>
      </c>
      <c r="F40" s="3">
        <f t="shared" si="6"/>
        <v>0.00483249368848374</v>
      </c>
      <c r="G40" s="3">
        <f t="shared" si="7"/>
        <v>-11.546456218496</v>
      </c>
      <c r="H40" s="6">
        <v>104.3</v>
      </c>
      <c r="I40" s="6">
        <v>100.2</v>
      </c>
      <c r="J40" s="6">
        <v>100.8</v>
      </c>
      <c r="K40" s="3">
        <f t="shared" si="8"/>
        <v>-1.60000000000001</v>
      </c>
      <c r="L40" s="3">
        <f t="shared" si="9"/>
        <v>-0.700000000000003</v>
      </c>
      <c r="M40" s="3">
        <f t="shared" si="10"/>
        <v>0.799999999999997</v>
      </c>
      <c r="N40" s="3">
        <v>102.1</v>
      </c>
      <c r="O40" s="3">
        <v>12.1</v>
      </c>
      <c r="P40" s="3">
        <v>11.2</v>
      </c>
      <c r="Q40" s="5">
        <f t="shared" si="1"/>
        <v>1</v>
      </c>
      <c r="R40" s="5">
        <f t="shared" si="2"/>
        <v>1</v>
      </c>
      <c r="S40" s="5">
        <f t="shared" si="3"/>
        <v>1</v>
      </c>
      <c r="T40" s="5">
        <f t="shared" si="4"/>
        <v>1</v>
      </c>
    </row>
    <row r="41" spans="1:20">
      <c r="A41" t="s">
        <v>92</v>
      </c>
      <c r="B41" s="3">
        <v>25.66</v>
      </c>
      <c r="C41" s="3">
        <v>8.2771</v>
      </c>
      <c r="D41" s="3">
        <f t="shared" si="0"/>
        <v>212.390386</v>
      </c>
      <c r="E41" s="3">
        <f t="shared" si="5"/>
        <v>4.6260241636809</v>
      </c>
      <c r="F41" s="3">
        <f t="shared" si="6"/>
        <v>-0.00483249368848534</v>
      </c>
      <c r="G41" s="3">
        <f t="shared" si="7"/>
        <v>4.62119166999243</v>
      </c>
      <c r="H41" s="6">
        <v>102.7</v>
      </c>
      <c r="I41" s="6">
        <v>99.9</v>
      </c>
      <c r="J41" s="6">
        <v>101.6</v>
      </c>
      <c r="K41" s="3">
        <f t="shared" si="8"/>
        <v>-1.59999999999999</v>
      </c>
      <c r="L41" s="3">
        <f t="shared" si="9"/>
        <v>-0.299999999999997</v>
      </c>
      <c r="M41" s="3">
        <f t="shared" si="10"/>
        <v>0.799999999999997</v>
      </c>
      <c r="N41" s="3">
        <v>100.9</v>
      </c>
      <c r="O41" s="3">
        <v>11.5</v>
      </c>
      <c r="P41" s="3">
        <v>11.3</v>
      </c>
      <c r="Q41" s="5">
        <f t="shared" si="1"/>
        <v>1</v>
      </c>
      <c r="R41" s="5">
        <f t="shared" si="2"/>
        <v>1</v>
      </c>
      <c r="S41" s="5">
        <f t="shared" si="3"/>
        <v>1</v>
      </c>
      <c r="T41" s="5">
        <f t="shared" si="4"/>
        <v>1</v>
      </c>
    </row>
    <row r="42" spans="1:20">
      <c r="A42" t="s">
        <v>93</v>
      </c>
      <c r="B42" s="3">
        <v>28.31</v>
      </c>
      <c r="C42" s="3">
        <v>8.277</v>
      </c>
      <c r="D42" s="3">
        <f t="shared" si="0"/>
        <v>234.32187</v>
      </c>
      <c r="E42" s="3">
        <f t="shared" si="5"/>
        <v>9.82817399363178</v>
      </c>
      <c r="F42" s="3">
        <f t="shared" si="6"/>
        <v>-0.00120815991207435</v>
      </c>
      <c r="G42" s="3">
        <f t="shared" si="7"/>
        <v>9.82696583371969</v>
      </c>
      <c r="H42" s="6">
        <v>104.4</v>
      </c>
      <c r="I42" s="6">
        <v>99.8</v>
      </c>
      <c r="J42" s="6">
        <v>101.7</v>
      </c>
      <c r="K42" s="3">
        <f t="shared" si="8"/>
        <v>1.7</v>
      </c>
      <c r="L42" s="3">
        <f t="shared" si="9"/>
        <v>-0.100000000000009</v>
      </c>
      <c r="M42" s="3">
        <f t="shared" si="10"/>
        <v>0.100000000000009</v>
      </c>
      <c r="N42" s="3">
        <v>101.1</v>
      </c>
      <c r="O42" s="3">
        <v>10.2</v>
      </c>
      <c r="P42" s="3">
        <v>11.1</v>
      </c>
      <c r="Q42" s="5">
        <f t="shared" si="1"/>
        <v>1</v>
      </c>
      <c r="R42" s="5">
        <f t="shared" si="2"/>
        <v>1</v>
      </c>
      <c r="S42" s="5">
        <f t="shared" si="3"/>
        <v>1</v>
      </c>
      <c r="T42" s="5">
        <f t="shared" si="4"/>
        <v>1</v>
      </c>
    </row>
    <row r="43" spans="1:20">
      <c r="A43" t="s">
        <v>94</v>
      </c>
      <c r="B43" s="3">
        <v>27.85</v>
      </c>
      <c r="C43" s="3">
        <v>8.277</v>
      </c>
      <c r="D43" s="3">
        <f t="shared" si="0"/>
        <v>230.51445</v>
      </c>
      <c r="E43" s="3">
        <f t="shared" si="5"/>
        <v>-1.63821327505151</v>
      </c>
      <c r="F43" s="3">
        <f t="shared" si="6"/>
        <v>0</v>
      </c>
      <c r="G43" s="3">
        <f t="shared" si="7"/>
        <v>-1.63821327505151</v>
      </c>
      <c r="H43" s="6">
        <v>103.2</v>
      </c>
      <c r="I43" s="6">
        <v>99.4</v>
      </c>
      <c r="J43" s="6">
        <v>101.4</v>
      </c>
      <c r="K43" s="3">
        <f t="shared" si="8"/>
        <v>-1.2</v>
      </c>
      <c r="L43" s="3">
        <f t="shared" si="9"/>
        <v>-0.399999999999991</v>
      </c>
      <c r="M43" s="3">
        <f t="shared" si="10"/>
        <v>-0.299999999999997</v>
      </c>
      <c r="N43" s="3">
        <v>100.5</v>
      </c>
      <c r="O43" s="3">
        <v>10.1</v>
      </c>
      <c r="P43" s="3">
        <v>11</v>
      </c>
      <c r="Q43" s="5">
        <f t="shared" si="1"/>
        <v>1</v>
      </c>
      <c r="R43" s="5">
        <f t="shared" si="2"/>
        <v>1</v>
      </c>
      <c r="S43" s="5">
        <f t="shared" si="3"/>
        <v>1</v>
      </c>
      <c r="T43" s="5">
        <f t="shared" si="4"/>
        <v>1</v>
      </c>
    </row>
    <row r="44" spans="1:20">
      <c r="A44" t="s">
        <v>95</v>
      </c>
      <c r="B44" s="3">
        <v>24.61</v>
      </c>
      <c r="C44" s="3">
        <v>8.2769</v>
      </c>
      <c r="D44" s="3">
        <f t="shared" si="0"/>
        <v>203.694509</v>
      </c>
      <c r="E44" s="3">
        <f t="shared" si="5"/>
        <v>-12.3680101970329</v>
      </c>
      <c r="F44" s="3">
        <f t="shared" si="6"/>
        <v>-0.00120817450874138</v>
      </c>
      <c r="G44" s="3">
        <f t="shared" si="7"/>
        <v>-12.3692183715416</v>
      </c>
      <c r="H44" s="6">
        <v>100.8</v>
      </c>
      <c r="I44" s="6">
        <v>98.7</v>
      </c>
      <c r="J44" s="6">
        <v>101.5</v>
      </c>
      <c r="K44" s="3">
        <f t="shared" si="8"/>
        <v>-2.40000000000001</v>
      </c>
      <c r="L44" s="3">
        <f t="shared" si="9"/>
        <v>-0.700000000000003</v>
      </c>
      <c r="M44" s="3">
        <f t="shared" si="10"/>
        <v>0.0999999999999943</v>
      </c>
      <c r="N44" s="3">
        <v>99.6</v>
      </c>
      <c r="O44" s="3">
        <v>8.1</v>
      </c>
      <c r="P44" s="3">
        <v>10.7</v>
      </c>
      <c r="Q44" s="5">
        <f t="shared" si="1"/>
        <v>1</v>
      </c>
      <c r="R44" s="5">
        <f t="shared" si="2"/>
        <v>1</v>
      </c>
      <c r="S44" s="5">
        <f t="shared" si="3"/>
        <v>1</v>
      </c>
      <c r="T44" s="5">
        <f t="shared" si="4"/>
        <v>1</v>
      </c>
    </row>
    <row r="45" spans="1:20">
      <c r="A45" t="s">
        <v>96</v>
      </c>
      <c r="B45" s="3">
        <v>25.68</v>
      </c>
      <c r="C45" s="3">
        <v>8.277</v>
      </c>
      <c r="D45" s="3">
        <f t="shared" si="0"/>
        <v>212.55336</v>
      </c>
      <c r="E45" s="3">
        <f t="shared" si="5"/>
        <v>4.25596144187959</v>
      </c>
      <c r="F45" s="3">
        <f t="shared" si="6"/>
        <v>0.001208174508742</v>
      </c>
      <c r="G45" s="3">
        <f t="shared" si="7"/>
        <v>4.25716961638833</v>
      </c>
      <c r="H45" s="6">
        <v>98.8</v>
      </c>
      <c r="I45" s="6">
        <v>98</v>
      </c>
      <c r="J45" s="6">
        <v>101</v>
      </c>
      <c r="K45" s="3">
        <f t="shared" si="8"/>
        <v>-2</v>
      </c>
      <c r="L45" s="3">
        <f t="shared" si="9"/>
        <v>-0.700000000000003</v>
      </c>
      <c r="M45" s="3">
        <f t="shared" si="10"/>
        <v>-0.5</v>
      </c>
      <c r="N45" s="3">
        <v>98.7</v>
      </c>
      <c r="O45" s="3">
        <v>8.1</v>
      </c>
      <c r="P45" s="3">
        <v>10.4</v>
      </c>
      <c r="Q45" s="5">
        <f t="shared" si="1"/>
        <v>1</v>
      </c>
      <c r="R45" s="5">
        <f t="shared" si="2"/>
        <v>1</v>
      </c>
      <c r="S45" s="5">
        <f t="shared" si="3"/>
        <v>1</v>
      </c>
      <c r="T45" s="5">
        <f t="shared" si="4"/>
        <v>1</v>
      </c>
    </row>
    <row r="46" spans="1:20">
      <c r="A46" t="s">
        <v>97</v>
      </c>
      <c r="B46" s="3">
        <v>25.62</v>
      </c>
      <c r="C46" s="3">
        <v>8.2768</v>
      </c>
      <c r="D46" s="3">
        <f t="shared" si="0"/>
        <v>212.051616</v>
      </c>
      <c r="E46" s="3">
        <f t="shared" si="5"/>
        <v>-0.233918235317216</v>
      </c>
      <c r="F46" s="3">
        <f t="shared" si="6"/>
        <v>-0.00241636361450446</v>
      </c>
      <c r="G46" s="3">
        <f t="shared" si="7"/>
        <v>-0.236334598931724</v>
      </c>
      <c r="H46" s="6">
        <v>98.1</v>
      </c>
      <c r="I46" s="6">
        <v>97.1</v>
      </c>
      <c r="J46" s="6">
        <v>99.9</v>
      </c>
      <c r="K46" s="3">
        <f t="shared" si="8"/>
        <v>-0.700000000000003</v>
      </c>
      <c r="L46" s="3">
        <f t="shared" si="9"/>
        <v>-0.900000000000006</v>
      </c>
      <c r="M46" s="3">
        <f t="shared" si="10"/>
        <v>-1.09999999999999</v>
      </c>
      <c r="N46" s="3">
        <v>98.2</v>
      </c>
      <c r="O46" s="3">
        <v>9.5</v>
      </c>
      <c r="P46" s="3">
        <v>10.3</v>
      </c>
      <c r="Q46" s="5">
        <f t="shared" si="1"/>
        <v>1</v>
      </c>
      <c r="R46" s="5">
        <f t="shared" si="2"/>
        <v>1</v>
      </c>
      <c r="S46" s="5">
        <f t="shared" si="3"/>
        <v>1</v>
      </c>
      <c r="T46" s="5">
        <f t="shared" si="4"/>
        <v>1</v>
      </c>
    </row>
    <row r="47" spans="1:20">
      <c r="A47" t="s">
        <v>98</v>
      </c>
      <c r="B47" s="3">
        <v>20.54</v>
      </c>
      <c r="C47" s="3">
        <v>8.2768</v>
      </c>
      <c r="D47" s="3">
        <f t="shared" si="0"/>
        <v>170.005472</v>
      </c>
      <c r="E47" s="3">
        <f t="shared" si="5"/>
        <v>-22.0999091968176</v>
      </c>
      <c r="F47" s="3">
        <f t="shared" si="6"/>
        <v>0</v>
      </c>
      <c r="G47" s="3">
        <f t="shared" si="7"/>
        <v>-22.0999091968176</v>
      </c>
      <c r="H47" s="6">
        <v>96.7</v>
      </c>
      <c r="I47" s="6">
        <v>96.9</v>
      </c>
      <c r="J47" s="6">
        <v>100.2</v>
      </c>
      <c r="K47" s="3">
        <f t="shared" si="8"/>
        <v>-1.39999999999999</v>
      </c>
      <c r="L47" s="3">
        <f t="shared" si="9"/>
        <v>-0.199999999999989</v>
      </c>
      <c r="M47" s="3">
        <f t="shared" si="10"/>
        <v>0.299999999999997</v>
      </c>
      <c r="N47" s="3">
        <v>97.5</v>
      </c>
      <c r="O47" s="3">
        <v>8.8</v>
      </c>
      <c r="P47" s="3">
        <v>10.2</v>
      </c>
      <c r="Q47" s="5">
        <f t="shared" si="1"/>
        <v>1</v>
      </c>
      <c r="R47" s="5">
        <f t="shared" si="2"/>
        <v>1</v>
      </c>
      <c r="S47" s="5">
        <f t="shared" si="3"/>
        <v>1</v>
      </c>
      <c r="T47" s="5">
        <f t="shared" si="4"/>
        <v>1</v>
      </c>
    </row>
    <row r="48" spans="1:20">
      <c r="A48" t="s">
        <v>99</v>
      </c>
      <c r="B48" s="3">
        <v>18.8</v>
      </c>
      <c r="C48" s="3">
        <v>8.2769</v>
      </c>
      <c r="D48" s="3">
        <f t="shared" si="0"/>
        <v>155.60572</v>
      </c>
      <c r="E48" s="3">
        <f t="shared" si="5"/>
        <v>-8.85173346645086</v>
      </c>
      <c r="F48" s="3">
        <f t="shared" si="6"/>
        <v>0.00120818910577797</v>
      </c>
      <c r="G48" s="3">
        <f t="shared" si="7"/>
        <v>-8.8505252773451</v>
      </c>
      <c r="H48" s="6">
        <v>94.7</v>
      </c>
      <c r="I48" s="6">
        <v>96.3</v>
      </c>
      <c r="J48" s="6">
        <v>99.7</v>
      </c>
      <c r="K48" s="3">
        <f t="shared" si="8"/>
        <v>-2</v>
      </c>
      <c r="L48" s="3">
        <f t="shared" si="9"/>
        <v>-0.600000000000009</v>
      </c>
      <c r="M48" s="3">
        <f t="shared" si="10"/>
        <v>-0.5</v>
      </c>
      <c r="N48" s="3">
        <v>96.5</v>
      </c>
      <c r="O48" s="3">
        <v>7.9</v>
      </c>
      <c r="P48" s="3">
        <v>10</v>
      </c>
      <c r="Q48" s="5">
        <f t="shared" si="1"/>
        <v>1</v>
      </c>
      <c r="R48" s="5">
        <f t="shared" si="2"/>
        <v>1</v>
      </c>
      <c r="S48" s="5">
        <f t="shared" si="3"/>
        <v>1</v>
      </c>
      <c r="T48" s="5">
        <f t="shared" si="4"/>
        <v>1</v>
      </c>
    </row>
    <row r="49" spans="1:20">
      <c r="A49" t="s">
        <v>100</v>
      </c>
      <c r="B49" s="3">
        <v>18.71</v>
      </c>
      <c r="C49" s="3">
        <v>8.2764</v>
      </c>
      <c r="D49" s="3">
        <f t="shared" si="0"/>
        <v>154.851444</v>
      </c>
      <c r="E49" s="3">
        <f t="shared" si="5"/>
        <v>-0.479872954990529</v>
      </c>
      <c r="F49" s="3">
        <f t="shared" si="6"/>
        <v>-0.00604109150623439</v>
      </c>
      <c r="G49" s="3">
        <f t="shared" si="7"/>
        <v>-0.485914046496762</v>
      </c>
      <c r="H49" s="6">
        <v>94.1</v>
      </c>
      <c r="I49" s="6">
        <v>96</v>
      </c>
      <c r="J49" s="6">
        <v>99.7</v>
      </c>
      <c r="K49" s="3">
        <f t="shared" si="8"/>
        <v>-0.600000000000009</v>
      </c>
      <c r="L49" s="3">
        <f t="shared" si="9"/>
        <v>-0.299999999999997</v>
      </c>
      <c r="M49" s="3">
        <f t="shared" si="10"/>
        <v>0</v>
      </c>
      <c r="N49" s="3">
        <v>95.9</v>
      </c>
      <c r="O49" s="3">
        <v>8.7</v>
      </c>
      <c r="P49" s="3">
        <v>9.9</v>
      </c>
      <c r="Q49" s="5">
        <f t="shared" si="1"/>
        <v>1</v>
      </c>
      <c r="R49" s="5">
        <f t="shared" si="2"/>
        <v>1</v>
      </c>
      <c r="S49" s="5">
        <f t="shared" si="3"/>
        <v>1</v>
      </c>
      <c r="T49" s="5">
        <f t="shared" si="4"/>
        <v>1</v>
      </c>
    </row>
    <row r="50" spans="1:20">
      <c r="A50" t="s">
        <v>101</v>
      </c>
      <c r="B50" s="3">
        <v>19.42</v>
      </c>
      <c r="C50" s="3">
        <v>8.2771</v>
      </c>
      <c r="D50" s="3">
        <f t="shared" si="0"/>
        <v>160.741282</v>
      </c>
      <c r="E50" s="3">
        <f t="shared" si="5"/>
        <v>3.72453225771807</v>
      </c>
      <c r="F50" s="3">
        <f t="shared" si="6"/>
        <v>0.00845742592705996</v>
      </c>
      <c r="G50" s="3">
        <f t="shared" si="7"/>
        <v>3.73298968364514</v>
      </c>
      <c r="H50" s="6">
        <v>94.1</v>
      </c>
      <c r="I50" s="6">
        <v>96</v>
      </c>
      <c r="J50" s="6">
        <v>99</v>
      </c>
      <c r="K50" s="3">
        <f t="shared" si="8"/>
        <v>0</v>
      </c>
      <c r="L50" s="3">
        <f t="shared" si="9"/>
        <v>0</v>
      </c>
      <c r="M50" s="3">
        <f t="shared" si="10"/>
        <v>-0.700000000000003</v>
      </c>
      <c r="N50" s="3">
        <v>95.1</v>
      </c>
      <c r="O50" s="3"/>
      <c r="P50" s="3"/>
      <c r="Q50" s="5">
        <f t="shared" si="1"/>
        <v>1</v>
      </c>
      <c r="R50" s="5">
        <f t="shared" si="2"/>
        <v>1</v>
      </c>
      <c r="S50" s="5">
        <f t="shared" si="3"/>
        <v>1</v>
      </c>
      <c r="T50" s="5">
        <f t="shared" si="4"/>
        <v>1</v>
      </c>
    </row>
    <row r="51" spans="1:20">
      <c r="A51" t="s">
        <v>102</v>
      </c>
      <c r="B51" s="3">
        <v>20.28</v>
      </c>
      <c r="C51" s="3">
        <v>8.2767</v>
      </c>
      <c r="D51" s="3">
        <f t="shared" si="0"/>
        <v>167.851476</v>
      </c>
      <c r="E51" s="3">
        <f t="shared" si="5"/>
        <v>4.33317158598035</v>
      </c>
      <c r="F51" s="3">
        <f t="shared" si="6"/>
        <v>-0.00483272722974435</v>
      </c>
      <c r="G51" s="3">
        <f t="shared" si="7"/>
        <v>4.3283388587506</v>
      </c>
      <c r="H51" s="6">
        <v>95.3</v>
      </c>
      <c r="I51" s="6">
        <v>95.9</v>
      </c>
      <c r="J51" s="6">
        <v>100</v>
      </c>
      <c r="K51" s="3">
        <f t="shared" si="8"/>
        <v>1.2</v>
      </c>
      <c r="L51" s="3">
        <f t="shared" si="9"/>
        <v>-0.0999999999999943</v>
      </c>
      <c r="M51" s="3">
        <f t="shared" si="10"/>
        <v>1</v>
      </c>
      <c r="N51" s="3">
        <v>95.3</v>
      </c>
      <c r="O51" s="3">
        <v>2.7</v>
      </c>
      <c r="P51" s="3">
        <v>10.9</v>
      </c>
      <c r="Q51" s="5">
        <f t="shared" si="1"/>
        <v>1</v>
      </c>
      <c r="R51" s="5">
        <f t="shared" si="2"/>
        <v>1</v>
      </c>
      <c r="S51" s="5">
        <f t="shared" si="3"/>
        <v>1</v>
      </c>
      <c r="T51" s="5">
        <f t="shared" si="4"/>
        <v>1</v>
      </c>
    </row>
    <row r="52" spans="1:20">
      <c r="A52" t="s">
        <v>103</v>
      </c>
      <c r="B52" s="3">
        <v>23.7</v>
      </c>
      <c r="C52" s="3">
        <v>8.2773</v>
      </c>
      <c r="D52" s="3">
        <f t="shared" si="0"/>
        <v>196.17201</v>
      </c>
      <c r="E52" s="3">
        <f t="shared" si="5"/>
        <v>15.5839869418103</v>
      </c>
      <c r="F52" s="3">
        <f t="shared" si="6"/>
        <v>0.00724900326522015</v>
      </c>
      <c r="G52" s="3">
        <f t="shared" si="7"/>
        <v>15.5912359450755</v>
      </c>
      <c r="H52" s="6">
        <v>95.8</v>
      </c>
      <c r="I52" s="6">
        <v>96</v>
      </c>
      <c r="J52" s="6">
        <v>99.2</v>
      </c>
      <c r="K52" s="3">
        <f t="shared" si="8"/>
        <v>0.5</v>
      </c>
      <c r="L52" s="3">
        <f t="shared" si="9"/>
        <v>0.0999999999999943</v>
      </c>
      <c r="M52" s="3">
        <f t="shared" si="10"/>
        <v>-0.799999999999997</v>
      </c>
      <c r="N52" s="3">
        <v>95.4</v>
      </c>
      <c r="O52" s="3">
        <v>10.9</v>
      </c>
      <c r="P52" s="3">
        <v>10.9</v>
      </c>
      <c r="Q52" s="5">
        <f t="shared" si="1"/>
        <v>1</v>
      </c>
      <c r="R52" s="5">
        <f t="shared" si="2"/>
        <v>1</v>
      </c>
      <c r="S52" s="5">
        <f t="shared" si="3"/>
        <v>1</v>
      </c>
      <c r="T52" s="5">
        <f t="shared" si="4"/>
        <v>1</v>
      </c>
    </row>
    <row r="53" spans="1:20">
      <c r="A53" t="s">
        <v>104</v>
      </c>
      <c r="B53" s="3">
        <v>25.73</v>
      </c>
      <c r="C53" s="3">
        <v>8.2772</v>
      </c>
      <c r="D53" s="3">
        <f t="shared" si="0"/>
        <v>212.972356</v>
      </c>
      <c r="E53" s="3">
        <f t="shared" si="5"/>
        <v>8.21825781525674</v>
      </c>
      <c r="F53" s="3">
        <f t="shared" si="6"/>
        <v>-0.0012081307197506</v>
      </c>
      <c r="G53" s="3">
        <f t="shared" si="7"/>
        <v>8.21704968453697</v>
      </c>
      <c r="H53" s="6">
        <v>98.2</v>
      </c>
      <c r="I53" s="6">
        <v>96.9</v>
      </c>
      <c r="J53" s="6">
        <v>98.7</v>
      </c>
      <c r="K53" s="3">
        <f t="shared" si="8"/>
        <v>2.40000000000001</v>
      </c>
      <c r="L53" s="3">
        <f t="shared" si="9"/>
        <v>0.900000000000006</v>
      </c>
      <c r="M53" s="3">
        <f t="shared" si="10"/>
        <v>-0.5</v>
      </c>
      <c r="N53" s="3">
        <v>96.2</v>
      </c>
      <c r="O53" s="3">
        <v>12.1</v>
      </c>
      <c r="P53" s="3">
        <v>11.2</v>
      </c>
      <c r="Q53" s="5">
        <f t="shared" si="1"/>
        <v>1</v>
      </c>
      <c r="R53" s="5">
        <f t="shared" si="2"/>
        <v>1</v>
      </c>
      <c r="S53" s="5">
        <f t="shared" si="3"/>
        <v>1</v>
      </c>
      <c r="T53" s="5">
        <f t="shared" si="4"/>
        <v>1</v>
      </c>
    </row>
    <row r="54" spans="1:20">
      <c r="A54" t="s">
        <v>105</v>
      </c>
      <c r="B54" s="3">
        <v>25.35</v>
      </c>
      <c r="C54" s="3">
        <v>8.277</v>
      </c>
      <c r="D54" s="3">
        <f t="shared" si="0"/>
        <v>209.82195</v>
      </c>
      <c r="E54" s="3">
        <f t="shared" si="5"/>
        <v>-1.48788962564606</v>
      </c>
      <c r="F54" s="3">
        <f t="shared" si="6"/>
        <v>-0.00241630522780816</v>
      </c>
      <c r="G54" s="3">
        <f t="shared" si="7"/>
        <v>-1.49030593087387</v>
      </c>
      <c r="H54" s="6">
        <v>100.3</v>
      </c>
      <c r="I54" s="6">
        <v>97.4</v>
      </c>
      <c r="J54" s="6">
        <v>98.9</v>
      </c>
      <c r="K54" s="3">
        <f t="shared" si="8"/>
        <v>2.09999999999999</v>
      </c>
      <c r="L54" s="3">
        <f t="shared" si="9"/>
        <v>0.5</v>
      </c>
      <c r="M54" s="3">
        <f t="shared" si="10"/>
        <v>0.200000000000003</v>
      </c>
      <c r="N54" s="3">
        <v>97.2</v>
      </c>
      <c r="O54" s="3">
        <v>12.9</v>
      </c>
      <c r="P54" s="3">
        <v>11.6</v>
      </c>
      <c r="Q54" s="5">
        <f t="shared" si="1"/>
        <v>1</v>
      </c>
      <c r="R54" s="5">
        <f t="shared" si="2"/>
        <v>1</v>
      </c>
      <c r="S54" s="5">
        <f t="shared" si="3"/>
        <v>1</v>
      </c>
      <c r="T54" s="5">
        <f t="shared" si="4"/>
        <v>1</v>
      </c>
    </row>
    <row r="55" spans="1:20">
      <c r="A55" t="s">
        <v>106</v>
      </c>
      <c r="B55" s="3">
        <v>24.08</v>
      </c>
      <c r="C55" s="3">
        <v>8.2767</v>
      </c>
      <c r="D55" s="3">
        <f t="shared" si="0"/>
        <v>199.302936</v>
      </c>
      <c r="E55" s="3">
        <f t="shared" si="5"/>
        <v>-5.1397109596572</v>
      </c>
      <c r="F55" s="3">
        <f t="shared" si="6"/>
        <v>-0.00362456731766415</v>
      </c>
      <c r="G55" s="3">
        <f t="shared" si="7"/>
        <v>-5.14333552697486</v>
      </c>
      <c r="H55" s="6">
        <v>100.1</v>
      </c>
      <c r="I55" s="6">
        <v>97.5</v>
      </c>
      <c r="J55" s="6">
        <v>99.2</v>
      </c>
      <c r="K55" s="3">
        <f t="shared" si="8"/>
        <v>-0.200000000000003</v>
      </c>
      <c r="L55" s="3">
        <f t="shared" si="9"/>
        <v>0.0999999999999943</v>
      </c>
      <c r="M55" s="3">
        <f t="shared" si="10"/>
        <v>0.299999999999997</v>
      </c>
      <c r="N55" s="3">
        <v>97.2</v>
      </c>
      <c r="O55" s="3">
        <v>12.4</v>
      </c>
      <c r="P55" s="3">
        <v>11.7</v>
      </c>
      <c r="Q55" s="5">
        <f t="shared" si="1"/>
        <v>1</v>
      </c>
      <c r="R55" s="5">
        <f t="shared" si="2"/>
        <v>1</v>
      </c>
      <c r="S55" s="5">
        <f t="shared" si="3"/>
        <v>1</v>
      </c>
      <c r="T55" s="5">
        <f t="shared" si="4"/>
        <v>1</v>
      </c>
    </row>
    <row r="56" spans="1:20">
      <c r="A56" t="s">
        <v>107</v>
      </c>
      <c r="B56" s="3">
        <v>25.74</v>
      </c>
      <c r="C56" s="3">
        <v>8.2768</v>
      </c>
      <c r="D56" s="3">
        <f t="shared" si="0"/>
        <v>213.044832</v>
      </c>
      <c r="E56" s="3">
        <f t="shared" si="5"/>
        <v>6.66645817273604</v>
      </c>
      <c r="F56" s="3">
        <f t="shared" si="6"/>
        <v>0.001208203703147</v>
      </c>
      <c r="G56" s="3">
        <f t="shared" si="7"/>
        <v>6.66766637643919</v>
      </c>
      <c r="H56" s="6">
        <v>99.8</v>
      </c>
      <c r="I56" s="6">
        <v>97.7</v>
      </c>
      <c r="J56" s="6">
        <v>99.1</v>
      </c>
      <c r="K56" s="3">
        <f t="shared" si="8"/>
        <v>-0.299999999999997</v>
      </c>
      <c r="L56" s="3">
        <f t="shared" si="9"/>
        <v>0.200000000000003</v>
      </c>
      <c r="M56" s="3">
        <f t="shared" si="10"/>
        <v>-0.100000000000009</v>
      </c>
      <c r="N56" s="3">
        <v>97.5</v>
      </c>
      <c r="O56" s="3">
        <v>12.8</v>
      </c>
      <c r="P56" s="3">
        <v>11.8</v>
      </c>
      <c r="Q56" s="5">
        <f t="shared" si="1"/>
        <v>1</v>
      </c>
      <c r="R56" s="5">
        <f t="shared" si="2"/>
        <v>1</v>
      </c>
      <c r="S56" s="5">
        <f t="shared" si="3"/>
        <v>1</v>
      </c>
      <c r="T56" s="5">
        <f t="shared" si="4"/>
        <v>1</v>
      </c>
    </row>
    <row r="57" spans="1:20">
      <c r="A57" t="s">
        <v>108</v>
      </c>
      <c r="B57" s="3">
        <v>26.65</v>
      </c>
      <c r="C57" s="3">
        <v>8.2767</v>
      </c>
      <c r="D57" s="3">
        <f t="shared" si="0"/>
        <v>220.574055</v>
      </c>
      <c r="E57" s="3">
        <f t="shared" si="5"/>
        <v>3.47429484438731</v>
      </c>
      <c r="F57" s="3">
        <f t="shared" si="6"/>
        <v>-0.00120820370315239</v>
      </c>
      <c r="G57" s="3">
        <f t="shared" si="7"/>
        <v>3.47308664068414</v>
      </c>
      <c r="H57" s="6">
        <v>100.7</v>
      </c>
      <c r="I57" s="6">
        <v>98.3</v>
      </c>
      <c r="J57" s="6">
        <v>99.3</v>
      </c>
      <c r="K57" s="3">
        <f t="shared" si="8"/>
        <v>0.900000000000006</v>
      </c>
      <c r="L57" s="3">
        <f t="shared" si="9"/>
        <v>0.599999999999994</v>
      </c>
      <c r="M57" s="3">
        <f t="shared" si="10"/>
        <v>0.200000000000003</v>
      </c>
      <c r="N57" s="3">
        <v>98</v>
      </c>
      <c r="O57" s="3">
        <v>12.7</v>
      </c>
      <c r="P57" s="3">
        <v>12</v>
      </c>
      <c r="Q57" s="5">
        <f t="shared" si="1"/>
        <v>1</v>
      </c>
      <c r="R57" s="5">
        <f t="shared" si="2"/>
        <v>1</v>
      </c>
      <c r="S57" s="5">
        <f t="shared" si="3"/>
        <v>1</v>
      </c>
      <c r="T57" s="5">
        <f t="shared" si="4"/>
        <v>1</v>
      </c>
    </row>
    <row r="58" spans="1:20">
      <c r="A58" t="s">
        <v>109</v>
      </c>
      <c r="B58" s="3">
        <v>28.4</v>
      </c>
      <c r="C58" s="3">
        <v>8.277</v>
      </c>
      <c r="D58" s="3">
        <f t="shared" si="0"/>
        <v>235.0668</v>
      </c>
      <c r="E58" s="3">
        <f t="shared" si="5"/>
        <v>6.35999945553069</v>
      </c>
      <c r="F58" s="3">
        <f t="shared" si="6"/>
        <v>0.00362456731765938</v>
      </c>
      <c r="G58" s="3">
        <f t="shared" si="7"/>
        <v>6.36362402284835</v>
      </c>
      <c r="H58" s="6">
        <v>101.8</v>
      </c>
      <c r="I58" s="6">
        <v>98.6</v>
      </c>
      <c r="J58" s="6">
        <v>99.3</v>
      </c>
      <c r="K58" s="3">
        <f t="shared" si="8"/>
        <v>1.09999999999999</v>
      </c>
      <c r="L58" s="3">
        <f t="shared" si="9"/>
        <v>0.299999999999997</v>
      </c>
      <c r="M58" s="3">
        <f t="shared" si="10"/>
        <v>0</v>
      </c>
      <c r="N58" s="3">
        <v>98.8</v>
      </c>
      <c r="O58" s="3">
        <v>13.8</v>
      </c>
      <c r="P58" s="3">
        <v>12.2</v>
      </c>
      <c r="Q58" s="5">
        <f t="shared" si="1"/>
        <v>1</v>
      </c>
      <c r="R58" s="5">
        <f t="shared" si="2"/>
        <v>1</v>
      </c>
      <c r="S58" s="5">
        <f t="shared" si="3"/>
        <v>1</v>
      </c>
      <c r="T58" s="5">
        <f t="shared" si="4"/>
        <v>1</v>
      </c>
    </row>
    <row r="59" spans="1:20">
      <c r="A59" t="s">
        <v>110</v>
      </c>
      <c r="B59" s="3">
        <v>27.54</v>
      </c>
      <c r="C59" s="3">
        <v>8.2772</v>
      </c>
      <c r="D59" s="3">
        <f t="shared" si="0"/>
        <v>227.954088</v>
      </c>
      <c r="E59" s="3">
        <f t="shared" si="5"/>
        <v>-3.07496518666515</v>
      </c>
      <c r="F59" s="3">
        <f t="shared" si="6"/>
        <v>0.00241630522781742</v>
      </c>
      <c r="G59" s="3">
        <f t="shared" si="7"/>
        <v>-3.07254888143735</v>
      </c>
      <c r="H59" s="6">
        <v>102.6</v>
      </c>
      <c r="I59" s="6">
        <v>99</v>
      </c>
      <c r="J59" s="6">
        <v>99.2</v>
      </c>
      <c r="K59" s="3">
        <f t="shared" si="8"/>
        <v>0.799999999999997</v>
      </c>
      <c r="L59" s="3">
        <f t="shared" si="9"/>
        <v>0.400000000000006</v>
      </c>
      <c r="M59" s="3">
        <f t="shared" si="10"/>
        <v>-0.0999999999999943</v>
      </c>
      <c r="N59" s="3">
        <v>99.4</v>
      </c>
      <c r="O59" s="3">
        <v>14.2</v>
      </c>
      <c r="P59" s="3">
        <v>12.3</v>
      </c>
      <c r="Q59" s="5">
        <f t="shared" si="1"/>
        <v>1</v>
      </c>
      <c r="R59" s="5">
        <f t="shared" si="2"/>
        <v>1</v>
      </c>
      <c r="S59" s="5">
        <f t="shared" si="3"/>
        <v>1</v>
      </c>
      <c r="T59" s="5">
        <f t="shared" si="4"/>
        <v>1</v>
      </c>
    </row>
    <row r="60" spans="1:20">
      <c r="A60" t="s">
        <v>111</v>
      </c>
      <c r="B60" s="3">
        <v>24.34</v>
      </c>
      <c r="C60" s="3">
        <v>8.2772</v>
      </c>
      <c r="D60" s="3">
        <f t="shared" si="0"/>
        <v>201.467048</v>
      </c>
      <c r="E60" s="3">
        <f t="shared" si="5"/>
        <v>-12.3518405741128</v>
      </c>
      <c r="F60" s="3">
        <f t="shared" si="6"/>
        <v>0</v>
      </c>
      <c r="G60" s="3">
        <f t="shared" si="7"/>
        <v>-12.3518405741128</v>
      </c>
      <c r="H60" s="6">
        <v>105.7</v>
      </c>
      <c r="I60" s="6">
        <v>99.6</v>
      </c>
      <c r="J60" s="6">
        <v>99.3</v>
      </c>
      <c r="K60" s="3">
        <f t="shared" si="8"/>
        <v>3.10000000000001</v>
      </c>
      <c r="L60" s="3">
        <f t="shared" si="9"/>
        <v>0.599999999999994</v>
      </c>
      <c r="M60" s="3">
        <f t="shared" si="10"/>
        <v>0.0999999999999943</v>
      </c>
      <c r="N60" s="3">
        <v>100.5</v>
      </c>
      <c r="O60" s="3">
        <v>14.5</v>
      </c>
      <c r="P60" s="3">
        <v>12.4</v>
      </c>
      <c r="Q60" s="5">
        <f t="shared" si="1"/>
        <v>1</v>
      </c>
      <c r="R60" s="5">
        <f t="shared" si="2"/>
        <v>1</v>
      </c>
      <c r="S60" s="5">
        <f t="shared" si="3"/>
        <v>1</v>
      </c>
      <c r="T60" s="5">
        <f t="shared" si="4"/>
        <v>1</v>
      </c>
    </row>
    <row r="61" spans="1:20">
      <c r="A61" t="s">
        <v>112</v>
      </c>
      <c r="B61" s="3">
        <v>28.33</v>
      </c>
      <c r="C61" s="3">
        <v>8.2777</v>
      </c>
      <c r="D61" s="3">
        <f t="shared" si="0"/>
        <v>234.507241</v>
      </c>
      <c r="E61" s="3">
        <f t="shared" si="5"/>
        <v>15.1800226283044</v>
      </c>
      <c r="F61" s="3">
        <f t="shared" si="6"/>
        <v>0.00604050764609032</v>
      </c>
      <c r="G61" s="3">
        <f t="shared" si="7"/>
        <v>15.1860631359505</v>
      </c>
      <c r="H61" s="6">
        <v>107.2</v>
      </c>
      <c r="I61" s="6">
        <v>100.4</v>
      </c>
      <c r="J61" s="6">
        <v>99.6</v>
      </c>
      <c r="K61" s="3">
        <f t="shared" si="8"/>
        <v>1.5</v>
      </c>
      <c r="L61" s="3">
        <f t="shared" si="9"/>
        <v>0.800000000000011</v>
      </c>
      <c r="M61" s="3">
        <f t="shared" si="10"/>
        <v>0.299999999999997</v>
      </c>
      <c r="N61" s="3">
        <v>101.3</v>
      </c>
      <c r="O61" s="3">
        <v>14.9</v>
      </c>
      <c r="P61" s="3">
        <v>12.6</v>
      </c>
      <c r="Q61" s="5">
        <f t="shared" si="1"/>
        <v>1</v>
      </c>
      <c r="R61" s="5">
        <f t="shared" si="2"/>
        <v>1</v>
      </c>
      <c r="S61" s="5">
        <f t="shared" si="3"/>
        <v>1</v>
      </c>
      <c r="T61" s="5">
        <f t="shared" si="4"/>
        <v>1</v>
      </c>
    </row>
    <row r="62" spans="1:20">
      <c r="A62" t="s">
        <v>113</v>
      </c>
      <c r="B62" s="3">
        <v>31.18</v>
      </c>
      <c r="C62" s="3">
        <v>8.2775</v>
      </c>
      <c r="D62" s="3">
        <f t="shared" si="0"/>
        <v>258.09245</v>
      </c>
      <c r="E62" s="3">
        <f t="shared" si="5"/>
        <v>9.58555497872054</v>
      </c>
      <c r="F62" s="3">
        <f t="shared" si="6"/>
        <v>-0.00241615927333028</v>
      </c>
      <c r="G62" s="3">
        <f t="shared" si="7"/>
        <v>9.5831388194472</v>
      </c>
      <c r="H62" s="6">
        <v>110.2</v>
      </c>
      <c r="I62" s="6">
        <v>102.4</v>
      </c>
      <c r="J62" s="6">
        <v>100.4</v>
      </c>
      <c r="K62" s="3">
        <f t="shared" si="8"/>
        <v>3</v>
      </c>
      <c r="L62" s="3">
        <f t="shared" si="9"/>
        <v>2</v>
      </c>
      <c r="M62" s="3">
        <f t="shared" si="10"/>
        <v>0.800000000000011</v>
      </c>
      <c r="N62" s="3">
        <v>103.2</v>
      </c>
      <c r="O62" s="3"/>
      <c r="P62" s="3"/>
      <c r="Q62" s="5">
        <f t="shared" si="1"/>
        <v>1</v>
      </c>
      <c r="R62" s="5">
        <f t="shared" si="2"/>
        <v>1</v>
      </c>
      <c r="S62" s="5">
        <f t="shared" si="3"/>
        <v>1</v>
      </c>
      <c r="T62" s="5">
        <f t="shared" si="4"/>
        <v>1</v>
      </c>
    </row>
    <row r="63" spans="1:20">
      <c r="A63" t="s">
        <v>114</v>
      </c>
      <c r="B63" s="3">
        <v>32.77</v>
      </c>
      <c r="C63" s="3">
        <v>8.278</v>
      </c>
      <c r="D63" s="3">
        <f t="shared" si="0"/>
        <v>271.27006</v>
      </c>
      <c r="E63" s="3">
        <f t="shared" si="5"/>
        <v>4.97365990810929</v>
      </c>
      <c r="F63" s="3">
        <f t="shared" si="6"/>
        <v>0.00604028872764147</v>
      </c>
      <c r="G63" s="3">
        <f t="shared" si="7"/>
        <v>4.97970019683694</v>
      </c>
      <c r="H63" s="6">
        <v>113.4</v>
      </c>
      <c r="I63" s="6">
        <v>104</v>
      </c>
      <c r="J63" s="6">
        <v>100.2</v>
      </c>
      <c r="K63" s="3">
        <f t="shared" si="8"/>
        <v>3.2</v>
      </c>
      <c r="L63" s="3">
        <f t="shared" si="9"/>
        <v>1.59999999999999</v>
      </c>
      <c r="M63" s="3">
        <f t="shared" si="10"/>
        <v>-0.200000000000003</v>
      </c>
      <c r="N63" s="3">
        <v>104.8</v>
      </c>
      <c r="O63" s="3">
        <v>19.8</v>
      </c>
      <c r="P63" s="3">
        <v>17.5</v>
      </c>
      <c r="Q63" s="5">
        <f t="shared" si="1"/>
        <v>1</v>
      </c>
      <c r="R63" s="5">
        <f t="shared" si="2"/>
        <v>1</v>
      </c>
      <c r="S63" s="5">
        <f t="shared" si="3"/>
        <v>1</v>
      </c>
      <c r="T63" s="5">
        <f t="shared" si="4"/>
        <v>1</v>
      </c>
    </row>
    <row r="64" spans="1:20">
      <c r="A64" t="s">
        <v>115</v>
      </c>
      <c r="B64" s="3">
        <v>30.61</v>
      </c>
      <c r="C64" s="3">
        <v>8.2773</v>
      </c>
      <c r="D64" s="3">
        <f t="shared" si="0"/>
        <v>253.368153</v>
      </c>
      <c r="E64" s="3">
        <f t="shared" si="5"/>
        <v>-6.81867097534022</v>
      </c>
      <c r="F64" s="3">
        <f t="shared" si="6"/>
        <v>-0.00845650638063949</v>
      </c>
      <c r="G64" s="3">
        <f t="shared" si="7"/>
        <v>-6.82712748172087</v>
      </c>
      <c r="H64" s="6">
        <v>114.4</v>
      </c>
      <c r="I64" s="6">
        <v>104.6</v>
      </c>
      <c r="J64" s="6">
        <v>100.9</v>
      </c>
      <c r="K64" s="3">
        <f t="shared" si="8"/>
        <v>1</v>
      </c>
      <c r="L64" s="3">
        <f t="shared" si="9"/>
        <v>0.599999999999994</v>
      </c>
      <c r="M64" s="3">
        <f t="shared" si="10"/>
        <v>0.700000000000003</v>
      </c>
      <c r="N64" s="3">
        <v>105.8</v>
      </c>
      <c r="O64" s="3">
        <v>16.9</v>
      </c>
      <c r="P64" s="3">
        <v>17.2</v>
      </c>
      <c r="Q64" s="5">
        <f t="shared" si="1"/>
        <v>1</v>
      </c>
      <c r="R64" s="5">
        <f t="shared" si="2"/>
        <v>1</v>
      </c>
      <c r="S64" s="5">
        <f t="shared" si="3"/>
        <v>1</v>
      </c>
      <c r="T64" s="5">
        <f t="shared" si="4"/>
        <v>1</v>
      </c>
    </row>
    <row r="65" spans="1:20">
      <c r="A65" t="s">
        <v>116</v>
      </c>
      <c r="B65" s="3">
        <v>25</v>
      </c>
      <c r="C65" s="3">
        <v>8.2772</v>
      </c>
      <c r="D65" s="3">
        <f t="shared" si="0"/>
        <v>206.93</v>
      </c>
      <c r="E65" s="3">
        <f t="shared" si="5"/>
        <v>-20.245092808912</v>
      </c>
      <c r="F65" s="3">
        <f t="shared" si="6"/>
        <v>-0.0012081307197506</v>
      </c>
      <c r="G65" s="3">
        <f t="shared" si="7"/>
        <v>-20.2463009396318</v>
      </c>
      <c r="H65" s="6">
        <v>112.6</v>
      </c>
      <c r="I65" s="6">
        <v>103.6</v>
      </c>
      <c r="J65" s="6">
        <v>101</v>
      </c>
      <c r="K65" s="3">
        <f t="shared" si="8"/>
        <v>-1.80000000000001</v>
      </c>
      <c r="L65" s="3">
        <f t="shared" si="9"/>
        <v>-1</v>
      </c>
      <c r="M65" s="3">
        <f t="shared" si="10"/>
        <v>0.0999999999999943</v>
      </c>
      <c r="N65" s="3">
        <v>105.9</v>
      </c>
      <c r="O65" s="3">
        <v>14.9</v>
      </c>
      <c r="P65" s="3">
        <v>16.4</v>
      </c>
      <c r="Q65" s="5">
        <f t="shared" si="1"/>
        <v>1</v>
      </c>
      <c r="R65" s="5">
        <f t="shared" si="2"/>
        <v>1</v>
      </c>
      <c r="S65" s="5">
        <f t="shared" si="3"/>
        <v>1</v>
      </c>
      <c r="T65" s="5">
        <f t="shared" si="4"/>
        <v>1</v>
      </c>
    </row>
    <row r="66" spans="1:20">
      <c r="A66" t="s">
        <v>117</v>
      </c>
      <c r="B66" s="3">
        <v>25.86</v>
      </c>
      <c r="C66" s="3">
        <v>8.2769</v>
      </c>
      <c r="D66" s="3">
        <f t="shared" ref="D66:D129" si="11" xml:space="preserve">B66*C66</f>
        <v>214.040634</v>
      </c>
      <c r="E66" s="3">
        <f t="shared" si="5"/>
        <v>3.38215484755107</v>
      </c>
      <c r="F66" s="3">
        <f t="shared" si="6"/>
        <v>-0.00362447973654492</v>
      </c>
      <c r="G66" s="3">
        <f t="shared" si="7"/>
        <v>3.37853036781453</v>
      </c>
      <c r="H66" s="6">
        <v>107.5</v>
      </c>
      <c r="I66" s="6">
        <v>102</v>
      </c>
      <c r="J66" s="6">
        <v>100.7</v>
      </c>
      <c r="K66" s="3">
        <f t="shared" si="8"/>
        <v>-5.09999999999999</v>
      </c>
      <c r="L66" s="3">
        <f t="shared" si="9"/>
        <v>-1.59999999999999</v>
      </c>
      <c r="M66" s="3">
        <f t="shared" si="10"/>
        <v>-0.299999999999997</v>
      </c>
      <c r="N66" s="3">
        <v>104.4</v>
      </c>
      <c r="O66" s="3">
        <v>13.7</v>
      </c>
      <c r="P66" s="3">
        <v>15.9</v>
      </c>
      <c r="Q66" s="5">
        <f t="shared" ref="Q66:Q129" si="12" xml:space="preserve">IF(ROW()&gt;=5,1,0)</f>
        <v>1</v>
      </c>
      <c r="R66" s="5">
        <f t="shared" ref="R66:R129" si="13" xml:space="preserve">IF(AND(ROW()&gt;=5,ROW()+3&lt;=339),1,0)</f>
        <v>1</v>
      </c>
      <c r="S66" s="5">
        <f t="shared" ref="S66:S129" si="14" xml:space="preserve">IF(AND(ROW()&gt;=5,ROW()+6&lt;=339),1,0)</f>
        <v>1</v>
      </c>
      <c r="T66" s="5">
        <f t="shared" ref="T66:T129" si="15" xml:space="preserve">IF(AND(ROW()&gt;=5,ROW()+12&lt;=339),1,0)</f>
        <v>1</v>
      </c>
    </row>
    <row r="67" spans="1:20">
      <c r="A67" t="s">
        <v>118</v>
      </c>
      <c r="B67" s="3">
        <v>27.65</v>
      </c>
      <c r="C67" s="3">
        <v>8.2771</v>
      </c>
      <c r="D67" s="3">
        <f t="shared" si="11"/>
        <v>228.861815</v>
      </c>
      <c r="E67" s="3">
        <f t="shared" ref="E67:E130" si="16" xml:space="preserve">100*LN(B67/B66)</f>
        <v>6.69283546246324</v>
      </c>
      <c r="F67" s="3">
        <f t="shared" ref="F67:F130" si="17" xml:space="preserve">100*LN(C67/C66)</f>
        <v>0.00241633442082613</v>
      </c>
      <c r="G67" s="3">
        <f t="shared" ref="G67:G130" si="18" xml:space="preserve">100*LN(D67/D66)</f>
        <v>6.69525179688406</v>
      </c>
      <c r="H67" s="6">
        <v>105.2</v>
      </c>
      <c r="I67" s="6">
        <v>101.3</v>
      </c>
      <c r="J67" s="6">
        <v>100.3</v>
      </c>
      <c r="K67" s="3">
        <f t="shared" ref="K67:K130" si="19" xml:space="preserve">H67-H66</f>
        <v>-2.3</v>
      </c>
      <c r="L67" s="3">
        <f t="shared" ref="L67:L130" si="20" xml:space="preserve">I67-I66</f>
        <v>-0.700000000000003</v>
      </c>
      <c r="M67" s="3">
        <f t="shared" ref="M67:M130" si="21" xml:space="preserve">J67-J66</f>
        <v>-0.400000000000006</v>
      </c>
      <c r="N67" s="3">
        <v>103.9</v>
      </c>
      <c r="O67" s="3">
        <v>16.9</v>
      </c>
      <c r="P67" s="3">
        <v>16.2</v>
      </c>
      <c r="Q67" s="5">
        <f t="shared" si="12"/>
        <v>1</v>
      </c>
      <c r="R67" s="5">
        <f t="shared" si="13"/>
        <v>1</v>
      </c>
      <c r="S67" s="5">
        <f t="shared" si="14"/>
        <v>1</v>
      </c>
      <c r="T67" s="5">
        <f t="shared" si="15"/>
        <v>1</v>
      </c>
    </row>
    <row r="68" spans="1:20">
      <c r="A68" t="s">
        <v>119</v>
      </c>
      <c r="B68" s="3">
        <v>28.35</v>
      </c>
      <c r="C68" s="3">
        <v>8.2773</v>
      </c>
      <c r="D68" s="3">
        <f t="shared" si="11"/>
        <v>234.661455</v>
      </c>
      <c r="E68" s="3">
        <f t="shared" si="16"/>
        <v>2.50013022054174</v>
      </c>
      <c r="F68" s="3">
        <f t="shared" si="17"/>
        <v>0.00241627603549703</v>
      </c>
      <c r="G68" s="3">
        <f t="shared" si="18"/>
        <v>2.50254649657723</v>
      </c>
      <c r="H68" s="6">
        <v>105</v>
      </c>
      <c r="I68" s="6">
        <v>101.4</v>
      </c>
      <c r="J68" s="6">
        <v>100.5</v>
      </c>
      <c r="K68" s="3">
        <f t="shared" si="19"/>
        <v>-0.200000000000003</v>
      </c>
      <c r="L68" s="3">
        <f t="shared" si="20"/>
        <v>0.100000000000009</v>
      </c>
      <c r="M68" s="3">
        <f t="shared" si="21"/>
        <v>0.200000000000003</v>
      </c>
      <c r="N68" s="3">
        <v>104</v>
      </c>
      <c r="O68" s="3">
        <v>16.5</v>
      </c>
      <c r="P68" s="3">
        <v>16.4</v>
      </c>
      <c r="Q68" s="5">
        <f t="shared" si="12"/>
        <v>1</v>
      </c>
      <c r="R68" s="5">
        <f t="shared" si="13"/>
        <v>1</v>
      </c>
      <c r="S68" s="5">
        <f t="shared" si="14"/>
        <v>1</v>
      </c>
      <c r="T68" s="5">
        <f t="shared" si="15"/>
        <v>1</v>
      </c>
    </row>
    <row r="69" spans="1:20">
      <c r="A69" t="s">
        <v>120</v>
      </c>
      <c r="B69" s="3">
        <v>29.89</v>
      </c>
      <c r="C69" s="3">
        <v>8.277</v>
      </c>
      <c r="D69" s="3">
        <f t="shared" si="11"/>
        <v>247.39953</v>
      </c>
      <c r="E69" s="3">
        <f t="shared" si="16"/>
        <v>5.28969461220854</v>
      </c>
      <c r="F69" s="3">
        <f t="shared" si="17"/>
        <v>-0.0036244359475619</v>
      </c>
      <c r="G69" s="3">
        <f t="shared" si="18"/>
        <v>5.28607017626097</v>
      </c>
      <c r="H69" s="6">
        <v>104.6</v>
      </c>
      <c r="I69" s="6">
        <v>101.4</v>
      </c>
      <c r="J69" s="6">
        <v>100.9</v>
      </c>
      <c r="K69" s="3">
        <f t="shared" si="19"/>
        <v>-0.400000000000006</v>
      </c>
      <c r="L69" s="3">
        <f t="shared" si="20"/>
        <v>0</v>
      </c>
      <c r="M69" s="3">
        <f t="shared" si="21"/>
        <v>0.400000000000006</v>
      </c>
      <c r="N69" s="3">
        <v>104</v>
      </c>
      <c r="O69" s="3">
        <v>17.1</v>
      </c>
      <c r="P69" s="3">
        <v>16.5</v>
      </c>
      <c r="Q69" s="5">
        <f t="shared" si="12"/>
        <v>1</v>
      </c>
      <c r="R69" s="5">
        <f t="shared" si="13"/>
        <v>1</v>
      </c>
      <c r="S69" s="5">
        <f t="shared" si="14"/>
        <v>1</v>
      </c>
      <c r="T69" s="5">
        <f t="shared" si="15"/>
        <v>1</v>
      </c>
    </row>
    <row r="70" spans="1:20">
      <c r="A70" t="s">
        <v>121</v>
      </c>
      <c r="B70" s="3">
        <v>27.11</v>
      </c>
      <c r="C70" s="3">
        <v>8.2772</v>
      </c>
      <c r="D70" s="3">
        <f t="shared" si="11"/>
        <v>224.394892</v>
      </c>
      <c r="E70" s="3">
        <f t="shared" si="16"/>
        <v>-9.76213127852723</v>
      </c>
      <c r="F70" s="3">
        <f t="shared" si="17"/>
        <v>0.00241630522781742</v>
      </c>
      <c r="G70" s="3">
        <f t="shared" si="18"/>
        <v>-9.75971497329943</v>
      </c>
      <c r="H70" s="6">
        <v>104.5</v>
      </c>
      <c r="I70" s="6">
        <v>101.4</v>
      </c>
      <c r="J70" s="6">
        <v>101.1</v>
      </c>
      <c r="K70" s="3">
        <f t="shared" si="19"/>
        <v>-0.0999999999999943</v>
      </c>
      <c r="L70" s="3">
        <f t="shared" si="20"/>
        <v>0</v>
      </c>
      <c r="M70" s="3">
        <f t="shared" si="21"/>
        <v>0.199999999999989</v>
      </c>
      <c r="N70" s="3">
        <v>104.1</v>
      </c>
      <c r="O70" s="3">
        <v>16.3</v>
      </c>
      <c r="P70" s="3">
        <v>16.5</v>
      </c>
      <c r="Q70" s="5">
        <f t="shared" si="12"/>
        <v>1</v>
      </c>
      <c r="R70" s="5">
        <f t="shared" si="13"/>
        <v>1</v>
      </c>
      <c r="S70" s="5">
        <f t="shared" si="14"/>
        <v>1</v>
      </c>
      <c r="T70" s="5">
        <f t="shared" si="15"/>
        <v>1</v>
      </c>
    </row>
    <row r="71" spans="1:20">
      <c r="A71" t="s">
        <v>122</v>
      </c>
      <c r="B71" s="3">
        <v>29.61</v>
      </c>
      <c r="C71" s="3">
        <v>8.2768</v>
      </c>
      <c r="D71" s="3">
        <f t="shared" si="11"/>
        <v>245.076048</v>
      </c>
      <c r="E71" s="3">
        <f t="shared" si="16"/>
        <v>8.82094786029257</v>
      </c>
      <c r="F71" s="3">
        <f t="shared" si="17"/>
        <v>-0.00483266884231447</v>
      </c>
      <c r="G71" s="3">
        <f t="shared" si="18"/>
        <v>8.81611519145026</v>
      </c>
      <c r="H71" s="6">
        <v>103.9</v>
      </c>
      <c r="I71" s="6">
        <v>101.2</v>
      </c>
      <c r="J71" s="6">
        <v>101.8</v>
      </c>
      <c r="K71" s="3">
        <f t="shared" si="19"/>
        <v>-0.599999999999994</v>
      </c>
      <c r="L71" s="3">
        <f t="shared" si="20"/>
        <v>-0.200000000000003</v>
      </c>
      <c r="M71" s="3">
        <f t="shared" si="21"/>
        <v>0.700000000000003</v>
      </c>
      <c r="N71" s="3">
        <v>104.6</v>
      </c>
      <c r="O71" s="3">
        <v>17.2</v>
      </c>
      <c r="P71" s="3">
        <v>16.7</v>
      </c>
      <c r="Q71" s="5">
        <f t="shared" si="12"/>
        <v>1</v>
      </c>
      <c r="R71" s="5">
        <f t="shared" si="13"/>
        <v>1</v>
      </c>
      <c r="S71" s="5">
        <f t="shared" si="14"/>
        <v>1</v>
      </c>
      <c r="T71" s="5">
        <f t="shared" si="15"/>
        <v>1</v>
      </c>
    </row>
    <row r="72" spans="1:20">
      <c r="A72" t="s">
        <v>123</v>
      </c>
      <c r="B72" s="3">
        <v>28.75</v>
      </c>
      <c r="C72" s="3">
        <v>8.2769</v>
      </c>
      <c r="D72" s="3">
        <f t="shared" si="11"/>
        <v>237.960875</v>
      </c>
      <c r="E72" s="3">
        <f t="shared" si="16"/>
        <v>-2.94743748701405</v>
      </c>
      <c r="F72" s="3">
        <f t="shared" si="17"/>
        <v>0.00120818910577797</v>
      </c>
      <c r="G72" s="3">
        <f t="shared" si="18"/>
        <v>-2.94622929790828</v>
      </c>
      <c r="H72" s="6">
        <v>103</v>
      </c>
      <c r="I72" s="6">
        <v>101.9</v>
      </c>
      <c r="J72" s="6">
        <v>103</v>
      </c>
      <c r="K72" s="3">
        <f t="shared" si="19"/>
        <v>-0.900000000000006</v>
      </c>
      <c r="L72" s="3">
        <f t="shared" si="20"/>
        <v>0.700000000000003</v>
      </c>
      <c r="M72" s="3">
        <f t="shared" si="21"/>
        <v>1.2</v>
      </c>
      <c r="N72" s="3">
        <v>105.9</v>
      </c>
      <c r="O72" s="3">
        <v>17.9</v>
      </c>
      <c r="P72" s="3">
        <v>16.8</v>
      </c>
      <c r="Q72" s="5">
        <f t="shared" si="12"/>
        <v>1</v>
      </c>
      <c r="R72" s="5">
        <f t="shared" si="13"/>
        <v>1</v>
      </c>
      <c r="S72" s="5">
        <f t="shared" si="14"/>
        <v>1</v>
      </c>
      <c r="T72" s="5">
        <f t="shared" si="15"/>
        <v>1</v>
      </c>
    </row>
    <row r="73" spans="1:20">
      <c r="A73" t="s">
        <v>124</v>
      </c>
      <c r="B73" s="3">
        <v>29.81</v>
      </c>
      <c r="C73" s="3">
        <v>8.277</v>
      </c>
      <c r="D73" s="3">
        <f t="shared" si="11"/>
        <v>246.73737</v>
      </c>
      <c r="E73" s="3">
        <f t="shared" si="16"/>
        <v>3.62061404466205</v>
      </c>
      <c r="F73" s="3">
        <f t="shared" si="17"/>
        <v>0.001208174508742</v>
      </c>
      <c r="G73" s="3">
        <f t="shared" si="18"/>
        <v>3.62182221917079</v>
      </c>
      <c r="H73" s="6">
        <v>104.7</v>
      </c>
      <c r="I73" s="6">
        <v>103</v>
      </c>
      <c r="J73" s="6">
        <v>103.2</v>
      </c>
      <c r="K73" s="3">
        <f t="shared" si="19"/>
        <v>1.7</v>
      </c>
      <c r="L73" s="3">
        <f t="shared" si="20"/>
        <v>1.09999999999999</v>
      </c>
      <c r="M73" s="3">
        <f t="shared" si="21"/>
        <v>0.200000000000003</v>
      </c>
      <c r="N73" s="3">
        <v>107.1</v>
      </c>
      <c r="O73" s="3">
        <v>18.1</v>
      </c>
      <c r="P73" s="3">
        <v>17</v>
      </c>
      <c r="Q73" s="5">
        <f t="shared" si="12"/>
        <v>1</v>
      </c>
      <c r="R73" s="5">
        <f t="shared" si="13"/>
        <v>1</v>
      </c>
      <c r="S73" s="5">
        <f t="shared" si="14"/>
        <v>1</v>
      </c>
      <c r="T73" s="5">
        <f t="shared" si="15"/>
        <v>1</v>
      </c>
    </row>
    <row r="74" spans="1:20">
      <c r="A74" t="s">
        <v>125</v>
      </c>
      <c r="B74" s="3">
        <v>31.28</v>
      </c>
      <c r="C74" s="3">
        <v>8.277</v>
      </c>
      <c r="D74" s="3">
        <f t="shared" si="11"/>
        <v>258.90456</v>
      </c>
      <c r="E74" s="3">
        <f t="shared" si="16"/>
        <v>4.81350079871304</v>
      </c>
      <c r="F74" s="3">
        <f t="shared" si="17"/>
        <v>0</v>
      </c>
      <c r="G74" s="3">
        <f t="shared" si="18"/>
        <v>4.81350079871304</v>
      </c>
      <c r="H74" s="6">
        <v>104.1</v>
      </c>
      <c r="I74" s="6">
        <v>103.5</v>
      </c>
      <c r="J74" s="6">
        <v>103.2</v>
      </c>
      <c r="K74" s="3">
        <f t="shared" si="19"/>
        <v>-0.600000000000009</v>
      </c>
      <c r="L74" s="3">
        <f t="shared" si="20"/>
        <v>0.5</v>
      </c>
      <c r="M74" s="3">
        <f t="shared" si="21"/>
        <v>0</v>
      </c>
      <c r="N74" s="3">
        <v>107.4</v>
      </c>
      <c r="O74" s="3"/>
      <c r="P74" s="3"/>
      <c r="Q74" s="5">
        <f t="shared" si="12"/>
        <v>1</v>
      </c>
      <c r="R74" s="5">
        <f t="shared" si="13"/>
        <v>1</v>
      </c>
      <c r="S74" s="5">
        <f t="shared" si="14"/>
        <v>1</v>
      </c>
      <c r="T74" s="5">
        <f t="shared" si="15"/>
        <v>1</v>
      </c>
    </row>
    <row r="75" spans="1:20">
      <c r="A75" t="s">
        <v>126</v>
      </c>
      <c r="B75" s="3">
        <v>30.86</v>
      </c>
      <c r="C75" s="3">
        <v>8.2771</v>
      </c>
      <c r="D75" s="3">
        <f t="shared" si="11"/>
        <v>255.431306</v>
      </c>
      <c r="E75" s="3">
        <f t="shared" si="16"/>
        <v>-1.35180687420956</v>
      </c>
      <c r="F75" s="3">
        <f t="shared" si="17"/>
        <v>0.00120815991208351</v>
      </c>
      <c r="G75" s="3">
        <f t="shared" si="18"/>
        <v>-1.35059871429749</v>
      </c>
      <c r="H75" s="6">
        <v>102.9</v>
      </c>
      <c r="I75" s="6">
        <v>103.5</v>
      </c>
      <c r="J75" s="6">
        <v>102.1</v>
      </c>
      <c r="K75" s="3">
        <f t="shared" si="19"/>
        <v>-1.19999999999999</v>
      </c>
      <c r="L75" s="3">
        <f t="shared" si="20"/>
        <v>0</v>
      </c>
      <c r="M75" s="3">
        <f t="shared" si="21"/>
        <v>-1.10000000000001</v>
      </c>
      <c r="N75" s="3">
        <v>108.1</v>
      </c>
      <c r="O75" s="3">
        <v>23.2</v>
      </c>
      <c r="P75" s="3">
        <v>16.6</v>
      </c>
      <c r="Q75" s="5">
        <f t="shared" si="12"/>
        <v>1</v>
      </c>
      <c r="R75" s="5">
        <f t="shared" si="13"/>
        <v>1</v>
      </c>
      <c r="S75" s="5">
        <f t="shared" si="14"/>
        <v>1</v>
      </c>
      <c r="T75" s="5">
        <f t="shared" si="15"/>
        <v>1</v>
      </c>
    </row>
    <row r="76" spans="1:20">
      <c r="A76" t="s">
        <v>127</v>
      </c>
      <c r="B76" s="3">
        <v>33.63</v>
      </c>
      <c r="C76" s="3">
        <v>8.2771</v>
      </c>
      <c r="D76" s="3">
        <f t="shared" si="11"/>
        <v>278.358873</v>
      </c>
      <c r="E76" s="3">
        <f t="shared" si="16"/>
        <v>8.59576788171635</v>
      </c>
      <c r="F76" s="3">
        <f t="shared" si="17"/>
        <v>0</v>
      </c>
      <c r="G76" s="3">
        <f t="shared" si="18"/>
        <v>8.59576788171637</v>
      </c>
      <c r="H76" s="6">
        <v>102.8</v>
      </c>
      <c r="I76" s="6">
        <v>104</v>
      </c>
      <c r="J76" s="6">
        <v>103</v>
      </c>
      <c r="K76" s="3">
        <f t="shared" si="19"/>
        <v>-0.100000000000009</v>
      </c>
      <c r="L76" s="3">
        <f t="shared" si="20"/>
        <v>0.5</v>
      </c>
      <c r="M76" s="3">
        <f t="shared" si="21"/>
        <v>0.900000000000006</v>
      </c>
      <c r="N76" s="3">
        <v>109.5</v>
      </c>
      <c r="O76" s="3">
        <v>19.4</v>
      </c>
      <c r="P76" s="3">
        <v>17.7</v>
      </c>
      <c r="Q76" s="5">
        <f t="shared" si="12"/>
        <v>1</v>
      </c>
      <c r="R76" s="5">
        <f t="shared" si="13"/>
        <v>1</v>
      </c>
      <c r="S76" s="5">
        <f t="shared" si="14"/>
        <v>1</v>
      </c>
      <c r="T76" s="5">
        <f t="shared" si="15"/>
        <v>1</v>
      </c>
    </row>
    <row r="77" spans="1:20">
      <c r="A77" t="s">
        <v>128</v>
      </c>
      <c r="B77" s="3">
        <v>33.59</v>
      </c>
      <c r="C77" s="3">
        <v>8.2769</v>
      </c>
      <c r="D77" s="3">
        <f t="shared" si="11"/>
        <v>278.021071</v>
      </c>
      <c r="E77" s="3">
        <f t="shared" si="16"/>
        <v>-0.119012212797683</v>
      </c>
      <c r="F77" s="3">
        <f t="shared" si="17"/>
        <v>-0.00241633442081768</v>
      </c>
      <c r="G77" s="3">
        <f t="shared" si="18"/>
        <v>-0.121428547218513</v>
      </c>
      <c r="H77" s="6">
        <v>104.2</v>
      </c>
      <c r="I77" s="6">
        <v>105</v>
      </c>
      <c r="J77" s="6">
        <v>103.8</v>
      </c>
      <c r="K77" s="3">
        <f t="shared" si="19"/>
        <v>1.40000000000001</v>
      </c>
      <c r="L77" s="3">
        <f t="shared" si="20"/>
        <v>1</v>
      </c>
      <c r="M77" s="3">
        <f t="shared" si="21"/>
        <v>0.799999999999997</v>
      </c>
      <c r="N77" s="3">
        <v>110.5</v>
      </c>
      <c r="O77" s="3">
        <v>19.1</v>
      </c>
      <c r="P77" s="3">
        <v>18.2</v>
      </c>
      <c r="Q77" s="5">
        <f t="shared" si="12"/>
        <v>1</v>
      </c>
      <c r="R77" s="5">
        <f t="shared" si="13"/>
        <v>1</v>
      </c>
      <c r="S77" s="5">
        <f t="shared" si="14"/>
        <v>1</v>
      </c>
      <c r="T77" s="5">
        <f t="shared" si="15"/>
        <v>1</v>
      </c>
    </row>
    <row r="78" spans="1:20">
      <c r="A78" t="s">
        <v>129</v>
      </c>
      <c r="B78" s="3">
        <v>37.57</v>
      </c>
      <c r="C78" s="3">
        <v>8.2771</v>
      </c>
      <c r="D78" s="3">
        <f t="shared" si="11"/>
        <v>310.970647</v>
      </c>
      <c r="E78" s="3">
        <f t="shared" si="16"/>
        <v>11.1977455961676</v>
      </c>
      <c r="F78" s="3">
        <f t="shared" si="17"/>
        <v>0.00241633442082613</v>
      </c>
      <c r="G78" s="3">
        <f t="shared" si="18"/>
        <v>11.2001619305884</v>
      </c>
      <c r="H78" s="6">
        <v>106</v>
      </c>
      <c r="I78" s="6">
        <v>105.7</v>
      </c>
      <c r="J78" s="6">
        <v>104.4</v>
      </c>
      <c r="K78" s="3">
        <f t="shared" si="19"/>
        <v>1.8</v>
      </c>
      <c r="L78" s="3">
        <f t="shared" si="20"/>
        <v>0.700000000000003</v>
      </c>
      <c r="M78" s="3">
        <f t="shared" si="21"/>
        <v>0.600000000000009</v>
      </c>
      <c r="N78" s="3">
        <v>111.2</v>
      </c>
      <c r="O78" s="3">
        <v>17.5</v>
      </c>
      <c r="P78" s="3">
        <v>18.1</v>
      </c>
      <c r="Q78" s="5">
        <f t="shared" si="12"/>
        <v>1</v>
      </c>
      <c r="R78" s="5">
        <f t="shared" si="13"/>
        <v>1</v>
      </c>
      <c r="S78" s="5">
        <f t="shared" si="14"/>
        <v>1</v>
      </c>
      <c r="T78" s="5">
        <f t="shared" si="15"/>
        <v>1</v>
      </c>
    </row>
    <row r="79" spans="1:20">
      <c r="A79" t="s">
        <v>130</v>
      </c>
      <c r="B79" s="3">
        <v>35.18</v>
      </c>
      <c r="C79" s="3">
        <v>8.2767</v>
      </c>
      <c r="D79" s="3">
        <f t="shared" si="11"/>
        <v>291.174306</v>
      </c>
      <c r="E79" s="3">
        <f t="shared" si="16"/>
        <v>-6.57281202764655</v>
      </c>
      <c r="F79" s="3">
        <f t="shared" si="17"/>
        <v>-0.00483272722974435</v>
      </c>
      <c r="G79" s="3">
        <f t="shared" si="18"/>
        <v>-6.57764475487628</v>
      </c>
      <c r="H79" s="6">
        <v>109.4</v>
      </c>
      <c r="I79" s="6">
        <v>106.4</v>
      </c>
      <c r="J79" s="6">
        <v>105</v>
      </c>
      <c r="K79" s="3">
        <f t="shared" si="19"/>
        <v>3.40000000000001</v>
      </c>
      <c r="L79" s="3">
        <f t="shared" si="20"/>
        <v>0.700000000000003</v>
      </c>
      <c r="M79" s="3">
        <f t="shared" si="21"/>
        <v>0.599999999999994</v>
      </c>
      <c r="N79" s="3">
        <v>111.8</v>
      </c>
      <c r="O79" s="3">
        <v>16.2</v>
      </c>
      <c r="P79" s="3">
        <v>17.7</v>
      </c>
      <c r="Q79" s="5">
        <f t="shared" si="12"/>
        <v>1</v>
      </c>
      <c r="R79" s="5">
        <f t="shared" si="13"/>
        <v>1</v>
      </c>
      <c r="S79" s="5">
        <f t="shared" si="14"/>
        <v>1</v>
      </c>
      <c r="T79" s="5">
        <f t="shared" si="15"/>
        <v>1</v>
      </c>
    </row>
    <row r="80" spans="1:20">
      <c r="A80" t="s">
        <v>131</v>
      </c>
      <c r="B80" s="3">
        <v>38.22</v>
      </c>
      <c r="C80" s="3">
        <v>8.2767</v>
      </c>
      <c r="D80" s="3">
        <f t="shared" si="11"/>
        <v>316.335474</v>
      </c>
      <c r="E80" s="3">
        <f t="shared" si="16"/>
        <v>8.28811995027148</v>
      </c>
      <c r="F80" s="3">
        <f t="shared" si="17"/>
        <v>0</v>
      </c>
      <c r="G80" s="3">
        <f t="shared" si="18"/>
        <v>8.28811995027148</v>
      </c>
      <c r="H80" s="6">
        <v>111</v>
      </c>
      <c r="I80" s="6">
        <v>106.4</v>
      </c>
      <c r="J80" s="6">
        <v>105.3</v>
      </c>
      <c r="K80" s="3">
        <f t="shared" si="19"/>
        <v>1.59999999999999</v>
      </c>
      <c r="L80" s="3">
        <f t="shared" si="20"/>
        <v>0</v>
      </c>
      <c r="M80" s="3">
        <f t="shared" si="21"/>
        <v>0.299999999999997</v>
      </c>
      <c r="N80" s="3">
        <v>112</v>
      </c>
      <c r="O80" s="3">
        <v>15.5</v>
      </c>
      <c r="P80" s="3">
        <v>17.3</v>
      </c>
      <c r="Q80" s="5">
        <f t="shared" si="12"/>
        <v>1</v>
      </c>
      <c r="R80" s="5">
        <f t="shared" si="13"/>
        <v>1</v>
      </c>
      <c r="S80" s="5">
        <f t="shared" si="14"/>
        <v>1</v>
      </c>
      <c r="T80" s="5">
        <f t="shared" si="15"/>
        <v>1</v>
      </c>
    </row>
    <row r="81" spans="1:20">
      <c r="A81" t="s">
        <v>132</v>
      </c>
      <c r="B81" s="3">
        <v>42.74</v>
      </c>
      <c r="C81" s="3">
        <v>8.2768</v>
      </c>
      <c r="D81" s="3">
        <f t="shared" si="11"/>
        <v>353.750432</v>
      </c>
      <c r="E81" s="3">
        <f t="shared" si="16"/>
        <v>11.1776311078875</v>
      </c>
      <c r="F81" s="3">
        <f t="shared" si="17"/>
        <v>0.001208203703147</v>
      </c>
      <c r="G81" s="3">
        <f t="shared" si="18"/>
        <v>11.1788393115906</v>
      </c>
      <c r="H81" s="6">
        <v>111.9</v>
      </c>
      <c r="I81" s="6">
        <v>106.8</v>
      </c>
      <c r="J81" s="6">
        <v>105.3</v>
      </c>
      <c r="K81" s="3">
        <f t="shared" si="19"/>
        <v>0.900000000000006</v>
      </c>
      <c r="L81" s="3">
        <f t="shared" si="20"/>
        <v>0.399999999999991</v>
      </c>
      <c r="M81" s="3">
        <f t="shared" si="21"/>
        <v>0</v>
      </c>
      <c r="N81" s="3">
        <v>112.9</v>
      </c>
      <c r="O81" s="3">
        <v>15.9</v>
      </c>
      <c r="P81" s="3">
        <v>17.1</v>
      </c>
      <c r="Q81" s="5">
        <f t="shared" si="12"/>
        <v>1</v>
      </c>
      <c r="R81" s="5">
        <f t="shared" si="13"/>
        <v>1</v>
      </c>
      <c r="S81" s="5">
        <f t="shared" si="14"/>
        <v>1</v>
      </c>
      <c r="T81" s="5">
        <f t="shared" si="15"/>
        <v>1</v>
      </c>
    </row>
    <row r="82" spans="1:20">
      <c r="A82" t="s">
        <v>133</v>
      </c>
      <c r="B82" s="3">
        <v>43.2</v>
      </c>
      <c r="C82" s="3">
        <v>8.2767</v>
      </c>
      <c r="D82" s="3">
        <f t="shared" si="11"/>
        <v>357.55344</v>
      </c>
      <c r="E82" s="3">
        <f t="shared" si="16"/>
        <v>1.0705245359063</v>
      </c>
      <c r="F82" s="3">
        <f t="shared" si="17"/>
        <v>-0.00120820370315239</v>
      </c>
      <c r="G82" s="3">
        <f t="shared" si="18"/>
        <v>1.06931633220316</v>
      </c>
      <c r="H82" s="6">
        <v>114</v>
      </c>
      <c r="I82" s="6">
        <v>108</v>
      </c>
      <c r="J82" s="6">
        <v>105.2</v>
      </c>
      <c r="K82" s="3">
        <f t="shared" si="19"/>
        <v>2.09999999999999</v>
      </c>
      <c r="L82" s="3">
        <f t="shared" si="20"/>
        <v>1.2</v>
      </c>
      <c r="M82" s="3">
        <f t="shared" si="21"/>
        <v>-0.0999999999999943</v>
      </c>
      <c r="N82" s="3">
        <v>113.7</v>
      </c>
      <c r="O82" s="3">
        <v>16.1</v>
      </c>
      <c r="P82" s="3">
        <v>17</v>
      </c>
      <c r="Q82" s="5">
        <f t="shared" si="12"/>
        <v>1</v>
      </c>
      <c r="R82" s="5">
        <f t="shared" si="13"/>
        <v>1</v>
      </c>
      <c r="S82" s="5">
        <f t="shared" si="14"/>
        <v>1</v>
      </c>
      <c r="T82" s="5">
        <f t="shared" si="15"/>
        <v>1</v>
      </c>
    </row>
    <row r="83" spans="1:20">
      <c r="A83" t="s">
        <v>134</v>
      </c>
      <c r="B83" s="3">
        <v>49.78</v>
      </c>
      <c r="C83" s="3">
        <v>8.2765</v>
      </c>
      <c r="D83" s="3">
        <f t="shared" si="11"/>
        <v>412.00417</v>
      </c>
      <c r="E83" s="3">
        <f t="shared" si="16"/>
        <v>14.1772801689381</v>
      </c>
      <c r="F83" s="3">
        <f t="shared" si="17"/>
        <v>-0.00241645119988372</v>
      </c>
      <c r="G83" s="3">
        <f t="shared" si="18"/>
        <v>14.1748637177382</v>
      </c>
      <c r="H83" s="6">
        <v>116.7</v>
      </c>
      <c r="I83" s="6">
        <v>108.4</v>
      </c>
      <c r="J83" s="6">
        <v>104.3</v>
      </c>
      <c r="K83" s="3">
        <f t="shared" si="19"/>
        <v>2.7</v>
      </c>
      <c r="L83" s="3">
        <f t="shared" si="20"/>
        <v>0.400000000000006</v>
      </c>
      <c r="M83" s="3">
        <f t="shared" si="21"/>
        <v>-0.900000000000006</v>
      </c>
      <c r="N83" s="3">
        <v>114.2</v>
      </c>
      <c r="O83" s="3">
        <v>15.7</v>
      </c>
      <c r="P83" s="3">
        <v>16.9</v>
      </c>
      <c r="Q83" s="5">
        <f t="shared" si="12"/>
        <v>1</v>
      </c>
      <c r="R83" s="5">
        <f t="shared" si="13"/>
        <v>1</v>
      </c>
      <c r="S83" s="5">
        <f t="shared" si="14"/>
        <v>1</v>
      </c>
      <c r="T83" s="5">
        <f t="shared" si="15"/>
        <v>1</v>
      </c>
    </row>
    <row r="84" spans="1:20">
      <c r="A84" t="s">
        <v>135</v>
      </c>
      <c r="B84" s="3">
        <v>43.11</v>
      </c>
      <c r="C84" s="3">
        <v>8.2765</v>
      </c>
      <c r="D84" s="3">
        <f t="shared" si="11"/>
        <v>356.799915</v>
      </c>
      <c r="E84" s="3">
        <f t="shared" si="16"/>
        <v>-14.3858308180403</v>
      </c>
      <c r="F84" s="3">
        <f t="shared" si="17"/>
        <v>0</v>
      </c>
      <c r="G84" s="3">
        <f t="shared" si="18"/>
        <v>-14.3858308180403</v>
      </c>
      <c r="H84" s="6">
        <v>118.3</v>
      </c>
      <c r="I84" s="6">
        <v>108.1</v>
      </c>
      <c r="J84" s="6">
        <v>102.8</v>
      </c>
      <c r="K84" s="3">
        <f t="shared" si="19"/>
        <v>1.59999999999999</v>
      </c>
      <c r="L84" s="3">
        <f t="shared" si="20"/>
        <v>-0.300000000000011</v>
      </c>
      <c r="M84" s="3">
        <f t="shared" si="21"/>
        <v>-1.5</v>
      </c>
      <c r="N84" s="3">
        <v>113.7</v>
      </c>
      <c r="O84" s="3">
        <v>14.8</v>
      </c>
      <c r="P84" s="3">
        <v>16.8</v>
      </c>
      <c r="Q84" s="5">
        <f t="shared" si="12"/>
        <v>1</v>
      </c>
      <c r="R84" s="5">
        <f t="shared" si="13"/>
        <v>1</v>
      </c>
      <c r="S84" s="5">
        <f t="shared" si="14"/>
        <v>1</v>
      </c>
      <c r="T84" s="5">
        <f t="shared" si="15"/>
        <v>1</v>
      </c>
    </row>
    <row r="85" spans="1:20">
      <c r="A85" t="s">
        <v>136</v>
      </c>
      <c r="B85" s="3">
        <v>39.6</v>
      </c>
      <c r="C85" s="3">
        <v>8.2765</v>
      </c>
      <c r="D85" s="3">
        <f t="shared" si="11"/>
        <v>327.7494</v>
      </c>
      <c r="E85" s="3">
        <f t="shared" si="16"/>
        <v>-8.49258704986083</v>
      </c>
      <c r="F85" s="3">
        <f t="shared" si="17"/>
        <v>0</v>
      </c>
      <c r="G85" s="3">
        <f t="shared" si="18"/>
        <v>-8.49258704986083</v>
      </c>
      <c r="H85" s="6">
        <v>115</v>
      </c>
      <c r="I85" s="6">
        <v>107.1</v>
      </c>
      <c r="J85" s="6">
        <v>102.4</v>
      </c>
      <c r="K85" s="3">
        <f t="shared" si="19"/>
        <v>-3.3</v>
      </c>
      <c r="L85" s="3">
        <f t="shared" si="20"/>
        <v>-1</v>
      </c>
      <c r="M85" s="3">
        <f t="shared" si="21"/>
        <v>-0.399999999999991</v>
      </c>
      <c r="N85" s="3">
        <v>112</v>
      </c>
      <c r="O85" s="3">
        <v>14.4</v>
      </c>
      <c r="P85" s="3">
        <v>16.7</v>
      </c>
      <c r="Q85" s="5">
        <f t="shared" si="12"/>
        <v>1</v>
      </c>
      <c r="R85" s="5">
        <f t="shared" si="13"/>
        <v>1</v>
      </c>
      <c r="S85" s="5">
        <f t="shared" si="14"/>
        <v>1</v>
      </c>
      <c r="T85" s="5">
        <f t="shared" si="15"/>
        <v>1</v>
      </c>
    </row>
    <row r="86" spans="1:20">
      <c r="A86" t="s">
        <v>137</v>
      </c>
      <c r="B86" s="3">
        <v>44.51</v>
      </c>
      <c r="C86" s="3">
        <v>8.2765</v>
      </c>
      <c r="D86" s="3">
        <f t="shared" si="11"/>
        <v>368.387015</v>
      </c>
      <c r="E86" s="3">
        <f t="shared" si="16"/>
        <v>11.6884764767328</v>
      </c>
      <c r="F86" s="3">
        <f t="shared" si="17"/>
        <v>0</v>
      </c>
      <c r="G86" s="3">
        <f t="shared" si="18"/>
        <v>11.6884764767328</v>
      </c>
      <c r="H86" s="6">
        <v>112.6</v>
      </c>
      <c r="I86" s="6">
        <v>105.8</v>
      </c>
      <c r="J86" s="6">
        <v>101.9</v>
      </c>
      <c r="K86" s="3">
        <f t="shared" si="19"/>
        <v>-2.40000000000001</v>
      </c>
      <c r="L86" s="3">
        <f t="shared" si="20"/>
        <v>-1.3</v>
      </c>
      <c r="M86" s="3">
        <f t="shared" si="21"/>
        <v>-0.5</v>
      </c>
      <c r="N86" s="3">
        <v>110.7</v>
      </c>
      <c r="O86" s="3"/>
      <c r="P86" s="3"/>
      <c r="Q86" s="5">
        <f t="shared" si="12"/>
        <v>1</v>
      </c>
      <c r="R86" s="5">
        <f t="shared" si="13"/>
        <v>1</v>
      </c>
      <c r="S86" s="5">
        <f t="shared" si="14"/>
        <v>1</v>
      </c>
      <c r="T86" s="5">
        <f t="shared" si="15"/>
        <v>1</v>
      </c>
    </row>
    <row r="87" spans="1:20">
      <c r="A87" t="s">
        <v>138</v>
      </c>
      <c r="B87" s="3">
        <v>45.48</v>
      </c>
      <c r="C87" s="3">
        <v>8.2765</v>
      </c>
      <c r="D87" s="3">
        <f t="shared" si="11"/>
        <v>376.41522</v>
      </c>
      <c r="E87" s="3">
        <f t="shared" si="16"/>
        <v>2.15587858545723</v>
      </c>
      <c r="F87" s="3">
        <f t="shared" si="17"/>
        <v>0</v>
      </c>
      <c r="G87" s="3">
        <f t="shared" si="18"/>
        <v>2.15587858545723</v>
      </c>
      <c r="H87" s="6">
        <v>113.1</v>
      </c>
      <c r="I87" s="6">
        <v>105.4</v>
      </c>
      <c r="J87" s="6">
        <v>103.9</v>
      </c>
      <c r="K87" s="3">
        <f t="shared" si="19"/>
        <v>0.5</v>
      </c>
      <c r="L87" s="3">
        <f t="shared" si="20"/>
        <v>-0.399999999999991</v>
      </c>
      <c r="M87" s="3">
        <f t="shared" si="21"/>
        <v>2</v>
      </c>
      <c r="N87" s="3">
        <v>109.8</v>
      </c>
      <c r="O87" s="3">
        <v>7.6</v>
      </c>
      <c r="P87" s="3">
        <v>16.9</v>
      </c>
      <c r="Q87" s="5">
        <f t="shared" si="12"/>
        <v>1</v>
      </c>
      <c r="R87" s="5">
        <f t="shared" si="13"/>
        <v>1</v>
      </c>
      <c r="S87" s="5">
        <f t="shared" si="14"/>
        <v>1</v>
      </c>
      <c r="T87" s="5">
        <f t="shared" si="15"/>
        <v>1</v>
      </c>
    </row>
    <row r="88" spans="1:20">
      <c r="A88" t="s">
        <v>139</v>
      </c>
      <c r="B88" s="3">
        <v>53.1</v>
      </c>
      <c r="C88" s="3">
        <v>8.2765</v>
      </c>
      <c r="D88" s="3">
        <f t="shared" si="11"/>
        <v>439.48215</v>
      </c>
      <c r="E88" s="3">
        <f t="shared" si="16"/>
        <v>15.4904259365558</v>
      </c>
      <c r="F88" s="3">
        <f t="shared" si="17"/>
        <v>0</v>
      </c>
      <c r="G88" s="3">
        <f t="shared" si="18"/>
        <v>15.4904259365558</v>
      </c>
      <c r="H88" s="6">
        <v>115.5</v>
      </c>
      <c r="I88" s="6">
        <v>105.6</v>
      </c>
      <c r="J88" s="6">
        <v>102.7</v>
      </c>
      <c r="K88" s="3">
        <f t="shared" si="19"/>
        <v>2.40000000000001</v>
      </c>
      <c r="L88" s="3">
        <f t="shared" si="20"/>
        <v>0.199999999999989</v>
      </c>
      <c r="M88" s="3">
        <f t="shared" si="21"/>
        <v>-1.2</v>
      </c>
      <c r="N88" s="3">
        <v>109.7</v>
      </c>
      <c r="O88" s="3">
        <v>15.1</v>
      </c>
      <c r="P88" s="3">
        <v>16.2</v>
      </c>
      <c r="Q88" s="5">
        <f t="shared" si="12"/>
        <v>1</v>
      </c>
      <c r="R88" s="5">
        <f t="shared" si="13"/>
        <v>1</v>
      </c>
      <c r="S88" s="5">
        <f t="shared" si="14"/>
        <v>1</v>
      </c>
      <c r="T88" s="5">
        <f t="shared" si="15"/>
        <v>1</v>
      </c>
    </row>
    <row r="89" spans="1:20">
      <c r="A89" t="s">
        <v>140</v>
      </c>
      <c r="B89" s="3">
        <v>51.88</v>
      </c>
      <c r="C89" s="3">
        <v>8.2765</v>
      </c>
      <c r="D89" s="3">
        <f t="shared" si="11"/>
        <v>429.38482</v>
      </c>
      <c r="E89" s="3">
        <f t="shared" si="16"/>
        <v>-2.324356879965</v>
      </c>
      <c r="F89" s="3">
        <f t="shared" si="17"/>
        <v>0</v>
      </c>
      <c r="G89" s="3">
        <f t="shared" si="18"/>
        <v>-2.324356879965</v>
      </c>
      <c r="H89" s="6">
        <v>117.6</v>
      </c>
      <c r="I89" s="6">
        <v>105.8</v>
      </c>
      <c r="J89" s="6">
        <v>101.8</v>
      </c>
      <c r="K89" s="3">
        <f t="shared" si="19"/>
        <v>2.09999999999999</v>
      </c>
      <c r="L89" s="3">
        <f t="shared" si="20"/>
        <v>0.200000000000003</v>
      </c>
      <c r="M89" s="3">
        <f t="shared" si="21"/>
        <v>-0.900000000000006</v>
      </c>
      <c r="N89" s="3">
        <v>109.9</v>
      </c>
      <c r="O89" s="3">
        <v>16</v>
      </c>
      <c r="P89" s="3">
        <v>16.2</v>
      </c>
      <c r="Q89" s="5">
        <f t="shared" si="12"/>
        <v>1</v>
      </c>
      <c r="R89" s="5">
        <f t="shared" si="13"/>
        <v>1</v>
      </c>
      <c r="S89" s="5">
        <f t="shared" si="14"/>
        <v>1</v>
      </c>
      <c r="T89" s="5">
        <f t="shared" si="15"/>
        <v>1</v>
      </c>
    </row>
    <row r="90" spans="1:20">
      <c r="A90" t="s">
        <v>141</v>
      </c>
      <c r="B90" s="3">
        <v>48.65</v>
      </c>
      <c r="C90" s="3">
        <v>8.2765</v>
      </c>
      <c r="D90" s="3">
        <f t="shared" si="11"/>
        <v>402.651725</v>
      </c>
      <c r="E90" s="3">
        <f t="shared" si="16"/>
        <v>-6.42815508162292</v>
      </c>
      <c r="F90" s="3">
        <f t="shared" si="17"/>
        <v>0</v>
      </c>
      <c r="G90" s="3">
        <f t="shared" si="18"/>
        <v>-6.42815508162292</v>
      </c>
      <c r="H90" s="6">
        <v>118.9</v>
      </c>
      <c r="I90" s="6">
        <v>106</v>
      </c>
      <c r="J90" s="6">
        <v>101.8</v>
      </c>
      <c r="K90" s="3">
        <f t="shared" si="19"/>
        <v>1.30000000000001</v>
      </c>
      <c r="L90" s="3">
        <f t="shared" si="20"/>
        <v>0.200000000000003</v>
      </c>
      <c r="M90" s="3">
        <f t="shared" si="21"/>
        <v>0</v>
      </c>
      <c r="N90" s="3">
        <v>110</v>
      </c>
      <c r="O90" s="3">
        <v>16.6</v>
      </c>
      <c r="P90" s="3">
        <v>16.3</v>
      </c>
      <c r="Q90" s="5">
        <f t="shared" si="12"/>
        <v>1</v>
      </c>
      <c r="R90" s="5">
        <f t="shared" si="13"/>
        <v>1</v>
      </c>
      <c r="S90" s="5">
        <f t="shared" si="14"/>
        <v>1</v>
      </c>
      <c r="T90" s="5">
        <f t="shared" si="15"/>
        <v>1</v>
      </c>
    </row>
    <row r="91" spans="1:20">
      <c r="A91" t="s">
        <v>142</v>
      </c>
      <c r="B91" s="3">
        <v>54.35</v>
      </c>
      <c r="C91" s="3">
        <v>8.2765</v>
      </c>
      <c r="D91" s="3">
        <f t="shared" si="11"/>
        <v>449.827775</v>
      </c>
      <c r="E91" s="3">
        <f t="shared" si="16"/>
        <v>11.0792804935204</v>
      </c>
      <c r="F91" s="3">
        <f t="shared" si="17"/>
        <v>0</v>
      </c>
      <c r="G91" s="3">
        <f t="shared" si="18"/>
        <v>11.0792804935204</v>
      </c>
      <c r="H91" s="6">
        <v>116.2</v>
      </c>
      <c r="I91" s="6">
        <v>105.2</v>
      </c>
      <c r="J91" s="6">
        <v>101.6</v>
      </c>
      <c r="K91" s="3">
        <f t="shared" si="19"/>
        <v>-2.7</v>
      </c>
      <c r="L91" s="3">
        <f t="shared" si="20"/>
        <v>-0.799999999999997</v>
      </c>
      <c r="M91" s="3">
        <f t="shared" si="21"/>
        <v>-0.200000000000003</v>
      </c>
      <c r="N91" s="3">
        <v>109</v>
      </c>
      <c r="O91" s="3">
        <v>16.8</v>
      </c>
      <c r="P91" s="3">
        <v>16.4</v>
      </c>
      <c r="Q91" s="5">
        <f t="shared" si="12"/>
        <v>1</v>
      </c>
      <c r="R91" s="5">
        <f t="shared" si="13"/>
        <v>1</v>
      </c>
      <c r="S91" s="5">
        <f t="shared" si="14"/>
        <v>1</v>
      </c>
      <c r="T91" s="5">
        <f t="shared" si="15"/>
        <v>1</v>
      </c>
    </row>
    <row r="92" spans="1:20">
      <c r="A92" t="s">
        <v>143</v>
      </c>
      <c r="B92" s="3">
        <v>57.52</v>
      </c>
      <c r="C92" s="3">
        <v>8.2264</v>
      </c>
      <c r="D92" s="3">
        <f t="shared" si="11"/>
        <v>473.182528</v>
      </c>
      <c r="E92" s="3">
        <f t="shared" si="16"/>
        <v>5.66880998455729</v>
      </c>
      <c r="F92" s="3">
        <f t="shared" si="17"/>
        <v>-0.607167878523944</v>
      </c>
      <c r="G92" s="3">
        <f t="shared" si="18"/>
        <v>5.06164210603334</v>
      </c>
      <c r="H92" s="6">
        <v>115.6</v>
      </c>
      <c r="I92" s="6">
        <v>105.2</v>
      </c>
      <c r="J92" s="6">
        <v>101.8</v>
      </c>
      <c r="K92" s="3">
        <f t="shared" si="19"/>
        <v>-0.600000000000009</v>
      </c>
      <c r="L92" s="3">
        <f t="shared" si="20"/>
        <v>0</v>
      </c>
      <c r="M92" s="3">
        <f t="shared" si="21"/>
        <v>0.200000000000003</v>
      </c>
      <c r="N92" s="3">
        <v>108.5</v>
      </c>
      <c r="O92" s="3">
        <v>16.1</v>
      </c>
      <c r="P92" s="3">
        <v>16.3</v>
      </c>
      <c r="Q92" s="5">
        <f t="shared" si="12"/>
        <v>1</v>
      </c>
      <c r="R92" s="5">
        <f t="shared" si="13"/>
        <v>1</v>
      </c>
      <c r="S92" s="5">
        <f t="shared" si="14"/>
        <v>1</v>
      </c>
      <c r="T92" s="5">
        <f t="shared" si="15"/>
        <v>1</v>
      </c>
    </row>
    <row r="93" spans="1:20">
      <c r="A93" t="s">
        <v>144</v>
      </c>
      <c r="B93" s="3">
        <v>63.98</v>
      </c>
      <c r="C93" s="3">
        <v>8.1017</v>
      </c>
      <c r="D93" s="3">
        <f t="shared" si="11"/>
        <v>518.346766</v>
      </c>
      <c r="E93" s="3">
        <f t="shared" si="16"/>
        <v>10.643782110858</v>
      </c>
      <c r="F93" s="3">
        <f t="shared" si="17"/>
        <v>-1.52745787322416</v>
      </c>
      <c r="G93" s="3">
        <f t="shared" si="18"/>
        <v>9.1163242376339</v>
      </c>
      <c r="H93" s="6">
        <v>116.4</v>
      </c>
      <c r="I93" s="6">
        <v>105.3</v>
      </c>
      <c r="J93" s="6">
        <v>101.3</v>
      </c>
      <c r="K93" s="3">
        <f t="shared" si="19"/>
        <v>0.800000000000011</v>
      </c>
      <c r="L93" s="3">
        <f t="shared" si="20"/>
        <v>0.0999999999999943</v>
      </c>
      <c r="M93" s="3">
        <f t="shared" si="21"/>
        <v>-0.5</v>
      </c>
      <c r="N93" s="3">
        <v>108.1</v>
      </c>
      <c r="O93" s="3">
        <v>16</v>
      </c>
      <c r="P93" s="3">
        <v>16.3</v>
      </c>
      <c r="Q93" s="5">
        <f t="shared" si="12"/>
        <v>1</v>
      </c>
      <c r="R93" s="5">
        <f t="shared" si="13"/>
        <v>1</v>
      </c>
      <c r="S93" s="5">
        <f t="shared" si="14"/>
        <v>1</v>
      </c>
      <c r="T93" s="5">
        <f t="shared" si="15"/>
        <v>1</v>
      </c>
    </row>
    <row r="94" spans="1:20">
      <c r="A94" t="s">
        <v>145</v>
      </c>
      <c r="B94" s="3">
        <v>62.91</v>
      </c>
      <c r="C94" s="3">
        <v>8.0919</v>
      </c>
      <c r="D94" s="3">
        <f t="shared" si="11"/>
        <v>509.061429</v>
      </c>
      <c r="E94" s="3">
        <f t="shared" si="16"/>
        <v>-1.68654009394337</v>
      </c>
      <c r="F94" s="3">
        <f t="shared" si="17"/>
        <v>-0.121035485579256</v>
      </c>
      <c r="G94" s="3">
        <f t="shared" si="18"/>
        <v>-1.80757557952262</v>
      </c>
      <c r="H94" s="6">
        <v>115.8</v>
      </c>
      <c r="I94" s="6">
        <v>104.5</v>
      </c>
      <c r="J94" s="6">
        <v>100.9</v>
      </c>
      <c r="K94" s="3">
        <f t="shared" si="19"/>
        <v>-0.600000000000009</v>
      </c>
      <c r="L94" s="3">
        <f t="shared" si="20"/>
        <v>-0.799999999999997</v>
      </c>
      <c r="M94" s="3">
        <f t="shared" si="21"/>
        <v>-0.399999999999991</v>
      </c>
      <c r="N94" s="3">
        <v>107.1</v>
      </c>
      <c r="O94" s="3">
        <v>16.5</v>
      </c>
      <c r="P94" s="3">
        <v>16.3</v>
      </c>
      <c r="Q94" s="5">
        <f t="shared" si="12"/>
        <v>1</v>
      </c>
      <c r="R94" s="5">
        <f t="shared" si="13"/>
        <v>1</v>
      </c>
      <c r="S94" s="5">
        <f t="shared" si="14"/>
        <v>1</v>
      </c>
      <c r="T94" s="5">
        <f t="shared" si="15"/>
        <v>1</v>
      </c>
    </row>
    <row r="95" spans="1:20">
      <c r="A95" t="s">
        <v>146</v>
      </c>
      <c r="B95" s="3">
        <v>58.54</v>
      </c>
      <c r="C95" s="3">
        <v>8.0895</v>
      </c>
      <c r="D95" s="3">
        <f t="shared" si="11"/>
        <v>473.55933</v>
      </c>
      <c r="E95" s="3">
        <f t="shared" si="16"/>
        <v>-7.19948523181984</v>
      </c>
      <c r="F95" s="3">
        <f t="shared" si="17"/>
        <v>-0.0296636881555432</v>
      </c>
      <c r="G95" s="3">
        <f t="shared" si="18"/>
        <v>-7.22914891997539</v>
      </c>
      <c r="H95" s="6">
        <v>114.9</v>
      </c>
      <c r="I95" s="6">
        <v>104</v>
      </c>
      <c r="J95" s="6">
        <v>101.2</v>
      </c>
      <c r="K95" s="3">
        <f t="shared" si="19"/>
        <v>-0.899999999999991</v>
      </c>
      <c r="L95" s="3">
        <f t="shared" si="20"/>
        <v>-0.5</v>
      </c>
      <c r="M95" s="3">
        <f t="shared" si="21"/>
        <v>0.299999999999997</v>
      </c>
      <c r="N95" s="3">
        <v>106.5</v>
      </c>
      <c r="O95" s="3">
        <v>16.1</v>
      </c>
      <c r="P95" s="3">
        <v>16.3</v>
      </c>
      <c r="Q95" s="5">
        <f t="shared" si="12"/>
        <v>1</v>
      </c>
      <c r="R95" s="5">
        <f t="shared" si="13"/>
        <v>1</v>
      </c>
      <c r="S95" s="5">
        <f t="shared" si="14"/>
        <v>1</v>
      </c>
      <c r="T95" s="5">
        <f t="shared" si="15"/>
        <v>1</v>
      </c>
    </row>
    <row r="96" spans="1:20">
      <c r="A96" t="s">
        <v>147</v>
      </c>
      <c r="B96" s="3">
        <v>55.24</v>
      </c>
      <c r="C96" s="3">
        <v>8.084</v>
      </c>
      <c r="D96" s="3">
        <f t="shared" si="11"/>
        <v>446.56016</v>
      </c>
      <c r="E96" s="3">
        <f t="shared" si="16"/>
        <v>-5.80229527226483</v>
      </c>
      <c r="F96" s="3">
        <f t="shared" si="17"/>
        <v>-0.0680124921879772</v>
      </c>
      <c r="G96" s="3">
        <f t="shared" si="18"/>
        <v>-5.8703077644528</v>
      </c>
      <c r="H96" s="6">
        <v>112</v>
      </c>
      <c r="I96" s="6">
        <v>103.2</v>
      </c>
      <c r="J96" s="6">
        <v>101.3</v>
      </c>
      <c r="K96" s="3">
        <f t="shared" si="19"/>
        <v>-2.90000000000001</v>
      </c>
      <c r="L96" s="3">
        <f t="shared" si="20"/>
        <v>-0.799999999999997</v>
      </c>
      <c r="M96" s="3">
        <f t="shared" si="21"/>
        <v>0.0999999999999943</v>
      </c>
      <c r="N96" s="3">
        <v>105.4</v>
      </c>
      <c r="O96" s="3">
        <v>16.6</v>
      </c>
      <c r="P96" s="3">
        <v>16.4</v>
      </c>
      <c r="Q96" s="5">
        <f t="shared" si="12"/>
        <v>1</v>
      </c>
      <c r="R96" s="5">
        <f t="shared" si="13"/>
        <v>1</v>
      </c>
      <c r="S96" s="5">
        <f t="shared" si="14"/>
        <v>1</v>
      </c>
      <c r="T96" s="5">
        <f t="shared" si="15"/>
        <v>1</v>
      </c>
    </row>
    <row r="97" spans="1:20">
      <c r="A97" t="s">
        <v>148</v>
      </c>
      <c r="B97" s="3">
        <v>56.86</v>
      </c>
      <c r="C97" s="3">
        <v>8.0755</v>
      </c>
      <c r="D97" s="3">
        <f t="shared" si="11"/>
        <v>459.17293</v>
      </c>
      <c r="E97" s="3">
        <f t="shared" si="16"/>
        <v>2.89047776817623</v>
      </c>
      <c r="F97" s="3">
        <f t="shared" si="17"/>
        <v>-0.105201284494379</v>
      </c>
      <c r="G97" s="3">
        <f t="shared" si="18"/>
        <v>2.78527648368186</v>
      </c>
      <c r="H97" s="6">
        <v>111.8</v>
      </c>
      <c r="I97" s="6">
        <v>103.2</v>
      </c>
      <c r="J97" s="6">
        <v>101.6</v>
      </c>
      <c r="K97" s="3">
        <f t="shared" si="19"/>
        <v>-0.200000000000003</v>
      </c>
      <c r="L97" s="3">
        <f t="shared" si="20"/>
        <v>0</v>
      </c>
      <c r="M97" s="3">
        <f t="shared" si="21"/>
        <v>0.299999999999997</v>
      </c>
      <c r="N97" s="3">
        <v>105</v>
      </c>
      <c r="O97" s="3">
        <v>16.5</v>
      </c>
      <c r="P97" s="3">
        <v>16.4</v>
      </c>
      <c r="Q97" s="5">
        <f t="shared" si="12"/>
        <v>1</v>
      </c>
      <c r="R97" s="5">
        <f t="shared" si="13"/>
        <v>1</v>
      </c>
      <c r="S97" s="5">
        <f t="shared" si="14"/>
        <v>1</v>
      </c>
      <c r="T97" s="5">
        <f t="shared" si="15"/>
        <v>1</v>
      </c>
    </row>
    <row r="98" spans="1:20">
      <c r="A98" t="s">
        <v>149</v>
      </c>
      <c r="B98" s="3">
        <v>62.99</v>
      </c>
      <c r="C98" s="3">
        <v>8.0654</v>
      </c>
      <c r="D98" s="3">
        <f t="shared" si="11"/>
        <v>508.039546</v>
      </c>
      <c r="E98" s="3">
        <f t="shared" si="16"/>
        <v>10.2383877410984</v>
      </c>
      <c r="F98" s="3">
        <f t="shared" si="17"/>
        <v>-0.125147932497173</v>
      </c>
      <c r="G98" s="3">
        <f t="shared" si="18"/>
        <v>10.1132398086012</v>
      </c>
      <c r="H98" s="6">
        <v>117.9</v>
      </c>
      <c r="I98" s="6">
        <v>103.1</v>
      </c>
      <c r="J98" s="6">
        <v>101.9</v>
      </c>
      <c r="K98" s="3">
        <f t="shared" si="19"/>
        <v>6.10000000000001</v>
      </c>
      <c r="L98" s="3">
        <f t="shared" si="20"/>
        <v>-0.100000000000009</v>
      </c>
      <c r="M98" s="3">
        <f t="shared" si="21"/>
        <v>0.300000000000011</v>
      </c>
      <c r="N98" s="3">
        <v>106.5</v>
      </c>
      <c r="O98" s="3"/>
      <c r="P98" s="3"/>
      <c r="Q98" s="5">
        <f t="shared" si="12"/>
        <v>1</v>
      </c>
      <c r="R98" s="5">
        <f t="shared" si="13"/>
        <v>1</v>
      </c>
      <c r="S98" s="5">
        <f t="shared" si="14"/>
        <v>1</v>
      </c>
      <c r="T98" s="5">
        <f t="shared" si="15"/>
        <v>1</v>
      </c>
    </row>
    <row r="99" spans="1:20">
      <c r="A99" t="s">
        <v>150</v>
      </c>
      <c r="B99" s="3">
        <v>60.21</v>
      </c>
      <c r="C99" s="3">
        <v>8.0512</v>
      </c>
      <c r="D99" s="3">
        <f t="shared" si="11"/>
        <v>484.762752</v>
      </c>
      <c r="E99" s="3">
        <f t="shared" si="16"/>
        <v>-4.51375321574812</v>
      </c>
      <c r="F99" s="3">
        <f t="shared" si="17"/>
        <v>-0.176215872758407</v>
      </c>
      <c r="G99" s="3">
        <f t="shared" si="18"/>
        <v>-4.68996908850653</v>
      </c>
      <c r="H99" s="6">
        <v>117.8</v>
      </c>
      <c r="I99" s="6">
        <v>103</v>
      </c>
      <c r="J99" s="6">
        <v>100.9</v>
      </c>
      <c r="K99" s="3">
        <f t="shared" si="19"/>
        <v>-0.100000000000009</v>
      </c>
      <c r="L99" s="3">
        <f t="shared" si="20"/>
        <v>-0.0999999999999943</v>
      </c>
      <c r="M99" s="3">
        <f t="shared" si="21"/>
        <v>-1</v>
      </c>
      <c r="N99" s="3">
        <v>106.8</v>
      </c>
      <c r="O99" s="3">
        <v>20.1</v>
      </c>
      <c r="P99" s="3">
        <v>16.2</v>
      </c>
      <c r="Q99" s="5">
        <f t="shared" si="12"/>
        <v>1</v>
      </c>
      <c r="R99" s="5">
        <f t="shared" si="13"/>
        <v>1</v>
      </c>
      <c r="S99" s="5">
        <f t="shared" si="14"/>
        <v>1</v>
      </c>
      <c r="T99" s="5">
        <f t="shared" si="15"/>
        <v>1</v>
      </c>
    </row>
    <row r="100" spans="1:20">
      <c r="A100" t="s">
        <v>151</v>
      </c>
      <c r="B100" s="3">
        <v>62.06</v>
      </c>
      <c r="C100" s="3">
        <v>8.035</v>
      </c>
      <c r="D100" s="3">
        <f t="shared" si="11"/>
        <v>498.6521</v>
      </c>
      <c r="E100" s="3">
        <f t="shared" si="16"/>
        <v>3.02632075438777</v>
      </c>
      <c r="F100" s="3">
        <f t="shared" si="17"/>
        <v>-0.201414945439901</v>
      </c>
      <c r="G100" s="3">
        <f t="shared" si="18"/>
        <v>2.82490580894788</v>
      </c>
      <c r="H100" s="6">
        <v>116.7</v>
      </c>
      <c r="I100" s="6">
        <v>102.5</v>
      </c>
      <c r="J100" s="6">
        <v>100.8</v>
      </c>
      <c r="K100" s="3">
        <f t="shared" si="19"/>
        <v>-1.09999999999999</v>
      </c>
      <c r="L100" s="3">
        <f t="shared" si="20"/>
        <v>-0.5</v>
      </c>
      <c r="M100" s="3">
        <f t="shared" si="21"/>
        <v>-0.100000000000009</v>
      </c>
      <c r="N100" s="3">
        <v>106.2</v>
      </c>
      <c r="O100" s="3">
        <v>17.8</v>
      </c>
      <c r="P100" s="3">
        <v>16.7</v>
      </c>
      <c r="Q100" s="5">
        <f t="shared" si="12"/>
        <v>1</v>
      </c>
      <c r="R100" s="5">
        <f t="shared" si="13"/>
        <v>1</v>
      </c>
      <c r="S100" s="5">
        <f t="shared" si="14"/>
        <v>1</v>
      </c>
      <c r="T100" s="5">
        <f t="shared" si="15"/>
        <v>1</v>
      </c>
    </row>
    <row r="101" spans="1:20">
      <c r="A101" t="s">
        <v>152</v>
      </c>
      <c r="B101" s="3">
        <v>70.26</v>
      </c>
      <c r="C101" s="3">
        <v>8.0143</v>
      </c>
      <c r="D101" s="3">
        <f t="shared" si="11"/>
        <v>563.084718</v>
      </c>
      <c r="E101" s="3">
        <f t="shared" si="16"/>
        <v>12.4100987817447</v>
      </c>
      <c r="F101" s="3">
        <f t="shared" si="17"/>
        <v>-0.257955318653297</v>
      </c>
      <c r="G101" s="3">
        <f t="shared" si="18"/>
        <v>12.1521434630914</v>
      </c>
      <c r="H101" s="6">
        <v>112.4</v>
      </c>
      <c r="I101" s="6">
        <v>101.9</v>
      </c>
      <c r="J101" s="6">
        <v>101.2</v>
      </c>
      <c r="K101" s="3">
        <f t="shared" si="19"/>
        <v>-4.3</v>
      </c>
      <c r="L101" s="3">
        <f t="shared" si="20"/>
        <v>-0.599999999999994</v>
      </c>
      <c r="M101" s="3">
        <f t="shared" si="21"/>
        <v>0.400000000000006</v>
      </c>
      <c r="N101" s="3">
        <v>104.9</v>
      </c>
      <c r="O101" s="3">
        <v>16.6</v>
      </c>
      <c r="P101" s="3">
        <v>16.7</v>
      </c>
      <c r="Q101" s="5">
        <f t="shared" si="12"/>
        <v>1</v>
      </c>
      <c r="R101" s="5">
        <f t="shared" si="13"/>
        <v>1</v>
      </c>
      <c r="S101" s="5">
        <f t="shared" si="14"/>
        <v>1</v>
      </c>
      <c r="T101" s="5">
        <f t="shared" si="15"/>
        <v>1</v>
      </c>
    </row>
    <row r="102" spans="1:20">
      <c r="A102" t="s">
        <v>153</v>
      </c>
      <c r="B102" s="3">
        <v>69.78</v>
      </c>
      <c r="C102" s="3">
        <v>8.0131</v>
      </c>
      <c r="D102" s="3">
        <f t="shared" si="11"/>
        <v>559.154118</v>
      </c>
      <c r="E102" s="3">
        <f t="shared" si="16"/>
        <v>-0.685521107905297</v>
      </c>
      <c r="F102" s="3">
        <f t="shared" si="17"/>
        <v>-0.0149743564426253</v>
      </c>
      <c r="G102" s="3">
        <f t="shared" si="18"/>
        <v>-0.700495464347922</v>
      </c>
      <c r="H102" s="6">
        <v>111.8</v>
      </c>
      <c r="I102" s="6">
        <v>102.4</v>
      </c>
      <c r="J102" s="6">
        <v>101.4</v>
      </c>
      <c r="K102" s="3">
        <f t="shared" si="19"/>
        <v>-0.600000000000009</v>
      </c>
      <c r="L102" s="3">
        <f t="shared" si="20"/>
        <v>0.5</v>
      </c>
      <c r="M102" s="3">
        <f t="shared" si="21"/>
        <v>0.200000000000003</v>
      </c>
      <c r="N102" s="3">
        <v>105.5</v>
      </c>
      <c r="O102" s="3">
        <v>17.9</v>
      </c>
      <c r="P102" s="3">
        <v>17</v>
      </c>
      <c r="Q102" s="5">
        <f t="shared" si="12"/>
        <v>1</v>
      </c>
      <c r="R102" s="5">
        <f t="shared" si="13"/>
        <v>1</v>
      </c>
      <c r="S102" s="5">
        <f t="shared" si="14"/>
        <v>1</v>
      </c>
      <c r="T102" s="5">
        <f t="shared" si="15"/>
        <v>1</v>
      </c>
    </row>
    <row r="103" spans="1:20">
      <c r="A103" t="s">
        <v>154</v>
      </c>
      <c r="B103" s="3">
        <v>68.56</v>
      </c>
      <c r="C103" s="3">
        <v>8.0042</v>
      </c>
      <c r="D103" s="3">
        <f t="shared" si="11"/>
        <v>548.767952</v>
      </c>
      <c r="E103" s="3">
        <f t="shared" si="16"/>
        <v>-1.76381614691037</v>
      </c>
      <c r="F103" s="3">
        <f t="shared" si="17"/>
        <v>-0.111129852296519</v>
      </c>
      <c r="G103" s="3">
        <f t="shared" si="18"/>
        <v>-1.87494599920691</v>
      </c>
      <c r="H103" s="6">
        <v>114.1</v>
      </c>
      <c r="I103" s="6">
        <v>103.5</v>
      </c>
      <c r="J103" s="6">
        <v>101.5</v>
      </c>
      <c r="K103" s="3">
        <f t="shared" si="19"/>
        <v>2.3</v>
      </c>
      <c r="L103" s="3">
        <f t="shared" si="20"/>
        <v>1.09999999999999</v>
      </c>
      <c r="M103" s="3">
        <f t="shared" si="21"/>
        <v>0.0999999999999943</v>
      </c>
      <c r="N103" s="3">
        <v>106.6</v>
      </c>
      <c r="O103" s="3">
        <v>19.5</v>
      </c>
      <c r="P103" s="3">
        <v>17.7</v>
      </c>
      <c r="Q103" s="5">
        <f t="shared" si="12"/>
        <v>1</v>
      </c>
      <c r="R103" s="5">
        <f t="shared" si="13"/>
        <v>1</v>
      </c>
      <c r="S103" s="5">
        <f t="shared" si="14"/>
        <v>1</v>
      </c>
      <c r="T103" s="5">
        <f t="shared" si="15"/>
        <v>1</v>
      </c>
    </row>
    <row r="104" spans="1:20">
      <c r="A104" t="s">
        <v>155</v>
      </c>
      <c r="B104" s="3">
        <v>73.67</v>
      </c>
      <c r="C104" s="3">
        <v>7.9897</v>
      </c>
      <c r="D104" s="3">
        <f t="shared" si="11"/>
        <v>588.601199</v>
      </c>
      <c r="E104" s="3">
        <f t="shared" si="16"/>
        <v>7.18863864051978</v>
      </c>
      <c r="F104" s="3">
        <f t="shared" si="17"/>
        <v>-0.181319177593893</v>
      </c>
      <c r="G104" s="3">
        <f t="shared" si="18"/>
        <v>7.0073194629259</v>
      </c>
      <c r="H104" s="6">
        <v>113.1</v>
      </c>
      <c r="I104" s="6">
        <v>103.6</v>
      </c>
      <c r="J104" s="6">
        <v>101</v>
      </c>
      <c r="K104" s="3">
        <f t="shared" si="19"/>
        <v>-1</v>
      </c>
      <c r="L104" s="3">
        <f t="shared" si="20"/>
        <v>0.0999999999999943</v>
      </c>
      <c r="M104" s="3">
        <f t="shared" si="21"/>
        <v>-0.5</v>
      </c>
      <c r="N104" s="3">
        <v>106.7</v>
      </c>
      <c r="O104" s="3">
        <v>16.7</v>
      </c>
      <c r="P104" s="3">
        <v>17.6</v>
      </c>
      <c r="Q104" s="5">
        <f t="shared" si="12"/>
        <v>1</v>
      </c>
      <c r="R104" s="5">
        <f t="shared" si="13"/>
        <v>1</v>
      </c>
      <c r="S104" s="5">
        <f t="shared" si="14"/>
        <v>1</v>
      </c>
      <c r="T104" s="5">
        <f t="shared" si="15"/>
        <v>1</v>
      </c>
    </row>
    <row r="105" spans="1:20">
      <c r="A105" t="s">
        <v>156</v>
      </c>
      <c r="B105" s="3">
        <v>73.23</v>
      </c>
      <c r="C105" s="3">
        <v>7.9722</v>
      </c>
      <c r="D105" s="3">
        <f t="shared" si="11"/>
        <v>583.804206</v>
      </c>
      <c r="E105" s="3">
        <f t="shared" si="16"/>
        <v>-0.599048762174383</v>
      </c>
      <c r="F105" s="3">
        <f t="shared" si="17"/>
        <v>-0.219272229643227</v>
      </c>
      <c r="G105" s="3">
        <f t="shared" si="18"/>
        <v>-0.818320991817624</v>
      </c>
      <c r="H105" s="6">
        <v>112.4</v>
      </c>
      <c r="I105" s="6">
        <v>103.4</v>
      </c>
      <c r="J105" s="6">
        <v>101.3</v>
      </c>
      <c r="K105" s="3">
        <f t="shared" si="19"/>
        <v>-0.699999999999989</v>
      </c>
      <c r="L105" s="3">
        <f t="shared" si="20"/>
        <v>-0.199999999999989</v>
      </c>
      <c r="M105" s="3">
        <f t="shared" si="21"/>
        <v>0.299999999999997</v>
      </c>
      <c r="N105" s="3">
        <v>106.7</v>
      </c>
      <c r="O105" s="3">
        <v>15.7</v>
      </c>
      <c r="P105" s="3">
        <v>17.3</v>
      </c>
      <c r="Q105" s="5">
        <f t="shared" si="12"/>
        <v>1</v>
      </c>
      <c r="R105" s="5">
        <f t="shared" si="13"/>
        <v>1</v>
      </c>
      <c r="S105" s="5">
        <f t="shared" si="14"/>
        <v>1</v>
      </c>
      <c r="T105" s="5">
        <f t="shared" si="15"/>
        <v>1</v>
      </c>
    </row>
    <row r="106" spans="1:20">
      <c r="A106" t="s">
        <v>157</v>
      </c>
      <c r="B106" s="3">
        <v>61.96</v>
      </c>
      <c r="C106" s="3">
        <v>7.9334</v>
      </c>
      <c r="D106" s="3">
        <f t="shared" si="11"/>
        <v>491.553464</v>
      </c>
      <c r="E106" s="3">
        <f t="shared" si="16"/>
        <v>-16.7116157524311</v>
      </c>
      <c r="F106" s="3">
        <f t="shared" si="17"/>
        <v>-0.487879450782439</v>
      </c>
      <c r="G106" s="3">
        <f t="shared" si="18"/>
        <v>-17.1994952032135</v>
      </c>
      <c r="H106" s="6">
        <v>110.9</v>
      </c>
      <c r="I106" s="6">
        <v>103.5</v>
      </c>
      <c r="J106" s="6">
        <v>101.5</v>
      </c>
      <c r="K106" s="3">
        <f t="shared" si="19"/>
        <v>-1.5</v>
      </c>
      <c r="L106" s="3">
        <f t="shared" si="20"/>
        <v>0.0999999999999943</v>
      </c>
      <c r="M106" s="3">
        <f t="shared" si="21"/>
        <v>0.200000000000003</v>
      </c>
      <c r="N106" s="3">
        <v>106.9</v>
      </c>
      <c r="O106" s="3">
        <v>16.1</v>
      </c>
      <c r="P106" s="3">
        <v>17.2</v>
      </c>
      <c r="Q106" s="5">
        <f t="shared" si="12"/>
        <v>1</v>
      </c>
      <c r="R106" s="5">
        <f t="shared" si="13"/>
        <v>1</v>
      </c>
      <c r="S106" s="5">
        <f t="shared" si="14"/>
        <v>1</v>
      </c>
      <c r="T106" s="5">
        <f t="shared" si="15"/>
        <v>1</v>
      </c>
    </row>
    <row r="107" spans="1:20">
      <c r="A107" t="s">
        <v>158</v>
      </c>
      <c r="B107" s="3">
        <v>57.81</v>
      </c>
      <c r="C107" s="3">
        <v>7.9018</v>
      </c>
      <c r="D107" s="3">
        <f t="shared" si="11"/>
        <v>456.803058</v>
      </c>
      <c r="E107" s="3">
        <f t="shared" si="16"/>
        <v>-6.93272444542831</v>
      </c>
      <c r="F107" s="3">
        <f t="shared" si="17"/>
        <v>-0.399111371455058</v>
      </c>
      <c r="G107" s="3">
        <f t="shared" si="18"/>
        <v>-7.33183581688338</v>
      </c>
      <c r="H107" s="6">
        <v>107</v>
      </c>
      <c r="I107" s="6">
        <v>103</v>
      </c>
      <c r="J107" s="6">
        <v>101.4</v>
      </c>
      <c r="K107" s="3">
        <f t="shared" si="19"/>
        <v>-3.90000000000001</v>
      </c>
      <c r="L107" s="3">
        <f t="shared" si="20"/>
        <v>-0.5</v>
      </c>
      <c r="M107" s="3">
        <f t="shared" si="21"/>
        <v>-0.0999999999999943</v>
      </c>
      <c r="N107" s="3">
        <v>105.6</v>
      </c>
      <c r="O107" s="3">
        <v>14.7</v>
      </c>
      <c r="P107" s="3">
        <v>16.9</v>
      </c>
      <c r="Q107" s="5">
        <f t="shared" si="12"/>
        <v>1</v>
      </c>
      <c r="R107" s="5">
        <f t="shared" si="13"/>
        <v>1</v>
      </c>
      <c r="S107" s="5">
        <f t="shared" si="14"/>
        <v>1</v>
      </c>
      <c r="T107" s="5">
        <f t="shared" si="15"/>
        <v>1</v>
      </c>
    </row>
    <row r="108" spans="1:20">
      <c r="A108" t="s">
        <v>159</v>
      </c>
      <c r="B108" s="3">
        <v>58.76</v>
      </c>
      <c r="C108" s="3">
        <v>7.8622</v>
      </c>
      <c r="D108" s="3">
        <f t="shared" si="11"/>
        <v>461.982872</v>
      </c>
      <c r="E108" s="3">
        <f t="shared" si="16"/>
        <v>1.62995802112918</v>
      </c>
      <c r="F108" s="3">
        <f t="shared" si="17"/>
        <v>-0.50241161250592</v>
      </c>
      <c r="G108" s="3">
        <f t="shared" si="18"/>
        <v>1.12754640862327</v>
      </c>
      <c r="H108" s="6">
        <v>104</v>
      </c>
      <c r="I108" s="6">
        <v>102.8</v>
      </c>
      <c r="J108" s="6">
        <v>101.9</v>
      </c>
      <c r="K108" s="3">
        <f t="shared" si="19"/>
        <v>-3</v>
      </c>
      <c r="L108" s="3">
        <f t="shared" si="20"/>
        <v>-0.200000000000003</v>
      </c>
      <c r="M108" s="3">
        <f t="shared" si="21"/>
        <v>0.5</v>
      </c>
      <c r="N108" s="3">
        <v>104.8</v>
      </c>
      <c r="O108" s="3">
        <v>14.9</v>
      </c>
      <c r="P108" s="3">
        <v>16.8</v>
      </c>
      <c r="Q108" s="5">
        <f t="shared" si="12"/>
        <v>1</v>
      </c>
      <c r="R108" s="5">
        <f t="shared" si="13"/>
        <v>1</v>
      </c>
      <c r="S108" s="5">
        <f t="shared" si="14"/>
        <v>1</v>
      </c>
      <c r="T108" s="5">
        <f t="shared" si="15"/>
        <v>1</v>
      </c>
    </row>
    <row r="109" spans="1:20">
      <c r="A109" t="s">
        <v>160</v>
      </c>
      <c r="B109" s="3">
        <v>62.47</v>
      </c>
      <c r="C109" s="3">
        <v>7.8219</v>
      </c>
      <c r="D109" s="3">
        <f t="shared" si="11"/>
        <v>488.634093</v>
      </c>
      <c r="E109" s="3">
        <f t="shared" si="16"/>
        <v>6.12250901998019</v>
      </c>
      <c r="F109" s="3">
        <f t="shared" si="17"/>
        <v>-0.513897369824926</v>
      </c>
      <c r="G109" s="3">
        <f t="shared" si="18"/>
        <v>5.60861165015526</v>
      </c>
      <c r="H109" s="6">
        <v>104.3</v>
      </c>
      <c r="I109" s="6">
        <v>103.1</v>
      </c>
      <c r="J109" s="6">
        <v>102.8</v>
      </c>
      <c r="K109" s="3">
        <f t="shared" si="19"/>
        <v>0.299999999999997</v>
      </c>
      <c r="L109" s="3">
        <f t="shared" si="20"/>
        <v>0.299999999999997</v>
      </c>
      <c r="M109" s="3">
        <f t="shared" si="21"/>
        <v>0.899999999999991</v>
      </c>
      <c r="N109" s="3">
        <v>105</v>
      </c>
      <c r="O109" s="3">
        <v>14.7</v>
      </c>
      <c r="P109" s="3">
        <v>16.6</v>
      </c>
      <c r="Q109" s="5">
        <f t="shared" si="12"/>
        <v>1</v>
      </c>
      <c r="R109" s="5">
        <f t="shared" si="13"/>
        <v>1</v>
      </c>
      <c r="S109" s="5">
        <f t="shared" si="14"/>
        <v>1</v>
      </c>
      <c r="T109" s="5">
        <f t="shared" si="15"/>
        <v>1</v>
      </c>
    </row>
    <row r="110" spans="1:20">
      <c r="A110" t="s">
        <v>161</v>
      </c>
      <c r="B110" s="3">
        <v>53.68</v>
      </c>
      <c r="C110" s="3">
        <v>7.7876</v>
      </c>
      <c r="D110" s="3">
        <f t="shared" si="11"/>
        <v>418.038368</v>
      </c>
      <c r="E110" s="3">
        <f t="shared" si="16"/>
        <v>-15.1645948842052</v>
      </c>
      <c r="F110" s="3">
        <f t="shared" si="17"/>
        <v>-0.439476667487859</v>
      </c>
      <c r="G110" s="3">
        <f t="shared" si="18"/>
        <v>-15.6040715516931</v>
      </c>
      <c r="H110" s="6">
        <v>104.6</v>
      </c>
      <c r="I110" s="6">
        <v>103.3</v>
      </c>
      <c r="J110" s="6">
        <v>102.2</v>
      </c>
      <c r="K110" s="3">
        <f t="shared" si="19"/>
        <v>0.299999999999997</v>
      </c>
      <c r="L110" s="3">
        <f t="shared" si="20"/>
        <v>0.200000000000003</v>
      </c>
      <c r="M110" s="3">
        <f t="shared" si="21"/>
        <v>-0.599999999999994</v>
      </c>
      <c r="N110" s="3">
        <v>104.7</v>
      </c>
      <c r="O110" s="3"/>
      <c r="P110" s="3"/>
      <c r="Q110" s="5">
        <f t="shared" si="12"/>
        <v>1</v>
      </c>
      <c r="R110" s="5">
        <f t="shared" si="13"/>
        <v>1</v>
      </c>
      <c r="S110" s="5">
        <f t="shared" si="14"/>
        <v>1</v>
      </c>
      <c r="T110" s="5">
        <f t="shared" si="15"/>
        <v>1</v>
      </c>
    </row>
    <row r="111" spans="1:20">
      <c r="A111" t="s">
        <v>162</v>
      </c>
      <c r="B111" s="3">
        <v>57.56</v>
      </c>
      <c r="C111" s="3">
        <v>7.7502</v>
      </c>
      <c r="D111" s="3">
        <f t="shared" si="11"/>
        <v>446.101512</v>
      </c>
      <c r="E111" s="3">
        <f t="shared" si="16"/>
        <v>6.97873893557408</v>
      </c>
      <c r="F111" s="3">
        <f t="shared" si="17"/>
        <v>-0.481407563873044</v>
      </c>
      <c r="G111" s="3">
        <f t="shared" si="18"/>
        <v>6.49733137170104</v>
      </c>
      <c r="H111" s="6">
        <v>102.5</v>
      </c>
      <c r="I111" s="6">
        <v>102.6</v>
      </c>
      <c r="J111" s="6">
        <v>102.7</v>
      </c>
      <c r="K111" s="3">
        <f t="shared" si="19"/>
        <v>-2.09999999999999</v>
      </c>
      <c r="L111" s="3">
        <f t="shared" si="20"/>
        <v>-0.700000000000003</v>
      </c>
      <c r="M111" s="3">
        <f t="shared" si="21"/>
        <v>0.5</v>
      </c>
      <c r="N111" s="3">
        <v>104</v>
      </c>
      <c r="O111" s="3">
        <v>12.6</v>
      </c>
      <c r="P111" s="3">
        <v>18.5</v>
      </c>
      <c r="Q111" s="5">
        <f t="shared" si="12"/>
        <v>1</v>
      </c>
      <c r="R111" s="5">
        <f t="shared" si="13"/>
        <v>1</v>
      </c>
      <c r="S111" s="5">
        <f t="shared" si="14"/>
        <v>1</v>
      </c>
      <c r="T111" s="5">
        <f t="shared" si="15"/>
        <v>1</v>
      </c>
    </row>
    <row r="112" spans="1:20">
      <c r="A112" t="s">
        <v>163</v>
      </c>
      <c r="B112" s="3">
        <v>62.05</v>
      </c>
      <c r="C112" s="3">
        <v>7.7369</v>
      </c>
      <c r="D112" s="3">
        <f t="shared" si="11"/>
        <v>480.074645</v>
      </c>
      <c r="E112" s="3">
        <f t="shared" si="16"/>
        <v>7.51126296314491</v>
      </c>
      <c r="F112" s="3">
        <f t="shared" si="17"/>
        <v>-0.171755890639213</v>
      </c>
      <c r="G112" s="3">
        <f t="shared" si="18"/>
        <v>7.3395070725057</v>
      </c>
      <c r="H112" s="6">
        <v>101.7</v>
      </c>
      <c r="I112" s="6">
        <v>102.7</v>
      </c>
      <c r="J112" s="6">
        <v>103.3</v>
      </c>
      <c r="K112" s="3">
        <f t="shared" si="19"/>
        <v>-0.799999999999997</v>
      </c>
      <c r="L112" s="3">
        <f t="shared" si="20"/>
        <v>0.100000000000009</v>
      </c>
      <c r="M112" s="3">
        <f t="shared" si="21"/>
        <v>0.599999999999994</v>
      </c>
      <c r="N112" s="3">
        <v>103.7</v>
      </c>
      <c r="O112" s="3">
        <v>17.6</v>
      </c>
      <c r="P112" s="3">
        <v>18.3</v>
      </c>
      <c r="Q112" s="5">
        <f t="shared" si="12"/>
        <v>1</v>
      </c>
      <c r="R112" s="5">
        <f t="shared" si="13"/>
        <v>1</v>
      </c>
      <c r="S112" s="5">
        <f t="shared" si="14"/>
        <v>1</v>
      </c>
      <c r="T112" s="5">
        <f t="shared" si="15"/>
        <v>1</v>
      </c>
    </row>
    <row r="113" spans="1:20">
      <c r="A113" t="s">
        <v>164</v>
      </c>
      <c r="B113" s="3">
        <v>67.49</v>
      </c>
      <c r="C113" s="3">
        <v>7.7247</v>
      </c>
      <c r="D113" s="3">
        <f t="shared" si="11"/>
        <v>521.340003</v>
      </c>
      <c r="E113" s="3">
        <f t="shared" si="16"/>
        <v>8.40389271046988</v>
      </c>
      <c r="F113" s="3">
        <f t="shared" si="17"/>
        <v>-0.157810349923908</v>
      </c>
      <c r="G113" s="3">
        <f t="shared" si="18"/>
        <v>8.24608236054599</v>
      </c>
      <c r="H113" s="6">
        <v>102.1</v>
      </c>
      <c r="I113" s="6">
        <v>102.9</v>
      </c>
      <c r="J113" s="6">
        <v>103</v>
      </c>
      <c r="K113" s="3">
        <f t="shared" si="19"/>
        <v>0.399999999999991</v>
      </c>
      <c r="L113" s="3">
        <f t="shared" si="20"/>
        <v>0.200000000000003</v>
      </c>
      <c r="M113" s="3">
        <f t="shared" si="21"/>
        <v>-0.299999999999997</v>
      </c>
      <c r="N113" s="3">
        <v>103.7</v>
      </c>
      <c r="O113" s="3">
        <v>17.4</v>
      </c>
      <c r="P113" s="3">
        <v>18</v>
      </c>
      <c r="Q113" s="5">
        <f t="shared" si="12"/>
        <v>1</v>
      </c>
      <c r="R113" s="5">
        <f t="shared" si="13"/>
        <v>1</v>
      </c>
      <c r="S113" s="5">
        <f t="shared" si="14"/>
        <v>1</v>
      </c>
      <c r="T113" s="5">
        <f t="shared" si="15"/>
        <v>1</v>
      </c>
    </row>
    <row r="114" spans="1:20">
      <c r="A114" t="s">
        <v>165</v>
      </c>
      <c r="B114" s="3">
        <v>67.21</v>
      </c>
      <c r="C114" s="3">
        <v>7.6773</v>
      </c>
      <c r="D114" s="3">
        <f t="shared" si="11"/>
        <v>515.991333</v>
      </c>
      <c r="E114" s="3">
        <f t="shared" si="16"/>
        <v>-0.41573927734407</v>
      </c>
      <c r="F114" s="3">
        <f t="shared" si="17"/>
        <v>-0.615506423125932</v>
      </c>
      <c r="G114" s="3">
        <f t="shared" si="18"/>
        <v>-1.03124570047</v>
      </c>
      <c r="H114" s="6">
        <v>102.5</v>
      </c>
      <c r="I114" s="6">
        <v>102.8</v>
      </c>
      <c r="J114" s="6">
        <v>103.4</v>
      </c>
      <c r="K114" s="3">
        <f t="shared" si="19"/>
        <v>0.400000000000006</v>
      </c>
      <c r="L114" s="3">
        <f t="shared" si="20"/>
        <v>-0.100000000000009</v>
      </c>
      <c r="M114" s="3">
        <f t="shared" si="21"/>
        <v>0.400000000000006</v>
      </c>
      <c r="N114" s="3">
        <v>103.6</v>
      </c>
      <c r="O114" s="3">
        <v>18.1</v>
      </c>
      <c r="P114" s="3">
        <v>18.1</v>
      </c>
      <c r="Q114" s="5">
        <f t="shared" si="12"/>
        <v>1</v>
      </c>
      <c r="R114" s="5">
        <f t="shared" si="13"/>
        <v>1</v>
      </c>
      <c r="S114" s="5">
        <f t="shared" si="14"/>
        <v>1</v>
      </c>
      <c r="T114" s="5">
        <f t="shared" si="15"/>
        <v>1</v>
      </c>
    </row>
    <row r="115" spans="1:20">
      <c r="A115" t="s">
        <v>166</v>
      </c>
      <c r="B115" s="3">
        <v>71.05</v>
      </c>
      <c r="C115" s="3">
        <v>7.6333</v>
      </c>
      <c r="D115" s="3">
        <f t="shared" si="11"/>
        <v>542.345965</v>
      </c>
      <c r="E115" s="3">
        <f t="shared" si="16"/>
        <v>5.55618085612351</v>
      </c>
      <c r="F115" s="3">
        <f t="shared" si="17"/>
        <v>-0.574766777667462</v>
      </c>
      <c r="G115" s="3">
        <f t="shared" si="18"/>
        <v>4.98141407845606</v>
      </c>
      <c r="H115" s="6">
        <v>101.8</v>
      </c>
      <c r="I115" s="6">
        <v>102.5</v>
      </c>
      <c r="J115" s="6">
        <v>104.4</v>
      </c>
      <c r="K115" s="3">
        <f t="shared" si="19"/>
        <v>-0.700000000000003</v>
      </c>
      <c r="L115" s="3">
        <f t="shared" si="20"/>
        <v>-0.299999999999997</v>
      </c>
      <c r="M115" s="3">
        <f t="shared" si="21"/>
        <v>1</v>
      </c>
      <c r="N115" s="3">
        <v>103.4</v>
      </c>
      <c r="O115" s="3">
        <v>19.4</v>
      </c>
      <c r="P115" s="3">
        <v>18.5</v>
      </c>
      <c r="Q115" s="5">
        <f t="shared" si="12"/>
        <v>1</v>
      </c>
      <c r="R115" s="5">
        <f t="shared" si="13"/>
        <v>1</v>
      </c>
      <c r="S115" s="5">
        <f t="shared" si="14"/>
        <v>1</v>
      </c>
      <c r="T115" s="5">
        <f t="shared" si="15"/>
        <v>1</v>
      </c>
    </row>
    <row r="116" spans="1:20">
      <c r="A116" t="s">
        <v>167</v>
      </c>
      <c r="B116" s="3">
        <v>76.93</v>
      </c>
      <c r="C116" s="3">
        <v>7.5757</v>
      </c>
      <c r="D116" s="3">
        <f t="shared" si="11"/>
        <v>582.798601</v>
      </c>
      <c r="E116" s="3">
        <f t="shared" si="16"/>
        <v>7.95120629277338</v>
      </c>
      <c r="F116" s="3">
        <f t="shared" si="17"/>
        <v>-0.757449870343654</v>
      </c>
      <c r="G116" s="3">
        <f t="shared" si="18"/>
        <v>7.19375642242971</v>
      </c>
      <c r="H116" s="6">
        <v>102.1</v>
      </c>
      <c r="I116" s="6">
        <v>102.4</v>
      </c>
      <c r="J116" s="6">
        <v>105.6</v>
      </c>
      <c r="K116" s="3">
        <f t="shared" si="19"/>
        <v>0.299999999999997</v>
      </c>
      <c r="L116" s="3">
        <f t="shared" si="20"/>
        <v>-0.0999999999999943</v>
      </c>
      <c r="M116" s="3">
        <f t="shared" si="21"/>
        <v>1.19999999999999</v>
      </c>
      <c r="N116" s="3">
        <v>103.6</v>
      </c>
      <c r="O116" s="3">
        <v>18</v>
      </c>
      <c r="P116" s="3">
        <v>18.5</v>
      </c>
      <c r="Q116" s="5">
        <f t="shared" si="12"/>
        <v>1</v>
      </c>
      <c r="R116" s="5">
        <f t="shared" si="13"/>
        <v>1</v>
      </c>
      <c r="S116" s="5">
        <f t="shared" si="14"/>
        <v>1</v>
      </c>
      <c r="T116" s="5">
        <f t="shared" si="15"/>
        <v>1</v>
      </c>
    </row>
    <row r="117" spans="1:20">
      <c r="A117" t="s">
        <v>168</v>
      </c>
      <c r="B117" s="3">
        <v>70.76</v>
      </c>
      <c r="C117" s="3">
        <v>7.5734</v>
      </c>
      <c r="D117" s="3">
        <f t="shared" si="11"/>
        <v>535.893784</v>
      </c>
      <c r="E117" s="3">
        <f t="shared" si="16"/>
        <v>-8.36020481792588</v>
      </c>
      <c r="F117" s="3">
        <f t="shared" si="17"/>
        <v>-0.0303648403888345</v>
      </c>
      <c r="G117" s="3">
        <f t="shared" si="18"/>
        <v>-8.3905696583147</v>
      </c>
      <c r="H117" s="6">
        <v>102.8</v>
      </c>
      <c r="I117" s="6">
        <v>102.6</v>
      </c>
      <c r="J117" s="6">
        <v>106.5</v>
      </c>
      <c r="K117" s="3">
        <f t="shared" si="19"/>
        <v>0.700000000000003</v>
      </c>
      <c r="L117" s="3">
        <f t="shared" si="20"/>
        <v>0.199999999999989</v>
      </c>
      <c r="M117" s="3">
        <f t="shared" si="21"/>
        <v>0.900000000000006</v>
      </c>
      <c r="N117" s="3">
        <v>103.8</v>
      </c>
      <c r="O117" s="3">
        <v>17.5</v>
      </c>
      <c r="P117" s="3">
        <v>18.4</v>
      </c>
      <c r="Q117" s="5">
        <f t="shared" si="12"/>
        <v>1</v>
      </c>
      <c r="R117" s="5">
        <f t="shared" si="13"/>
        <v>1</v>
      </c>
      <c r="S117" s="5">
        <f t="shared" si="14"/>
        <v>1</v>
      </c>
      <c r="T117" s="5">
        <f t="shared" si="15"/>
        <v>1</v>
      </c>
    </row>
    <row r="118" spans="1:20">
      <c r="A118" t="s">
        <v>169</v>
      </c>
      <c r="B118" s="3">
        <v>77.17</v>
      </c>
      <c r="C118" s="3">
        <v>7.521</v>
      </c>
      <c r="D118" s="3">
        <f t="shared" si="11"/>
        <v>580.39557</v>
      </c>
      <c r="E118" s="3">
        <f t="shared" si="16"/>
        <v>8.67169111779272</v>
      </c>
      <c r="F118" s="3">
        <f t="shared" si="17"/>
        <v>-0.694300011873176</v>
      </c>
      <c r="G118" s="3">
        <f t="shared" si="18"/>
        <v>7.97739110591953</v>
      </c>
      <c r="H118" s="6">
        <v>101.9</v>
      </c>
      <c r="I118" s="6">
        <v>102.7</v>
      </c>
      <c r="J118" s="6">
        <v>106.2</v>
      </c>
      <c r="K118" s="3">
        <f t="shared" si="19"/>
        <v>-0.899999999999991</v>
      </c>
      <c r="L118" s="3">
        <f t="shared" si="20"/>
        <v>0.100000000000009</v>
      </c>
      <c r="M118" s="3">
        <f t="shared" si="21"/>
        <v>-0.299999999999997</v>
      </c>
      <c r="N118" s="3">
        <v>103.6</v>
      </c>
      <c r="O118" s="3">
        <v>18.9</v>
      </c>
      <c r="P118" s="3">
        <v>18.5</v>
      </c>
      <c r="Q118" s="5">
        <f t="shared" si="12"/>
        <v>1</v>
      </c>
      <c r="R118" s="5">
        <f t="shared" si="13"/>
        <v>1</v>
      </c>
      <c r="S118" s="5">
        <f t="shared" si="14"/>
        <v>1</v>
      </c>
      <c r="T118" s="5">
        <f t="shared" si="15"/>
        <v>1</v>
      </c>
    </row>
    <row r="119" spans="1:20">
      <c r="A119" t="s">
        <v>170</v>
      </c>
      <c r="B119" s="3">
        <v>82.34</v>
      </c>
      <c r="C119" s="3">
        <v>7.5019</v>
      </c>
      <c r="D119" s="3">
        <f t="shared" si="11"/>
        <v>617.706446</v>
      </c>
      <c r="E119" s="3">
        <f t="shared" si="16"/>
        <v>6.48462358722469</v>
      </c>
      <c r="F119" s="3">
        <f t="shared" si="17"/>
        <v>-0.254278605213841</v>
      </c>
      <c r="G119" s="3">
        <f t="shared" si="18"/>
        <v>6.23034498201085</v>
      </c>
      <c r="H119" s="6">
        <v>104.2</v>
      </c>
      <c r="I119" s="6">
        <v>103.2</v>
      </c>
      <c r="J119" s="6">
        <v>106.5</v>
      </c>
      <c r="K119" s="3">
        <f t="shared" si="19"/>
        <v>2.3</v>
      </c>
      <c r="L119" s="3">
        <f t="shared" si="20"/>
        <v>0.5</v>
      </c>
      <c r="M119" s="3">
        <f t="shared" si="21"/>
        <v>0.299999999999997</v>
      </c>
      <c r="N119" s="3">
        <v>104.5</v>
      </c>
      <c r="O119" s="3">
        <v>17.9</v>
      </c>
      <c r="P119" s="3">
        <v>18.5</v>
      </c>
      <c r="Q119" s="5">
        <f t="shared" si="12"/>
        <v>1</v>
      </c>
      <c r="R119" s="5">
        <f t="shared" si="13"/>
        <v>1</v>
      </c>
      <c r="S119" s="5">
        <f t="shared" si="14"/>
        <v>1</v>
      </c>
      <c r="T119" s="5">
        <f t="shared" si="15"/>
        <v>1</v>
      </c>
    </row>
    <row r="120" spans="1:20">
      <c r="A120" t="s">
        <v>171</v>
      </c>
      <c r="B120" s="3">
        <v>92.41</v>
      </c>
      <c r="C120" s="3">
        <v>7.421</v>
      </c>
      <c r="D120" s="3">
        <f t="shared" si="11"/>
        <v>685.77461</v>
      </c>
      <c r="E120" s="3">
        <f t="shared" si="16"/>
        <v>11.537818155819</v>
      </c>
      <c r="F120" s="3">
        <f t="shared" si="17"/>
        <v>-1.08425028041311</v>
      </c>
      <c r="G120" s="3">
        <f t="shared" si="18"/>
        <v>10.4535678754059</v>
      </c>
      <c r="H120" s="6">
        <v>109.9</v>
      </c>
      <c r="I120" s="6">
        <v>104.6</v>
      </c>
      <c r="J120" s="6">
        <v>106.9</v>
      </c>
      <c r="K120" s="3">
        <f t="shared" si="19"/>
        <v>5.7</v>
      </c>
      <c r="L120" s="3">
        <f t="shared" si="20"/>
        <v>1.39999999999999</v>
      </c>
      <c r="M120" s="3">
        <f t="shared" si="21"/>
        <v>0.400000000000006</v>
      </c>
      <c r="N120" s="3">
        <v>106.3</v>
      </c>
      <c r="O120" s="3">
        <v>17.3</v>
      </c>
      <c r="P120" s="3">
        <v>18.5</v>
      </c>
      <c r="Q120" s="5">
        <f t="shared" si="12"/>
        <v>1</v>
      </c>
      <c r="R120" s="5">
        <f t="shared" si="13"/>
        <v>1</v>
      </c>
      <c r="S120" s="5">
        <f t="shared" si="14"/>
        <v>1</v>
      </c>
      <c r="T120" s="5">
        <f t="shared" si="15"/>
        <v>1</v>
      </c>
    </row>
    <row r="121" spans="1:20">
      <c r="A121" t="s">
        <v>172</v>
      </c>
      <c r="B121" s="3">
        <v>90.93</v>
      </c>
      <c r="C121" s="3">
        <v>7.3682</v>
      </c>
      <c r="D121" s="3">
        <f t="shared" si="11"/>
        <v>669.990426</v>
      </c>
      <c r="E121" s="3">
        <f t="shared" si="16"/>
        <v>-1.61452181621274</v>
      </c>
      <c r="F121" s="3">
        <f t="shared" si="17"/>
        <v>-0.714037599514168</v>
      </c>
      <c r="G121" s="3">
        <f t="shared" si="18"/>
        <v>-2.32855941572692</v>
      </c>
      <c r="H121" s="6">
        <v>115.2</v>
      </c>
      <c r="I121" s="6">
        <v>105.4</v>
      </c>
      <c r="J121" s="6">
        <v>106.5</v>
      </c>
      <c r="K121" s="3">
        <f t="shared" si="19"/>
        <v>5.3</v>
      </c>
      <c r="L121" s="3">
        <f t="shared" si="20"/>
        <v>0.800000000000011</v>
      </c>
      <c r="M121" s="3">
        <f t="shared" si="21"/>
        <v>-0.400000000000006</v>
      </c>
      <c r="N121" s="3">
        <v>108.1</v>
      </c>
      <c r="O121" s="3">
        <v>17.4</v>
      </c>
      <c r="P121" s="3">
        <v>18.5</v>
      </c>
      <c r="Q121" s="5">
        <f t="shared" si="12"/>
        <v>1</v>
      </c>
      <c r="R121" s="5">
        <f t="shared" si="13"/>
        <v>1</v>
      </c>
      <c r="S121" s="5">
        <f t="shared" si="14"/>
        <v>1</v>
      </c>
      <c r="T121" s="5">
        <f t="shared" si="15"/>
        <v>1</v>
      </c>
    </row>
    <row r="122" spans="1:20">
      <c r="A122" t="s">
        <v>173</v>
      </c>
      <c r="B122" s="3">
        <v>92.18</v>
      </c>
      <c r="C122" s="3">
        <v>7.2405</v>
      </c>
      <c r="D122" s="3">
        <f t="shared" si="11"/>
        <v>667.42929</v>
      </c>
      <c r="E122" s="3">
        <f t="shared" si="16"/>
        <v>1.36532075545407</v>
      </c>
      <c r="F122" s="3">
        <f t="shared" si="17"/>
        <v>-1.74831782063346</v>
      </c>
      <c r="G122" s="3">
        <f t="shared" si="18"/>
        <v>-0.382997065179396</v>
      </c>
      <c r="H122" s="6">
        <v>115.7</v>
      </c>
      <c r="I122" s="6">
        <v>106.1</v>
      </c>
      <c r="J122" s="6">
        <v>107.1</v>
      </c>
      <c r="K122" s="3">
        <f t="shared" si="19"/>
        <v>0.5</v>
      </c>
      <c r="L122" s="3">
        <f t="shared" si="20"/>
        <v>0.699999999999989</v>
      </c>
      <c r="M122" s="3">
        <f t="shared" si="21"/>
        <v>0.599999999999994</v>
      </c>
      <c r="N122" s="3">
        <v>108.9</v>
      </c>
      <c r="O122" s="3"/>
      <c r="P122" s="3"/>
      <c r="Q122" s="5">
        <f t="shared" si="12"/>
        <v>1</v>
      </c>
      <c r="R122" s="5">
        <f t="shared" si="13"/>
        <v>1</v>
      </c>
      <c r="S122" s="5">
        <f t="shared" si="14"/>
        <v>1</v>
      </c>
      <c r="T122" s="5">
        <f t="shared" si="15"/>
        <v>1</v>
      </c>
    </row>
    <row r="123" spans="1:20">
      <c r="A123" t="s">
        <v>174</v>
      </c>
      <c r="B123" s="3">
        <v>94.99</v>
      </c>
      <c r="C123" s="3">
        <v>7.1644</v>
      </c>
      <c r="D123" s="3">
        <f t="shared" si="11"/>
        <v>680.546356</v>
      </c>
      <c r="E123" s="3">
        <f t="shared" si="16"/>
        <v>3.00284356097286</v>
      </c>
      <c r="F123" s="3">
        <f t="shared" si="17"/>
        <v>-1.05659474175539</v>
      </c>
      <c r="G123" s="3">
        <f t="shared" si="18"/>
        <v>1.94624881921749</v>
      </c>
      <c r="H123" s="6">
        <v>117.7</v>
      </c>
      <c r="I123" s="6">
        <v>106.6</v>
      </c>
      <c r="J123" s="6">
        <v>108.7</v>
      </c>
      <c r="K123" s="3">
        <f t="shared" si="19"/>
        <v>2</v>
      </c>
      <c r="L123" s="3">
        <f t="shared" si="20"/>
        <v>0.5</v>
      </c>
      <c r="M123" s="3">
        <f t="shared" si="21"/>
        <v>1.60000000000001</v>
      </c>
      <c r="N123" s="3">
        <v>109.7</v>
      </c>
      <c r="O123" s="3">
        <v>15.4</v>
      </c>
      <c r="P123" s="3">
        <v>15.4</v>
      </c>
      <c r="Q123" s="5">
        <f t="shared" si="12"/>
        <v>1</v>
      </c>
      <c r="R123" s="5">
        <f t="shared" si="13"/>
        <v>1</v>
      </c>
      <c r="S123" s="5">
        <f t="shared" si="14"/>
        <v>1</v>
      </c>
      <c r="T123" s="5">
        <f t="shared" si="15"/>
        <v>1</v>
      </c>
    </row>
    <row r="124" spans="1:20">
      <c r="A124" t="s">
        <v>175</v>
      </c>
      <c r="B124" s="3">
        <v>103.64</v>
      </c>
      <c r="C124" s="3">
        <v>7.0722</v>
      </c>
      <c r="D124" s="3">
        <f t="shared" si="11"/>
        <v>732.962808</v>
      </c>
      <c r="E124" s="3">
        <f t="shared" si="16"/>
        <v>8.71517327918183</v>
      </c>
      <c r="F124" s="3">
        <f t="shared" si="17"/>
        <v>-1.29527118905247</v>
      </c>
      <c r="G124" s="3">
        <f t="shared" si="18"/>
        <v>7.41990209012935</v>
      </c>
      <c r="H124" s="6">
        <v>119</v>
      </c>
      <c r="I124" s="6">
        <v>108</v>
      </c>
      <c r="J124" s="6">
        <v>108.3</v>
      </c>
      <c r="K124" s="3">
        <f t="shared" si="19"/>
        <v>1.3</v>
      </c>
      <c r="L124" s="3">
        <f t="shared" si="20"/>
        <v>1.40000000000001</v>
      </c>
      <c r="M124" s="3">
        <f t="shared" si="21"/>
        <v>-0.400000000000006</v>
      </c>
      <c r="N124" s="3">
        <v>111</v>
      </c>
      <c r="O124" s="3">
        <v>17.8</v>
      </c>
      <c r="P124" s="3">
        <v>16.4</v>
      </c>
      <c r="Q124" s="5">
        <f t="shared" si="12"/>
        <v>1</v>
      </c>
      <c r="R124" s="5">
        <f t="shared" si="13"/>
        <v>1</v>
      </c>
      <c r="S124" s="5">
        <f t="shared" si="14"/>
        <v>1</v>
      </c>
      <c r="T124" s="5">
        <f t="shared" si="15"/>
        <v>1</v>
      </c>
    </row>
    <row r="125" spans="1:20">
      <c r="A125" t="s">
        <v>176</v>
      </c>
      <c r="B125" s="3">
        <v>109.07</v>
      </c>
      <c r="C125" s="3">
        <v>6.9997</v>
      </c>
      <c r="D125" s="3">
        <f t="shared" si="11"/>
        <v>763.457279</v>
      </c>
      <c r="E125" s="3">
        <f t="shared" si="16"/>
        <v>5.10665222467423</v>
      </c>
      <c r="F125" s="3">
        <f t="shared" si="17"/>
        <v>-1.03043144843791</v>
      </c>
      <c r="G125" s="3">
        <f t="shared" si="18"/>
        <v>4.07622077623631</v>
      </c>
      <c r="H125" s="6">
        <v>121.2</v>
      </c>
      <c r="I125" s="6">
        <v>108.1</v>
      </c>
      <c r="J125" s="6">
        <v>108.5</v>
      </c>
      <c r="K125" s="3">
        <f t="shared" si="19"/>
        <v>2.2</v>
      </c>
      <c r="L125" s="3">
        <f t="shared" si="20"/>
        <v>0.0999999999999943</v>
      </c>
      <c r="M125" s="3">
        <f t="shared" si="21"/>
        <v>0.200000000000003</v>
      </c>
      <c r="N125" s="3">
        <v>111.8</v>
      </c>
      <c r="O125" s="3">
        <v>15.7</v>
      </c>
      <c r="P125" s="3">
        <v>16.3</v>
      </c>
      <c r="Q125" s="5">
        <f t="shared" si="12"/>
        <v>1</v>
      </c>
      <c r="R125" s="5">
        <f t="shared" si="13"/>
        <v>1</v>
      </c>
      <c r="S125" s="5">
        <f t="shared" si="14"/>
        <v>1</v>
      </c>
      <c r="T125" s="5">
        <f t="shared" si="15"/>
        <v>1</v>
      </c>
    </row>
    <row r="126" spans="1:20">
      <c r="A126" t="s">
        <v>177</v>
      </c>
      <c r="B126" s="3">
        <v>122.8</v>
      </c>
      <c r="C126" s="3">
        <v>6.9725</v>
      </c>
      <c r="D126" s="3">
        <f t="shared" si="11"/>
        <v>856.223</v>
      </c>
      <c r="E126" s="3">
        <f t="shared" si="16"/>
        <v>11.8567137772391</v>
      </c>
      <c r="F126" s="3">
        <f t="shared" si="17"/>
        <v>-0.389345047455561</v>
      </c>
      <c r="G126" s="3">
        <f t="shared" si="18"/>
        <v>11.4673687297835</v>
      </c>
      <c r="H126" s="6">
        <v>121</v>
      </c>
      <c r="I126" s="6">
        <v>108.2</v>
      </c>
      <c r="J126" s="6">
        <v>107.7</v>
      </c>
      <c r="K126" s="3">
        <f t="shared" si="19"/>
        <v>-0.200000000000003</v>
      </c>
      <c r="L126" s="3">
        <f t="shared" si="20"/>
        <v>0.100000000000009</v>
      </c>
      <c r="M126" s="3">
        <f t="shared" si="21"/>
        <v>-0.799999999999997</v>
      </c>
      <c r="N126" s="3">
        <v>111.9</v>
      </c>
      <c r="O126" s="3">
        <v>16</v>
      </c>
      <c r="P126" s="3">
        <v>16.3</v>
      </c>
      <c r="Q126" s="5">
        <f t="shared" si="12"/>
        <v>1</v>
      </c>
      <c r="R126" s="5">
        <f t="shared" si="13"/>
        <v>1</v>
      </c>
      <c r="S126" s="5">
        <f t="shared" si="14"/>
        <v>1</v>
      </c>
      <c r="T126" s="5">
        <f t="shared" si="15"/>
        <v>1</v>
      </c>
    </row>
    <row r="127" spans="1:20">
      <c r="A127" t="s">
        <v>178</v>
      </c>
      <c r="B127" s="3">
        <v>132.32</v>
      </c>
      <c r="C127" s="3">
        <v>6.8993</v>
      </c>
      <c r="D127" s="3">
        <f t="shared" si="11"/>
        <v>912.915376</v>
      </c>
      <c r="E127" s="3">
        <f t="shared" si="16"/>
        <v>7.46662155623391</v>
      </c>
      <c r="F127" s="3">
        <f t="shared" si="17"/>
        <v>-1.05538833379813</v>
      </c>
      <c r="G127" s="3">
        <f t="shared" si="18"/>
        <v>6.41123322243578</v>
      </c>
      <c r="H127" s="6">
        <v>124.9</v>
      </c>
      <c r="I127" s="6">
        <v>108.8</v>
      </c>
      <c r="J127" s="6">
        <v>107.1</v>
      </c>
      <c r="K127" s="3">
        <f t="shared" si="19"/>
        <v>3.90000000000001</v>
      </c>
      <c r="L127" s="3">
        <f t="shared" si="20"/>
        <v>0.599999999999994</v>
      </c>
      <c r="M127" s="3">
        <f t="shared" si="21"/>
        <v>-0.600000000000009</v>
      </c>
      <c r="N127" s="3">
        <v>113.5</v>
      </c>
      <c r="O127" s="3">
        <v>16</v>
      </c>
      <c r="P127" s="3">
        <v>16.3</v>
      </c>
      <c r="Q127" s="5">
        <f t="shared" si="12"/>
        <v>1</v>
      </c>
      <c r="R127" s="5">
        <f t="shared" si="13"/>
        <v>1</v>
      </c>
      <c r="S127" s="5">
        <f t="shared" si="14"/>
        <v>1</v>
      </c>
      <c r="T127" s="5">
        <f t="shared" si="15"/>
        <v>1</v>
      </c>
    </row>
    <row r="128" spans="1:20">
      <c r="A128" t="s">
        <v>179</v>
      </c>
      <c r="B128" s="3">
        <v>132.72</v>
      </c>
      <c r="C128" s="3">
        <v>6.8355</v>
      </c>
      <c r="D128" s="3">
        <f t="shared" si="11"/>
        <v>907.20756</v>
      </c>
      <c r="E128" s="3">
        <f t="shared" si="16"/>
        <v>0.301841460680796</v>
      </c>
      <c r="F128" s="3">
        <f t="shared" si="17"/>
        <v>-0.929033679161582</v>
      </c>
      <c r="G128" s="3">
        <f t="shared" si="18"/>
        <v>-0.627192218480795</v>
      </c>
      <c r="H128" s="6">
        <v>130.1</v>
      </c>
      <c r="I128" s="6">
        <v>110</v>
      </c>
      <c r="J128" s="6">
        <v>106.3</v>
      </c>
      <c r="K128" s="3">
        <f t="shared" si="19"/>
        <v>5.19999999999999</v>
      </c>
      <c r="L128" s="3">
        <f t="shared" si="20"/>
        <v>1.2</v>
      </c>
      <c r="M128" s="3">
        <f t="shared" si="21"/>
        <v>-0.799999999999997</v>
      </c>
      <c r="N128" s="3">
        <v>115.4</v>
      </c>
      <c r="O128" s="3">
        <v>14.7</v>
      </c>
      <c r="P128" s="3">
        <v>16.1</v>
      </c>
      <c r="Q128" s="5">
        <f t="shared" si="12"/>
        <v>1</v>
      </c>
      <c r="R128" s="5">
        <f t="shared" si="13"/>
        <v>1</v>
      </c>
      <c r="S128" s="5">
        <f t="shared" si="14"/>
        <v>1</v>
      </c>
      <c r="T128" s="5">
        <f t="shared" si="15"/>
        <v>1</v>
      </c>
    </row>
    <row r="129" spans="1:20">
      <c r="A129" t="s">
        <v>180</v>
      </c>
      <c r="B129" s="3">
        <v>113.24</v>
      </c>
      <c r="C129" s="3">
        <v>6.8462</v>
      </c>
      <c r="D129" s="3">
        <f t="shared" si="11"/>
        <v>775.263688</v>
      </c>
      <c r="E129" s="3">
        <f t="shared" si="16"/>
        <v>-15.873218563849</v>
      </c>
      <c r="F129" s="3">
        <f t="shared" si="17"/>
        <v>0.156413343100258</v>
      </c>
      <c r="G129" s="3">
        <f t="shared" si="18"/>
        <v>-15.7168052207488</v>
      </c>
      <c r="H129" s="6">
        <v>130.9</v>
      </c>
      <c r="I129" s="6">
        <v>110.1</v>
      </c>
      <c r="J129" s="6">
        <v>104.9</v>
      </c>
      <c r="K129" s="3">
        <f t="shared" si="19"/>
        <v>0.800000000000011</v>
      </c>
      <c r="L129" s="3">
        <f t="shared" si="20"/>
        <v>0.0999999999999943</v>
      </c>
      <c r="M129" s="3">
        <f t="shared" si="21"/>
        <v>-1.39999999999999</v>
      </c>
      <c r="N129" s="3">
        <v>115.3</v>
      </c>
      <c r="O129" s="3">
        <v>12.8</v>
      </c>
      <c r="P129" s="3">
        <v>15.7</v>
      </c>
      <c r="Q129" s="5">
        <f t="shared" si="12"/>
        <v>1</v>
      </c>
      <c r="R129" s="5">
        <f t="shared" si="13"/>
        <v>1</v>
      </c>
      <c r="S129" s="5">
        <f t="shared" si="14"/>
        <v>1</v>
      </c>
      <c r="T129" s="5">
        <f t="shared" si="15"/>
        <v>1</v>
      </c>
    </row>
    <row r="130" spans="1:20">
      <c r="A130" t="s">
        <v>181</v>
      </c>
      <c r="B130" s="3">
        <v>97.23</v>
      </c>
      <c r="C130" s="3">
        <v>6.8307</v>
      </c>
      <c r="D130" s="3">
        <f t="shared" ref="D130:D193" si="22" xml:space="preserve">B130*C130</f>
        <v>664.148961</v>
      </c>
      <c r="E130" s="3">
        <f t="shared" si="16"/>
        <v>-15.2430154422133</v>
      </c>
      <c r="F130" s="3">
        <f t="shared" si="17"/>
        <v>-0.226659647082077</v>
      </c>
      <c r="G130" s="3">
        <f t="shared" si="18"/>
        <v>-15.4696750892954</v>
      </c>
      <c r="H130" s="6">
        <v>129</v>
      </c>
      <c r="I130" s="6">
        <v>109.1</v>
      </c>
      <c r="J130" s="6">
        <v>104.6</v>
      </c>
      <c r="K130" s="3">
        <f t="shared" si="19"/>
        <v>-1.90000000000001</v>
      </c>
      <c r="L130" s="3">
        <f t="shared" si="20"/>
        <v>-1</v>
      </c>
      <c r="M130" s="3">
        <f t="shared" si="21"/>
        <v>-0.300000000000011</v>
      </c>
      <c r="N130" s="3">
        <v>114</v>
      </c>
      <c r="O130" s="3">
        <v>11.4</v>
      </c>
      <c r="P130" s="3">
        <v>15.2</v>
      </c>
      <c r="Q130" s="5">
        <f t="shared" ref="Q130:Q193" si="23" xml:space="preserve">IF(ROW()&gt;=5,1,0)</f>
        <v>1</v>
      </c>
      <c r="R130" s="5">
        <f t="shared" ref="R130:R193" si="24" xml:space="preserve">IF(AND(ROW()&gt;=5,ROW()+3&lt;=339),1,0)</f>
        <v>1</v>
      </c>
      <c r="S130" s="5">
        <f t="shared" ref="S130:S193" si="25" xml:space="preserve">IF(AND(ROW()&gt;=5,ROW()+6&lt;=339),1,0)</f>
        <v>1</v>
      </c>
      <c r="T130" s="5">
        <f t="shared" ref="T130:T193" si="26" xml:space="preserve">IF(AND(ROW()&gt;=5,ROW()+12&lt;=339),1,0)</f>
        <v>1</v>
      </c>
    </row>
    <row r="131" spans="1:20">
      <c r="A131" t="s">
        <v>182</v>
      </c>
      <c r="B131" s="3">
        <v>71.58</v>
      </c>
      <c r="C131" s="3">
        <v>6.8358</v>
      </c>
      <c r="D131" s="3">
        <f t="shared" si="22"/>
        <v>489.306564</v>
      </c>
      <c r="E131" s="3">
        <f t="shared" ref="E131:E194" si="27" xml:space="preserve">100*LN(B131/B130)</f>
        <v>-30.6263600483686</v>
      </c>
      <c r="F131" s="3">
        <f t="shared" ref="F131:F194" si="28" xml:space="preserve">100*LN(C131/C130)</f>
        <v>0.0746350599896183</v>
      </c>
      <c r="G131" s="3">
        <f t="shared" ref="G131:G194" si="29" xml:space="preserve">100*LN(D131/D130)</f>
        <v>-30.551724988379</v>
      </c>
      <c r="H131" s="6">
        <v>124.6</v>
      </c>
      <c r="I131" s="6">
        <v>106.6</v>
      </c>
      <c r="J131" s="6">
        <v>104</v>
      </c>
      <c r="K131" s="3">
        <f t="shared" ref="K131:K194" si="30" xml:space="preserve">H131-H130</f>
        <v>-4.40000000000001</v>
      </c>
      <c r="L131" s="3">
        <f t="shared" ref="L131:L194" si="31" xml:space="preserve">I131-I130</f>
        <v>-2.5</v>
      </c>
      <c r="M131" s="3">
        <f t="shared" ref="M131:M194" si="32" xml:space="preserve">J131-J130</f>
        <v>-0.599999999999994</v>
      </c>
      <c r="N131" s="3">
        <v>111</v>
      </c>
      <c r="O131" s="3">
        <v>8.2</v>
      </c>
      <c r="P131" s="3">
        <v>14.4</v>
      </c>
      <c r="Q131" s="5">
        <f t="shared" si="23"/>
        <v>1</v>
      </c>
      <c r="R131" s="5">
        <f t="shared" si="24"/>
        <v>1</v>
      </c>
      <c r="S131" s="5">
        <f t="shared" si="25"/>
        <v>1</v>
      </c>
      <c r="T131" s="5">
        <f t="shared" si="26"/>
        <v>1</v>
      </c>
    </row>
    <row r="132" spans="1:20">
      <c r="A132" t="s">
        <v>183</v>
      </c>
      <c r="B132" s="3">
        <v>52.45</v>
      </c>
      <c r="C132" s="3">
        <v>6.8281</v>
      </c>
      <c r="D132" s="3">
        <f t="shared" si="22"/>
        <v>358.133845</v>
      </c>
      <c r="E132" s="3">
        <f t="shared" si="27"/>
        <v>-31.0955370495574</v>
      </c>
      <c r="F132" s="3">
        <f t="shared" si="28"/>
        <v>-0.112705754800346</v>
      </c>
      <c r="G132" s="3">
        <f t="shared" si="29"/>
        <v>-31.2082428043577</v>
      </c>
      <c r="H132" s="6">
        <v>113.2</v>
      </c>
      <c r="I132" s="6">
        <v>102</v>
      </c>
      <c r="J132" s="6">
        <v>102.4</v>
      </c>
      <c r="K132" s="3">
        <f t="shared" si="30"/>
        <v>-11.4</v>
      </c>
      <c r="L132" s="3">
        <f t="shared" si="31"/>
        <v>-4.59999999999999</v>
      </c>
      <c r="M132" s="3">
        <f t="shared" si="32"/>
        <v>-1.59999999999999</v>
      </c>
      <c r="N132" s="3">
        <v>104.7</v>
      </c>
      <c r="O132" s="3">
        <v>5.4</v>
      </c>
      <c r="P132" s="3">
        <v>13.7</v>
      </c>
      <c r="Q132" s="5">
        <f t="shared" si="23"/>
        <v>1</v>
      </c>
      <c r="R132" s="5">
        <f t="shared" si="24"/>
        <v>1</v>
      </c>
      <c r="S132" s="5">
        <f t="shared" si="25"/>
        <v>1</v>
      </c>
      <c r="T132" s="5">
        <f t="shared" si="26"/>
        <v>1</v>
      </c>
    </row>
    <row r="133" spans="1:20">
      <c r="A133" t="s">
        <v>184</v>
      </c>
      <c r="B133" s="3">
        <v>39.95</v>
      </c>
      <c r="C133" s="3">
        <v>6.8539</v>
      </c>
      <c r="D133" s="3">
        <f t="shared" si="22"/>
        <v>273.813305</v>
      </c>
      <c r="E133" s="3">
        <f t="shared" si="27"/>
        <v>-27.2231662630022</v>
      </c>
      <c r="F133" s="3">
        <f t="shared" si="28"/>
        <v>0.377138292357128</v>
      </c>
      <c r="G133" s="3">
        <f t="shared" si="29"/>
        <v>-26.8460279706451</v>
      </c>
      <c r="H133" s="6">
        <v>99.4</v>
      </c>
      <c r="I133" s="6">
        <v>98.9</v>
      </c>
      <c r="J133" s="6">
        <v>101.2</v>
      </c>
      <c r="K133" s="3">
        <f t="shared" si="30"/>
        <v>-13.8</v>
      </c>
      <c r="L133" s="3">
        <f t="shared" si="31"/>
        <v>-3.09999999999999</v>
      </c>
      <c r="M133" s="3">
        <f t="shared" si="32"/>
        <v>-1.2</v>
      </c>
      <c r="N133" s="3">
        <v>98.7</v>
      </c>
      <c r="O133" s="3">
        <v>5.7</v>
      </c>
      <c r="P133" s="3">
        <v>12.9</v>
      </c>
      <c r="Q133" s="5">
        <f t="shared" si="23"/>
        <v>1</v>
      </c>
      <c r="R133" s="5">
        <f t="shared" si="24"/>
        <v>1</v>
      </c>
      <c r="S133" s="5">
        <f t="shared" si="25"/>
        <v>1</v>
      </c>
      <c r="T133" s="5">
        <f t="shared" si="26"/>
        <v>1</v>
      </c>
    </row>
    <row r="134" spans="1:20">
      <c r="A134" t="s">
        <v>185</v>
      </c>
      <c r="B134" s="3">
        <v>43.44</v>
      </c>
      <c r="C134" s="3">
        <v>6.836</v>
      </c>
      <c r="D134" s="3">
        <f t="shared" si="22"/>
        <v>296.95584</v>
      </c>
      <c r="E134" s="3">
        <f t="shared" si="27"/>
        <v>8.37520034133962</v>
      </c>
      <c r="F134" s="3">
        <f t="shared" si="28"/>
        <v>-0.261506807221121</v>
      </c>
      <c r="G134" s="3">
        <f t="shared" si="29"/>
        <v>8.11369353411851</v>
      </c>
      <c r="H134" s="6">
        <v>92.6</v>
      </c>
      <c r="I134" s="6">
        <v>96.7</v>
      </c>
      <c r="J134" s="6">
        <v>101</v>
      </c>
      <c r="K134" s="3">
        <f t="shared" si="30"/>
        <v>-6.80000000000001</v>
      </c>
      <c r="L134" s="3">
        <f t="shared" si="31"/>
        <v>-2.2</v>
      </c>
      <c r="M134" s="3">
        <f t="shared" si="32"/>
        <v>-0.200000000000003</v>
      </c>
      <c r="N134" s="3">
        <v>94.7</v>
      </c>
      <c r="O134" s="3"/>
      <c r="P134" s="3"/>
      <c r="Q134" s="5">
        <f t="shared" si="23"/>
        <v>1</v>
      </c>
      <c r="R134" s="5">
        <f t="shared" si="24"/>
        <v>1</v>
      </c>
      <c r="S134" s="5">
        <f t="shared" si="25"/>
        <v>1</v>
      </c>
      <c r="T134" s="5">
        <f t="shared" si="26"/>
        <v>1</v>
      </c>
    </row>
    <row r="135" spans="1:20">
      <c r="A135" t="s">
        <v>186</v>
      </c>
      <c r="B135" s="3">
        <v>43.32</v>
      </c>
      <c r="C135" s="3">
        <v>6.8363</v>
      </c>
      <c r="D135" s="3">
        <f t="shared" si="22"/>
        <v>296.148516</v>
      </c>
      <c r="E135" s="3">
        <f t="shared" si="27"/>
        <v>-0.276625349289007</v>
      </c>
      <c r="F135" s="3">
        <f t="shared" si="28"/>
        <v>0.00438843501162634</v>
      </c>
      <c r="G135" s="3">
        <f t="shared" si="29"/>
        <v>-0.272236914277397</v>
      </c>
      <c r="H135" s="6">
        <v>89.1</v>
      </c>
      <c r="I135" s="6">
        <v>95.5</v>
      </c>
      <c r="J135" s="6">
        <v>98.4</v>
      </c>
      <c r="K135" s="3">
        <f t="shared" si="30"/>
        <v>-3.5</v>
      </c>
      <c r="L135" s="3">
        <f t="shared" si="31"/>
        <v>-1.2</v>
      </c>
      <c r="M135" s="3">
        <f t="shared" si="32"/>
        <v>-2.59999999999999</v>
      </c>
      <c r="N135" s="3">
        <v>92.9</v>
      </c>
      <c r="O135" s="3">
        <v>11</v>
      </c>
      <c r="P135" s="3">
        <v>3.8</v>
      </c>
      <c r="Q135" s="5">
        <f t="shared" si="23"/>
        <v>1</v>
      </c>
      <c r="R135" s="5">
        <f t="shared" si="24"/>
        <v>1</v>
      </c>
      <c r="S135" s="5">
        <f t="shared" si="25"/>
        <v>1</v>
      </c>
      <c r="T135" s="5">
        <f t="shared" si="26"/>
        <v>1</v>
      </c>
    </row>
    <row r="136" spans="1:20">
      <c r="A136" t="s">
        <v>187</v>
      </c>
      <c r="B136" s="3">
        <v>46.54</v>
      </c>
      <c r="C136" s="3">
        <v>6.836</v>
      </c>
      <c r="D136" s="3">
        <f t="shared" si="22"/>
        <v>318.14744</v>
      </c>
      <c r="E136" s="3">
        <f t="shared" si="27"/>
        <v>7.16977357413559</v>
      </c>
      <c r="F136" s="3">
        <f t="shared" si="28"/>
        <v>-0.00438843501162916</v>
      </c>
      <c r="G136" s="3">
        <f t="shared" si="29"/>
        <v>7.16538513912396</v>
      </c>
      <c r="H136" s="6">
        <v>87.3</v>
      </c>
      <c r="I136" s="6">
        <v>94</v>
      </c>
      <c r="J136" s="6">
        <v>98.8</v>
      </c>
      <c r="K136" s="3">
        <f t="shared" si="30"/>
        <v>-1.8</v>
      </c>
      <c r="L136" s="3">
        <f t="shared" si="31"/>
        <v>-1.5</v>
      </c>
      <c r="M136" s="3">
        <f t="shared" si="32"/>
        <v>0.399999999999991</v>
      </c>
      <c r="N136" s="3">
        <v>91.1</v>
      </c>
      <c r="O136" s="3">
        <v>8.3</v>
      </c>
      <c r="P136" s="3">
        <v>5.1</v>
      </c>
      <c r="Q136" s="5">
        <f t="shared" si="23"/>
        <v>1</v>
      </c>
      <c r="R136" s="5">
        <f t="shared" si="24"/>
        <v>1</v>
      </c>
      <c r="S136" s="5">
        <f t="shared" si="25"/>
        <v>1</v>
      </c>
      <c r="T136" s="5">
        <f t="shared" si="26"/>
        <v>1</v>
      </c>
    </row>
    <row r="137" spans="1:20">
      <c r="A137" t="s">
        <v>188</v>
      </c>
      <c r="B137" s="3">
        <v>50.18</v>
      </c>
      <c r="C137" s="3">
        <v>6.8306</v>
      </c>
      <c r="D137" s="3">
        <f t="shared" si="22"/>
        <v>342.759508</v>
      </c>
      <c r="E137" s="3">
        <f t="shared" si="27"/>
        <v>7.53043830641306</v>
      </c>
      <c r="F137" s="3">
        <f t="shared" si="28"/>
        <v>-0.0790247798431477</v>
      </c>
      <c r="G137" s="3">
        <f t="shared" si="29"/>
        <v>7.4514135265699</v>
      </c>
      <c r="H137" s="6">
        <v>86.3</v>
      </c>
      <c r="I137" s="6">
        <v>93.4</v>
      </c>
      <c r="J137" s="6">
        <v>98.5</v>
      </c>
      <c r="K137" s="3">
        <f t="shared" si="30"/>
        <v>-1</v>
      </c>
      <c r="L137" s="3">
        <f t="shared" si="31"/>
        <v>-0.599999999999994</v>
      </c>
      <c r="M137" s="3">
        <f t="shared" si="32"/>
        <v>-0.299999999999997</v>
      </c>
      <c r="N137" s="3">
        <v>90.4</v>
      </c>
      <c r="O137" s="3">
        <v>7.3</v>
      </c>
      <c r="P137" s="3">
        <v>5.5</v>
      </c>
      <c r="Q137" s="5">
        <f t="shared" si="23"/>
        <v>1</v>
      </c>
      <c r="R137" s="5">
        <f t="shared" si="24"/>
        <v>1</v>
      </c>
      <c r="S137" s="5">
        <f t="shared" si="25"/>
        <v>1</v>
      </c>
      <c r="T137" s="5">
        <f t="shared" si="26"/>
        <v>1</v>
      </c>
    </row>
    <row r="138" spans="1:20">
      <c r="A138" t="s">
        <v>189</v>
      </c>
      <c r="B138" s="3">
        <v>57.3</v>
      </c>
      <c r="C138" s="3">
        <v>6.8235</v>
      </c>
      <c r="D138" s="3">
        <f t="shared" si="22"/>
        <v>390.98655</v>
      </c>
      <c r="E138" s="3">
        <f t="shared" si="27"/>
        <v>13.2684082782418</v>
      </c>
      <c r="F138" s="3">
        <f t="shared" si="28"/>
        <v>-0.103998075888153</v>
      </c>
      <c r="G138" s="3">
        <f t="shared" si="29"/>
        <v>13.1644102023536</v>
      </c>
      <c r="H138" s="6">
        <v>85.5</v>
      </c>
      <c r="I138" s="6">
        <v>92.8</v>
      </c>
      <c r="J138" s="6">
        <v>98.6</v>
      </c>
      <c r="K138" s="3">
        <f t="shared" si="30"/>
        <v>-0.799999999999997</v>
      </c>
      <c r="L138" s="3">
        <f t="shared" si="31"/>
        <v>-0.600000000000009</v>
      </c>
      <c r="M138" s="3">
        <f t="shared" si="32"/>
        <v>0.0999999999999943</v>
      </c>
      <c r="N138" s="3">
        <v>89.6</v>
      </c>
      <c r="O138" s="3">
        <v>8.9</v>
      </c>
      <c r="P138" s="3">
        <v>6.3</v>
      </c>
      <c r="Q138" s="5">
        <f t="shared" si="23"/>
        <v>1</v>
      </c>
      <c r="R138" s="5">
        <f t="shared" si="24"/>
        <v>1</v>
      </c>
      <c r="S138" s="5">
        <f t="shared" si="25"/>
        <v>1</v>
      </c>
      <c r="T138" s="5">
        <f t="shared" si="26"/>
        <v>1</v>
      </c>
    </row>
    <row r="139" spans="1:20">
      <c r="A139" t="s">
        <v>190</v>
      </c>
      <c r="B139" s="3">
        <v>68.61</v>
      </c>
      <c r="C139" s="3">
        <v>6.8334</v>
      </c>
      <c r="D139" s="3">
        <f t="shared" si="22"/>
        <v>468.839574</v>
      </c>
      <c r="E139" s="3">
        <f t="shared" si="27"/>
        <v>18.0137672982106</v>
      </c>
      <c r="F139" s="3">
        <f t="shared" si="28"/>
        <v>0.144981683019202</v>
      </c>
      <c r="G139" s="3">
        <f t="shared" si="29"/>
        <v>18.1587489812298</v>
      </c>
      <c r="H139" s="6">
        <v>84.3</v>
      </c>
      <c r="I139" s="6">
        <v>92.2</v>
      </c>
      <c r="J139" s="6">
        <v>98.3</v>
      </c>
      <c r="K139" s="3">
        <f t="shared" si="30"/>
        <v>-1.2</v>
      </c>
      <c r="L139" s="3">
        <f t="shared" si="31"/>
        <v>-0.599999999999994</v>
      </c>
      <c r="M139" s="3">
        <f t="shared" si="32"/>
        <v>-0.299999999999997</v>
      </c>
      <c r="N139" s="3">
        <v>88.8</v>
      </c>
      <c r="O139" s="3">
        <v>10.7</v>
      </c>
      <c r="P139" s="3">
        <v>7</v>
      </c>
      <c r="Q139" s="5">
        <f t="shared" si="23"/>
        <v>1</v>
      </c>
      <c r="R139" s="5">
        <f t="shared" si="24"/>
        <v>1</v>
      </c>
      <c r="S139" s="5">
        <f t="shared" si="25"/>
        <v>1</v>
      </c>
      <c r="T139" s="5">
        <f t="shared" si="26"/>
        <v>1</v>
      </c>
    </row>
    <row r="140" spans="1:20">
      <c r="A140" t="s">
        <v>191</v>
      </c>
      <c r="B140" s="3">
        <v>64.44</v>
      </c>
      <c r="C140" s="3">
        <v>6.8317</v>
      </c>
      <c r="D140" s="3">
        <f t="shared" si="22"/>
        <v>440.234748</v>
      </c>
      <c r="E140" s="3">
        <f t="shared" si="27"/>
        <v>-6.27037383940259</v>
      </c>
      <c r="F140" s="3">
        <f t="shared" si="28"/>
        <v>-0.0248809011096929</v>
      </c>
      <c r="G140" s="3">
        <f t="shared" si="29"/>
        <v>-6.29525474051229</v>
      </c>
      <c r="H140" s="6">
        <v>83.9</v>
      </c>
      <c r="I140" s="6">
        <v>91.8</v>
      </c>
      <c r="J140" s="6">
        <v>98.2</v>
      </c>
      <c r="K140" s="3">
        <f t="shared" si="30"/>
        <v>-0.399999999999991</v>
      </c>
      <c r="L140" s="3">
        <f t="shared" si="31"/>
        <v>-0.400000000000006</v>
      </c>
      <c r="M140" s="3">
        <f t="shared" si="32"/>
        <v>-0.0999999999999943</v>
      </c>
      <c r="N140" s="3">
        <v>88.3</v>
      </c>
      <c r="O140" s="3">
        <v>10.8</v>
      </c>
      <c r="P140" s="3">
        <v>7.5</v>
      </c>
      <c r="Q140" s="5">
        <f t="shared" si="23"/>
        <v>1</v>
      </c>
      <c r="R140" s="5">
        <f t="shared" si="24"/>
        <v>1</v>
      </c>
      <c r="S140" s="5">
        <f t="shared" si="25"/>
        <v>1</v>
      </c>
      <c r="T140" s="5">
        <f t="shared" si="26"/>
        <v>1</v>
      </c>
    </row>
    <row r="141" spans="1:20">
      <c r="A141" t="s">
        <v>192</v>
      </c>
      <c r="B141" s="3">
        <v>72.51</v>
      </c>
      <c r="C141" s="3">
        <v>6.8323</v>
      </c>
      <c r="D141" s="3">
        <f t="shared" si="22"/>
        <v>495.410073</v>
      </c>
      <c r="E141" s="3">
        <f t="shared" si="27"/>
        <v>11.7989925074728</v>
      </c>
      <c r="F141" s="3">
        <f t="shared" si="28"/>
        <v>0.00878220141081243</v>
      </c>
      <c r="G141" s="3">
        <f t="shared" si="29"/>
        <v>11.8077747088836</v>
      </c>
      <c r="H141" s="6">
        <v>83</v>
      </c>
      <c r="I141" s="6">
        <v>92.1</v>
      </c>
      <c r="J141" s="6">
        <v>98.8</v>
      </c>
      <c r="K141" s="3">
        <f t="shared" si="30"/>
        <v>-0.900000000000006</v>
      </c>
      <c r="L141" s="3">
        <f t="shared" si="31"/>
        <v>0.299999999999997</v>
      </c>
      <c r="M141" s="3">
        <f t="shared" si="32"/>
        <v>0.599999999999994</v>
      </c>
      <c r="N141" s="3">
        <v>88.6</v>
      </c>
      <c r="O141" s="3">
        <v>12.3</v>
      </c>
      <c r="P141" s="3">
        <v>8.1</v>
      </c>
      <c r="Q141" s="5">
        <f t="shared" si="23"/>
        <v>1</v>
      </c>
      <c r="R141" s="5">
        <f t="shared" si="24"/>
        <v>1</v>
      </c>
      <c r="S141" s="5">
        <f t="shared" si="25"/>
        <v>1</v>
      </c>
      <c r="T141" s="5">
        <f t="shared" si="26"/>
        <v>1</v>
      </c>
    </row>
    <row r="142" spans="1:20">
      <c r="A142" t="s">
        <v>193</v>
      </c>
      <c r="B142" s="3">
        <v>67.65</v>
      </c>
      <c r="C142" s="3">
        <v>6.8277</v>
      </c>
      <c r="D142" s="3">
        <f t="shared" si="22"/>
        <v>461.893905</v>
      </c>
      <c r="E142" s="3">
        <f t="shared" si="27"/>
        <v>-6.93771287667043</v>
      </c>
      <c r="F142" s="3">
        <f t="shared" si="28"/>
        <v>-0.0673499293393884</v>
      </c>
      <c r="G142" s="3">
        <f t="shared" si="29"/>
        <v>-7.00506280600982</v>
      </c>
      <c r="H142" s="6">
        <v>85.7</v>
      </c>
      <c r="I142" s="6">
        <v>93</v>
      </c>
      <c r="J142" s="6">
        <v>99.2</v>
      </c>
      <c r="K142" s="3">
        <f t="shared" si="30"/>
        <v>2.7</v>
      </c>
      <c r="L142" s="3">
        <f t="shared" si="31"/>
        <v>0.900000000000006</v>
      </c>
      <c r="M142" s="3">
        <f t="shared" si="32"/>
        <v>0.400000000000006</v>
      </c>
      <c r="N142" s="3">
        <v>89.9</v>
      </c>
      <c r="O142" s="3">
        <v>13.9</v>
      </c>
      <c r="P142" s="3">
        <v>8.7</v>
      </c>
      <c r="Q142" s="5">
        <f t="shared" si="23"/>
        <v>1</v>
      </c>
      <c r="R142" s="5">
        <f t="shared" si="24"/>
        <v>1</v>
      </c>
      <c r="S142" s="5">
        <f t="shared" si="25"/>
        <v>1</v>
      </c>
      <c r="T142" s="5">
        <f t="shared" si="26"/>
        <v>1</v>
      </c>
    </row>
    <row r="143" spans="1:20">
      <c r="A143" t="s">
        <v>194</v>
      </c>
      <c r="B143" s="3">
        <v>72.77</v>
      </c>
      <c r="C143" s="3">
        <v>6.8267</v>
      </c>
      <c r="D143" s="3">
        <f t="shared" si="22"/>
        <v>496.778959</v>
      </c>
      <c r="E143" s="3">
        <f t="shared" si="27"/>
        <v>7.29564277421978</v>
      </c>
      <c r="F143" s="3">
        <f t="shared" si="28"/>
        <v>-0.0146472932064097</v>
      </c>
      <c r="G143" s="3">
        <f t="shared" si="29"/>
        <v>7.28099548101338</v>
      </c>
      <c r="H143" s="6">
        <v>87.5</v>
      </c>
      <c r="I143" s="6">
        <v>94.2</v>
      </c>
      <c r="J143" s="6">
        <v>99.5</v>
      </c>
      <c r="K143" s="3">
        <f t="shared" si="30"/>
        <v>1.8</v>
      </c>
      <c r="L143" s="3">
        <f t="shared" si="31"/>
        <v>1.2</v>
      </c>
      <c r="M143" s="3">
        <f t="shared" si="32"/>
        <v>0.299999999999997</v>
      </c>
      <c r="N143" s="3">
        <v>91.6</v>
      </c>
      <c r="O143" s="3">
        <v>16.1</v>
      </c>
      <c r="P143" s="3">
        <v>9.4</v>
      </c>
      <c r="Q143" s="5">
        <f t="shared" si="23"/>
        <v>1</v>
      </c>
      <c r="R143" s="5">
        <f t="shared" si="24"/>
        <v>1</v>
      </c>
      <c r="S143" s="5">
        <f t="shared" si="25"/>
        <v>1</v>
      </c>
      <c r="T143" s="5">
        <f t="shared" si="26"/>
        <v>1</v>
      </c>
    </row>
    <row r="144" spans="1:20">
      <c r="A144" t="s">
        <v>195</v>
      </c>
      <c r="B144" s="3">
        <v>76.66</v>
      </c>
      <c r="C144" s="3">
        <v>6.8271</v>
      </c>
      <c r="D144" s="3">
        <f t="shared" si="22"/>
        <v>523.365486</v>
      </c>
      <c r="E144" s="3">
        <f t="shared" si="27"/>
        <v>5.20762775934139</v>
      </c>
      <c r="F144" s="3">
        <f t="shared" si="28"/>
        <v>0.00585917473690714</v>
      </c>
      <c r="G144" s="3">
        <f t="shared" si="29"/>
        <v>5.21348693407832</v>
      </c>
      <c r="H144" s="6">
        <v>95</v>
      </c>
      <c r="I144" s="6">
        <v>97.9</v>
      </c>
      <c r="J144" s="6">
        <v>100.6</v>
      </c>
      <c r="K144" s="3">
        <f t="shared" si="30"/>
        <v>7.5</v>
      </c>
      <c r="L144" s="3">
        <f t="shared" si="31"/>
        <v>3.7</v>
      </c>
      <c r="M144" s="3">
        <f t="shared" si="32"/>
        <v>1.09999999999999</v>
      </c>
      <c r="N144" s="3">
        <v>96.4</v>
      </c>
      <c r="O144" s="3">
        <v>19.2</v>
      </c>
      <c r="P144" s="3">
        <v>10.3</v>
      </c>
      <c r="Q144" s="5">
        <f t="shared" si="23"/>
        <v>1</v>
      </c>
      <c r="R144" s="5">
        <f t="shared" si="24"/>
        <v>1</v>
      </c>
      <c r="S144" s="5">
        <f t="shared" si="25"/>
        <v>1</v>
      </c>
      <c r="T144" s="5">
        <f t="shared" si="26"/>
        <v>1</v>
      </c>
    </row>
    <row r="145" spans="1:20">
      <c r="A145" t="s">
        <v>196</v>
      </c>
      <c r="B145" s="3">
        <v>74.46</v>
      </c>
      <c r="C145" s="3">
        <v>6.8275</v>
      </c>
      <c r="D145" s="3">
        <f t="shared" si="22"/>
        <v>508.37565</v>
      </c>
      <c r="E145" s="3">
        <f t="shared" si="27"/>
        <v>-2.91179915078383</v>
      </c>
      <c r="F145" s="3">
        <f t="shared" si="28"/>
        <v>0.00585883145774258</v>
      </c>
      <c r="G145" s="3">
        <f t="shared" si="29"/>
        <v>-2.90594031932607</v>
      </c>
      <c r="H145" s="6">
        <v>110.5</v>
      </c>
      <c r="I145" s="6">
        <v>101.7</v>
      </c>
      <c r="J145" s="6">
        <v>101.9</v>
      </c>
      <c r="K145" s="3">
        <f t="shared" si="30"/>
        <v>15.5</v>
      </c>
      <c r="L145" s="3">
        <f t="shared" si="31"/>
        <v>3.8</v>
      </c>
      <c r="M145" s="3">
        <f t="shared" si="32"/>
        <v>1.30000000000001</v>
      </c>
      <c r="N145" s="3">
        <v>103</v>
      </c>
      <c r="O145" s="3">
        <v>18.5</v>
      </c>
      <c r="P145" s="3">
        <v>11</v>
      </c>
      <c r="Q145" s="5">
        <f t="shared" si="23"/>
        <v>1</v>
      </c>
      <c r="R145" s="5">
        <f t="shared" si="24"/>
        <v>1</v>
      </c>
      <c r="S145" s="5">
        <f t="shared" si="25"/>
        <v>1</v>
      </c>
      <c r="T145" s="5">
        <f t="shared" si="26"/>
        <v>1</v>
      </c>
    </row>
    <row r="146" spans="1:20">
      <c r="A146" t="s">
        <v>197</v>
      </c>
      <c r="B146" s="3">
        <v>76.17</v>
      </c>
      <c r="C146" s="3">
        <v>6.8269</v>
      </c>
      <c r="D146" s="3">
        <f t="shared" si="22"/>
        <v>520.004973</v>
      </c>
      <c r="E146" s="3">
        <f t="shared" si="27"/>
        <v>2.2705615940126</v>
      </c>
      <c r="F146" s="3">
        <f t="shared" si="28"/>
        <v>-0.00878837591378197</v>
      </c>
      <c r="G146" s="3">
        <f t="shared" si="29"/>
        <v>2.26177321809883</v>
      </c>
      <c r="H146" s="6">
        <v>119.3</v>
      </c>
      <c r="I146" s="6">
        <v>104.3</v>
      </c>
      <c r="J146" s="6">
        <v>101.5</v>
      </c>
      <c r="K146" s="3">
        <f t="shared" si="30"/>
        <v>8.8</v>
      </c>
      <c r="L146" s="3">
        <f t="shared" si="31"/>
        <v>2.59999999999999</v>
      </c>
      <c r="M146" s="3">
        <f t="shared" si="32"/>
        <v>-0.400000000000006</v>
      </c>
      <c r="N146" s="3">
        <v>108</v>
      </c>
      <c r="O146" s="3"/>
      <c r="P146" s="3"/>
      <c r="Q146" s="5">
        <f t="shared" si="23"/>
        <v>1</v>
      </c>
      <c r="R146" s="5">
        <f t="shared" si="24"/>
        <v>1</v>
      </c>
      <c r="S146" s="5">
        <f t="shared" si="25"/>
        <v>1</v>
      </c>
      <c r="T146" s="5">
        <f t="shared" si="26"/>
        <v>1</v>
      </c>
    </row>
    <row r="147" spans="1:20">
      <c r="A147" t="s">
        <v>198</v>
      </c>
      <c r="B147" s="3">
        <v>73.75</v>
      </c>
      <c r="C147" s="3">
        <v>6.8285</v>
      </c>
      <c r="D147" s="3">
        <f t="shared" si="22"/>
        <v>503.601875</v>
      </c>
      <c r="E147" s="3">
        <f t="shared" si="27"/>
        <v>-3.22866891647676</v>
      </c>
      <c r="F147" s="3">
        <f t="shared" si="28"/>
        <v>0.0234339529757073</v>
      </c>
      <c r="G147" s="3">
        <f t="shared" si="29"/>
        <v>-3.20523496350106</v>
      </c>
      <c r="H147" s="6">
        <v>125.4</v>
      </c>
      <c r="I147" s="6">
        <v>105.4</v>
      </c>
      <c r="J147" s="6">
        <v>102.7</v>
      </c>
      <c r="K147" s="3">
        <f t="shared" si="30"/>
        <v>6.10000000000001</v>
      </c>
      <c r="L147" s="3">
        <f t="shared" si="31"/>
        <v>1.10000000000001</v>
      </c>
      <c r="M147" s="3">
        <f t="shared" si="32"/>
        <v>1.2</v>
      </c>
      <c r="N147" s="3">
        <v>110.3</v>
      </c>
      <c r="O147" s="3">
        <v>12.8</v>
      </c>
      <c r="P147" s="3">
        <v>20.7</v>
      </c>
      <c r="Q147" s="5">
        <f t="shared" si="23"/>
        <v>1</v>
      </c>
      <c r="R147" s="5">
        <f t="shared" si="24"/>
        <v>1</v>
      </c>
      <c r="S147" s="5">
        <f t="shared" si="25"/>
        <v>1</v>
      </c>
      <c r="T147" s="5">
        <f t="shared" si="26"/>
        <v>1</v>
      </c>
    </row>
    <row r="148" spans="1:20">
      <c r="A148" t="s">
        <v>199</v>
      </c>
      <c r="B148" s="3">
        <v>78.83</v>
      </c>
      <c r="C148" s="3">
        <v>6.8262</v>
      </c>
      <c r="D148" s="3">
        <f t="shared" si="22"/>
        <v>538.109346</v>
      </c>
      <c r="E148" s="3">
        <f t="shared" si="27"/>
        <v>6.66126398518877</v>
      </c>
      <c r="F148" s="3">
        <f t="shared" si="28"/>
        <v>-0.0336880344753416</v>
      </c>
      <c r="G148" s="3">
        <f t="shared" si="29"/>
        <v>6.62757595071341</v>
      </c>
      <c r="H148" s="6">
        <v>125.6</v>
      </c>
      <c r="I148" s="6">
        <v>105.9</v>
      </c>
      <c r="J148" s="6">
        <v>102.4</v>
      </c>
      <c r="K148" s="3">
        <f t="shared" si="30"/>
        <v>0.199999999999989</v>
      </c>
      <c r="L148" s="3">
        <f t="shared" si="31"/>
        <v>0.5</v>
      </c>
      <c r="M148" s="3">
        <f t="shared" si="32"/>
        <v>-0.299999999999997</v>
      </c>
      <c r="N148" s="3">
        <v>111.5</v>
      </c>
      <c r="O148" s="3">
        <v>18.1</v>
      </c>
      <c r="P148" s="3">
        <v>19.6</v>
      </c>
      <c r="Q148" s="5">
        <f t="shared" si="23"/>
        <v>1</v>
      </c>
      <c r="R148" s="5">
        <f t="shared" si="24"/>
        <v>1</v>
      </c>
      <c r="S148" s="5">
        <f t="shared" si="25"/>
        <v>1</v>
      </c>
      <c r="T148" s="5">
        <f t="shared" si="26"/>
        <v>1</v>
      </c>
    </row>
    <row r="149" spans="1:20">
      <c r="A149" t="s">
        <v>200</v>
      </c>
      <c r="B149" s="3">
        <v>84.82</v>
      </c>
      <c r="C149" s="3">
        <v>6.8256</v>
      </c>
      <c r="D149" s="3">
        <f t="shared" si="22"/>
        <v>578.947392</v>
      </c>
      <c r="E149" s="3">
        <f t="shared" si="27"/>
        <v>7.32377289746277</v>
      </c>
      <c r="F149" s="3">
        <f t="shared" si="28"/>
        <v>-0.0087900496694483</v>
      </c>
      <c r="G149" s="3">
        <f t="shared" si="29"/>
        <v>7.31498284779334</v>
      </c>
      <c r="H149" s="6">
        <v>124</v>
      </c>
      <c r="I149" s="6">
        <v>106.8</v>
      </c>
      <c r="J149" s="6">
        <v>102.8</v>
      </c>
      <c r="K149" s="3">
        <f t="shared" si="30"/>
        <v>-1.59999999999999</v>
      </c>
      <c r="L149" s="3">
        <f t="shared" si="31"/>
        <v>0.899999999999991</v>
      </c>
      <c r="M149" s="3">
        <f t="shared" si="32"/>
        <v>0.399999999999991</v>
      </c>
      <c r="N149" s="3">
        <v>112</v>
      </c>
      <c r="O149" s="3">
        <v>17.8</v>
      </c>
      <c r="P149" s="3">
        <v>19.1</v>
      </c>
      <c r="Q149" s="5">
        <f t="shared" si="23"/>
        <v>1</v>
      </c>
      <c r="R149" s="5">
        <f t="shared" si="24"/>
        <v>1</v>
      </c>
      <c r="S149" s="5">
        <f t="shared" si="25"/>
        <v>1</v>
      </c>
      <c r="T149" s="5">
        <f t="shared" si="26"/>
        <v>1</v>
      </c>
    </row>
    <row r="150" spans="1:20">
      <c r="A150" t="s">
        <v>201</v>
      </c>
      <c r="B150" s="3">
        <v>75.95</v>
      </c>
      <c r="C150" s="3">
        <v>6.8275</v>
      </c>
      <c r="D150" s="3">
        <f t="shared" si="22"/>
        <v>518.548625</v>
      </c>
      <c r="E150" s="3">
        <f t="shared" si="27"/>
        <v>-11.0456135004663</v>
      </c>
      <c r="F150" s="3">
        <f t="shared" si="28"/>
        <v>0.0278325070828695</v>
      </c>
      <c r="G150" s="3">
        <f t="shared" si="29"/>
        <v>-11.0177809933834</v>
      </c>
      <c r="H150" s="6">
        <v>123.4</v>
      </c>
      <c r="I150" s="6">
        <v>107.1</v>
      </c>
      <c r="J150" s="6">
        <v>103.1</v>
      </c>
      <c r="K150" s="3">
        <f t="shared" si="30"/>
        <v>-0.599999999999994</v>
      </c>
      <c r="L150" s="3">
        <f t="shared" si="31"/>
        <v>0.299999999999997</v>
      </c>
      <c r="M150" s="3">
        <f t="shared" si="32"/>
        <v>0.299999999999997</v>
      </c>
      <c r="N150" s="3">
        <v>112.2</v>
      </c>
      <c r="O150" s="3">
        <v>16.5</v>
      </c>
      <c r="P150" s="3">
        <v>18.5</v>
      </c>
      <c r="Q150" s="5">
        <f t="shared" si="23"/>
        <v>1</v>
      </c>
      <c r="R150" s="5">
        <f t="shared" si="24"/>
        <v>1</v>
      </c>
      <c r="S150" s="5">
        <f t="shared" si="25"/>
        <v>1</v>
      </c>
      <c r="T150" s="5">
        <f t="shared" si="26"/>
        <v>1</v>
      </c>
    </row>
    <row r="151" spans="1:20">
      <c r="A151" t="s">
        <v>202</v>
      </c>
      <c r="B151" s="3">
        <v>74.76</v>
      </c>
      <c r="C151" s="3">
        <v>6.8184</v>
      </c>
      <c r="D151" s="3">
        <f t="shared" si="22"/>
        <v>509.743584</v>
      </c>
      <c r="E151" s="3">
        <f t="shared" si="27"/>
        <v>-1.57922464544198</v>
      </c>
      <c r="F151" s="3">
        <f t="shared" si="28"/>
        <v>-0.133373413977225</v>
      </c>
      <c r="G151" s="3">
        <f t="shared" si="29"/>
        <v>-1.7125980594192</v>
      </c>
      <c r="H151" s="6">
        <v>119.5</v>
      </c>
      <c r="I151" s="6">
        <v>106.4</v>
      </c>
      <c r="J151" s="6">
        <v>102.9</v>
      </c>
      <c r="K151" s="3">
        <f t="shared" si="30"/>
        <v>-3.90000000000001</v>
      </c>
      <c r="L151" s="3">
        <f t="shared" si="31"/>
        <v>-0.699999999999989</v>
      </c>
      <c r="M151" s="3">
        <f t="shared" si="32"/>
        <v>-0.199999999999989</v>
      </c>
      <c r="N151" s="3">
        <v>110.8</v>
      </c>
      <c r="O151" s="3">
        <v>13.7</v>
      </c>
      <c r="P151" s="3">
        <v>17.6</v>
      </c>
      <c r="Q151" s="5">
        <f t="shared" si="23"/>
        <v>1</v>
      </c>
      <c r="R151" s="5">
        <f t="shared" si="24"/>
        <v>1</v>
      </c>
      <c r="S151" s="5">
        <f t="shared" si="25"/>
        <v>1</v>
      </c>
      <c r="T151" s="5">
        <f t="shared" si="26"/>
        <v>1</v>
      </c>
    </row>
    <row r="152" spans="1:20">
      <c r="A152" t="s">
        <v>203</v>
      </c>
      <c r="B152" s="3">
        <v>75.58</v>
      </c>
      <c r="C152" s="3">
        <v>6.7762</v>
      </c>
      <c r="D152" s="3">
        <f t="shared" si="22"/>
        <v>512.145196</v>
      </c>
      <c r="E152" s="3">
        <f t="shared" si="27"/>
        <v>1.09087153339808</v>
      </c>
      <c r="F152" s="3">
        <f t="shared" si="28"/>
        <v>-0.620836737317739</v>
      </c>
      <c r="G152" s="3">
        <f t="shared" si="29"/>
        <v>0.470034796080358</v>
      </c>
      <c r="H152" s="6">
        <v>112</v>
      </c>
      <c r="I152" s="6">
        <v>104.8</v>
      </c>
      <c r="J152" s="6">
        <v>103.3</v>
      </c>
      <c r="K152" s="3">
        <f t="shared" si="30"/>
        <v>-7.5</v>
      </c>
      <c r="L152" s="3">
        <f t="shared" si="31"/>
        <v>-1.60000000000001</v>
      </c>
      <c r="M152" s="3">
        <f t="shared" si="32"/>
        <v>0.399999999999991</v>
      </c>
      <c r="N152" s="3">
        <v>108.5</v>
      </c>
      <c r="O152" s="3">
        <v>13.4</v>
      </c>
      <c r="P152" s="3">
        <v>17</v>
      </c>
      <c r="Q152" s="5">
        <f t="shared" si="23"/>
        <v>1</v>
      </c>
      <c r="R152" s="5">
        <f t="shared" si="24"/>
        <v>1</v>
      </c>
      <c r="S152" s="5">
        <f t="shared" si="25"/>
        <v>1</v>
      </c>
      <c r="T152" s="5">
        <f t="shared" si="26"/>
        <v>1</v>
      </c>
    </row>
    <row r="153" spans="1:20">
      <c r="A153" t="s">
        <v>204</v>
      </c>
      <c r="B153" s="3">
        <v>77.04</v>
      </c>
      <c r="C153" s="3">
        <v>6.7873</v>
      </c>
      <c r="D153" s="3">
        <f t="shared" si="22"/>
        <v>522.893592</v>
      </c>
      <c r="E153" s="3">
        <f t="shared" si="27"/>
        <v>1.91330695685273</v>
      </c>
      <c r="F153" s="3">
        <f t="shared" si="28"/>
        <v>0.16367460431329</v>
      </c>
      <c r="G153" s="3">
        <f t="shared" si="29"/>
        <v>2.07698156116601</v>
      </c>
      <c r="H153" s="6">
        <v>110.2</v>
      </c>
      <c r="I153" s="6">
        <v>104.3</v>
      </c>
      <c r="J153" s="6">
        <v>103.5</v>
      </c>
      <c r="K153" s="3">
        <f t="shared" si="30"/>
        <v>-1.8</v>
      </c>
      <c r="L153" s="3">
        <f t="shared" si="31"/>
        <v>-0.5</v>
      </c>
      <c r="M153" s="3">
        <f t="shared" si="32"/>
        <v>0.200000000000003</v>
      </c>
      <c r="N153" s="3">
        <v>107.5</v>
      </c>
      <c r="O153" s="3">
        <v>13.9</v>
      </c>
      <c r="P153" s="3">
        <v>16.6</v>
      </c>
      <c r="Q153" s="5">
        <f t="shared" si="23"/>
        <v>1</v>
      </c>
      <c r="R153" s="5">
        <f t="shared" si="24"/>
        <v>1</v>
      </c>
      <c r="S153" s="5">
        <f t="shared" si="25"/>
        <v>1</v>
      </c>
      <c r="T153" s="5">
        <f t="shared" si="26"/>
        <v>1</v>
      </c>
    </row>
    <row r="154" spans="1:20">
      <c r="A154" t="s">
        <v>205</v>
      </c>
      <c r="B154" s="3">
        <v>77.84</v>
      </c>
      <c r="C154" s="3">
        <v>6.7396</v>
      </c>
      <c r="D154" s="3">
        <f t="shared" si="22"/>
        <v>524.610464</v>
      </c>
      <c r="E154" s="3">
        <f t="shared" si="27"/>
        <v>1.03306703878794</v>
      </c>
      <c r="F154" s="3">
        <f t="shared" si="28"/>
        <v>-0.705264291381319</v>
      </c>
      <c r="G154" s="3">
        <f t="shared" si="29"/>
        <v>0.327802747406639</v>
      </c>
      <c r="H154" s="6">
        <v>108.3</v>
      </c>
      <c r="I154" s="6">
        <v>104.3</v>
      </c>
      <c r="J154" s="6">
        <v>103.6</v>
      </c>
      <c r="K154" s="3">
        <f t="shared" si="30"/>
        <v>-1.90000000000001</v>
      </c>
      <c r="L154" s="3">
        <f t="shared" si="31"/>
        <v>0</v>
      </c>
      <c r="M154" s="3">
        <f t="shared" si="32"/>
        <v>0.0999999999999943</v>
      </c>
      <c r="N154" s="3">
        <v>107.1</v>
      </c>
      <c r="O154" s="3">
        <v>13.3</v>
      </c>
      <c r="P154" s="3">
        <v>16.3</v>
      </c>
      <c r="Q154" s="5">
        <f t="shared" si="23"/>
        <v>1</v>
      </c>
      <c r="R154" s="5">
        <f t="shared" si="24"/>
        <v>1</v>
      </c>
      <c r="S154" s="5">
        <f t="shared" si="25"/>
        <v>1</v>
      </c>
      <c r="T154" s="5">
        <f t="shared" si="26"/>
        <v>1</v>
      </c>
    </row>
    <row r="155" spans="1:20">
      <c r="A155" t="s">
        <v>206</v>
      </c>
      <c r="B155" s="3">
        <v>82.67</v>
      </c>
      <c r="C155" s="3">
        <v>6.6678</v>
      </c>
      <c r="D155" s="3">
        <f t="shared" si="22"/>
        <v>551.227026</v>
      </c>
      <c r="E155" s="3">
        <f t="shared" si="27"/>
        <v>6.02013413868346</v>
      </c>
      <c r="F155" s="3">
        <f t="shared" si="28"/>
        <v>-1.07106055445745</v>
      </c>
      <c r="G155" s="3">
        <f t="shared" si="29"/>
        <v>4.94907358422602</v>
      </c>
      <c r="H155" s="6">
        <v>108.9</v>
      </c>
      <c r="I155" s="6">
        <v>105</v>
      </c>
      <c r="J155" s="6">
        <v>104.4</v>
      </c>
      <c r="K155" s="3">
        <f t="shared" si="30"/>
        <v>0.600000000000009</v>
      </c>
      <c r="L155" s="3">
        <f t="shared" si="31"/>
        <v>0.700000000000003</v>
      </c>
      <c r="M155" s="3">
        <f t="shared" si="32"/>
        <v>0.800000000000011</v>
      </c>
      <c r="N155" s="3">
        <v>108.1</v>
      </c>
      <c r="O155" s="3">
        <v>13.1</v>
      </c>
      <c r="P155" s="3">
        <v>16.1</v>
      </c>
      <c r="Q155" s="5">
        <f t="shared" si="23"/>
        <v>1</v>
      </c>
      <c r="R155" s="5">
        <f t="shared" si="24"/>
        <v>1</v>
      </c>
      <c r="S155" s="5">
        <f t="shared" si="25"/>
        <v>1</v>
      </c>
      <c r="T155" s="5">
        <f t="shared" si="26"/>
        <v>1</v>
      </c>
    </row>
    <row r="156" spans="1:20">
      <c r="A156" t="s">
        <v>207</v>
      </c>
      <c r="B156" s="3">
        <v>85.28</v>
      </c>
      <c r="C156" s="3">
        <v>6.6538</v>
      </c>
      <c r="D156" s="3">
        <f t="shared" si="22"/>
        <v>567.436064</v>
      </c>
      <c r="E156" s="3">
        <f t="shared" si="27"/>
        <v>3.10831811529502</v>
      </c>
      <c r="F156" s="3">
        <f t="shared" si="28"/>
        <v>-0.210185040146375</v>
      </c>
      <c r="G156" s="3">
        <f t="shared" si="29"/>
        <v>2.89813307514863</v>
      </c>
      <c r="H156" s="6">
        <v>109.8</v>
      </c>
      <c r="I156" s="6">
        <v>106.1</v>
      </c>
      <c r="J156" s="6">
        <v>105.1</v>
      </c>
      <c r="K156" s="3">
        <f t="shared" si="30"/>
        <v>0.899999999999991</v>
      </c>
      <c r="L156" s="3">
        <f t="shared" si="31"/>
        <v>1.09999999999999</v>
      </c>
      <c r="M156" s="3">
        <f t="shared" si="32"/>
        <v>0.699999999999989</v>
      </c>
      <c r="N156" s="3">
        <v>109.7</v>
      </c>
      <c r="O156" s="3">
        <v>13.3</v>
      </c>
      <c r="P156" s="3">
        <v>15.8</v>
      </c>
      <c r="Q156" s="5">
        <f t="shared" si="23"/>
        <v>1</v>
      </c>
      <c r="R156" s="5">
        <f t="shared" si="24"/>
        <v>1</v>
      </c>
      <c r="S156" s="5">
        <f t="shared" si="25"/>
        <v>1</v>
      </c>
      <c r="T156" s="5">
        <f t="shared" si="26"/>
        <v>1</v>
      </c>
    </row>
    <row r="157" spans="1:20">
      <c r="A157" t="s">
        <v>208</v>
      </c>
      <c r="B157" s="3">
        <v>91.45</v>
      </c>
      <c r="C157" s="3">
        <v>6.6497</v>
      </c>
      <c r="D157" s="3">
        <f t="shared" si="22"/>
        <v>608.115065</v>
      </c>
      <c r="E157" s="3">
        <f t="shared" si="27"/>
        <v>6.98524144193404</v>
      </c>
      <c r="F157" s="3">
        <f t="shared" si="28"/>
        <v>-0.0616379167859148</v>
      </c>
      <c r="G157" s="3">
        <f t="shared" si="29"/>
        <v>6.92360352514814</v>
      </c>
      <c r="H157" s="6">
        <v>109.1</v>
      </c>
      <c r="I157" s="6">
        <v>105.9</v>
      </c>
      <c r="J157" s="6">
        <v>104.6</v>
      </c>
      <c r="K157" s="3">
        <f t="shared" si="30"/>
        <v>-0.700000000000003</v>
      </c>
      <c r="L157" s="3">
        <f t="shared" si="31"/>
        <v>-0.199999999999989</v>
      </c>
      <c r="M157" s="3">
        <f t="shared" si="32"/>
        <v>-0.5</v>
      </c>
      <c r="N157" s="3">
        <v>109.5</v>
      </c>
      <c r="O157" s="3">
        <v>13.5</v>
      </c>
      <c r="P157" s="3">
        <v>15.7</v>
      </c>
      <c r="Q157" s="5">
        <f t="shared" si="23"/>
        <v>1</v>
      </c>
      <c r="R157" s="5">
        <f t="shared" si="24"/>
        <v>1</v>
      </c>
      <c r="S157" s="5">
        <f t="shared" si="25"/>
        <v>1</v>
      </c>
      <c r="T157" s="5">
        <f t="shared" si="26"/>
        <v>1</v>
      </c>
    </row>
    <row r="158" spans="1:20">
      <c r="A158" t="s">
        <v>209</v>
      </c>
      <c r="B158" s="3">
        <v>96.52</v>
      </c>
      <c r="C158" s="3">
        <v>6.5964</v>
      </c>
      <c r="D158" s="3">
        <f t="shared" si="22"/>
        <v>636.684528</v>
      </c>
      <c r="E158" s="3">
        <f t="shared" si="27"/>
        <v>5.39578659199562</v>
      </c>
      <c r="F158" s="3">
        <f t="shared" si="28"/>
        <v>-0.804769519571782</v>
      </c>
      <c r="G158" s="3">
        <f t="shared" si="29"/>
        <v>4.59101707242383</v>
      </c>
      <c r="H158" s="6">
        <v>108.7</v>
      </c>
      <c r="I158" s="6">
        <v>106.6</v>
      </c>
      <c r="J158" s="6">
        <v>104.9</v>
      </c>
      <c r="K158" s="3">
        <f t="shared" si="30"/>
        <v>-0.399999999999991</v>
      </c>
      <c r="L158" s="3">
        <f t="shared" si="31"/>
        <v>0.699999999999989</v>
      </c>
      <c r="M158" s="3">
        <f t="shared" si="32"/>
        <v>0.300000000000011</v>
      </c>
      <c r="N158" s="3">
        <v>109.7</v>
      </c>
      <c r="O158" s="3"/>
      <c r="P158" s="3"/>
      <c r="Q158" s="5">
        <f t="shared" si="23"/>
        <v>1</v>
      </c>
      <c r="R158" s="5">
        <f t="shared" si="24"/>
        <v>1</v>
      </c>
      <c r="S158" s="5">
        <f t="shared" si="25"/>
        <v>1</v>
      </c>
      <c r="T158" s="5">
        <f t="shared" si="26"/>
        <v>1</v>
      </c>
    </row>
    <row r="159" spans="1:20">
      <c r="A159" t="s">
        <v>210</v>
      </c>
      <c r="B159" s="3">
        <v>103.72</v>
      </c>
      <c r="C159" s="3">
        <v>6.5761</v>
      </c>
      <c r="D159" s="3">
        <f t="shared" si="22"/>
        <v>682.073092</v>
      </c>
      <c r="E159" s="3">
        <f t="shared" si="27"/>
        <v>7.19447199136326</v>
      </c>
      <c r="F159" s="3">
        <f t="shared" si="28"/>
        <v>-0.308218122156946</v>
      </c>
      <c r="G159" s="3">
        <f t="shared" si="29"/>
        <v>6.88625386920631</v>
      </c>
      <c r="H159" s="6">
        <v>108.9</v>
      </c>
      <c r="I159" s="6">
        <v>107.2</v>
      </c>
      <c r="J159" s="6">
        <v>104.9</v>
      </c>
      <c r="K159" s="3">
        <f t="shared" si="30"/>
        <v>0.200000000000003</v>
      </c>
      <c r="L159" s="3">
        <f t="shared" si="31"/>
        <v>0.600000000000009</v>
      </c>
      <c r="M159" s="3">
        <f t="shared" si="32"/>
        <v>0</v>
      </c>
      <c r="N159" s="3">
        <v>110.4</v>
      </c>
      <c r="O159" s="3">
        <v>14.9</v>
      </c>
      <c r="P159" s="3">
        <v>14.1</v>
      </c>
      <c r="Q159" s="5">
        <f t="shared" si="23"/>
        <v>1</v>
      </c>
      <c r="R159" s="5">
        <f t="shared" si="24"/>
        <v>1</v>
      </c>
      <c r="S159" s="5">
        <f t="shared" si="25"/>
        <v>1</v>
      </c>
      <c r="T159" s="5">
        <f t="shared" si="26"/>
        <v>1</v>
      </c>
    </row>
    <row r="160" spans="1:20">
      <c r="A160" t="s">
        <v>211</v>
      </c>
      <c r="B160" s="3">
        <v>114.64</v>
      </c>
      <c r="C160" s="3">
        <v>6.5645</v>
      </c>
      <c r="D160" s="3">
        <f t="shared" si="22"/>
        <v>752.55428</v>
      </c>
      <c r="E160" s="3">
        <f t="shared" si="27"/>
        <v>10.0101822849453</v>
      </c>
      <c r="F160" s="3">
        <f t="shared" si="28"/>
        <v>-0.176552105888054</v>
      </c>
      <c r="G160" s="3">
        <f t="shared" si="29"/>
        <v>9.83363017905722</v>
      </c>
      <c r="H160" s="6">
        <v>109.9</v>
      </c>
      <c r="I160" s="6">
        <v>107.3</v>
      </c>
      <c r="J160" s="6">
        <v>105.4</v>
      </c>
      <c r="K160" s="3">
        <f t="shared" si="30"/>
        <v>1</v>
      </c>
      <c r="L160" s="3">
        <f t="shared" si="31"/>
        <v>0.0999999999999943</v>
      </c>
      <c r="M160" s="3">
        <f t="shared" si="32"/>
        <v>0.5</v>
      </c>
      <c r="N160" s="3">
        <v>110.5</v>
      </c>
      <c r="O160" s="3">
        <v>14.8</v>
      </c>
      <c r="P160" s="3">
        <v>14.4</v>
      </c>
      <c r="Q160" s="5">
        <f t="shared" si="23"/>
        <v>1</v>
      </c>
      <c r="R160" s="5">
        <f t="shared" si="24"/>
        <v>1</v>
      </c>
      <c r="S160" s="5">
        <f t="shared" si="25"/>
        <v>1</v>
      </c>
      <c r="T160" s="5">
        <f t="shared" si="26"/>
        <v>1</v>
      </c>
    </row>
    <row r="161" spans="1:20">
      <c r="A161" t="s">
        <v>212</v>
      </c>
      <c r="B161" s="3">
        <v>123.26</v>
      </c>
      <c r="C161" s="3">
        <v>6.5267</v>
      </c>
      <c r="D161" s="3">
        <f t="shared" si="22"/>
        <v>804.481042</v>
      </c>
      <c r="E161" s="3">
        <f t="shared" si="27"/>
        <v>7.24991620141808</v>
      </c>
      <c r="F161" s="3">
        <f t="shared" si="28"/>
        <v>-0.577488771851707</v>
      </c>
      <c r="G161" s="3">
        <f t="shared" si="29"/>
        <v>6.67242742956636</v>
      </c>
      <c r="H161" s="6">
        <v>111.6</v>
      </c>
      <c r="I161" s="6">
        <v>106.8</v>
      </c>
      <c r="J161" s="6">
        <v>105.3</v>
      </c>
      <c r="K161" s="3">
        <f t="shared" si="30"/>
        <v>1.69999999999999</v>
      </c>
      <c r="L161" s="3">
        <f t="shared" si="31"/>
        <v>-0.5</v>
      </c>
      <c r="M161" s="3">
        <f t="shared" si="32"/>
        <v>-0.100000000000009</v>
      </c>
      <c r="N161" s="3">
        <v>110.4</v>
      </c>
      <c r="O161" s="3">
        <v>13.4</v>
      </c>
      <c r="P161" s="3">
        <v>14.2</v>
      </c>
      <c r="Q161" s="5">
        <f t="shared" si="23"/>
        <v>1</v>
      </c>
      <c r="R161" s="5">
        <f t="shared" si="24"/>
        <v>1</v>
      </c>
      <c r="S161" s="5">
        <f t="shared" si="25"/>
        <v>1</v>
      </c>
      <c r="T161" s="5">
        <f t="shared" si="26"/>
        <v>1</v>
      </c>
    </row>
    <row r="162" spans="1:20">
      <c r="A162" t="s">
        <v>213</v>
      </c>
      <c r="B162" s="3">
        <v>114.99</v>
      </c>
      <c r="C162" s="3">
        <v>6.4957</v>
      </c>
      <c r="D162" s="3">
        <f t="shared" si="22"/>
        <v>746.940543</v>
      </c>
      <c r="E162" s="3">
        <f t="shared" si="27"/>
        <v>-6.94507774735238</v>
      </c>
      <c r="F162" s="3">
        <f t="shared" si="28"/>
        <v>-0.476103614657759</v>
      </c>
      <c r="G162" s="3">
        <f t="shared" si="29"/>
        <v>-7.42118136201012</v>
      </c>
      <c r="H162" s="6">
        <v>111.7</v>
      </c>
      <c r="I162" s="6">
        <v>106.8</v>
      </c>
      <c r="J162" s="6">
        <v>105.5</v>
      </c>
      <c r="K162" s="3">
        <f t="shared" si="30"/>
        <v>0.100000000000009</v>
      </c>
      <c r="L162" s="3">
        <f t="shared" si="31"/>
        <v>0</v>
      </c>
      <c r="M162" s="3">
        <f t="shared" si="32"/>
        <v>0.200000000000003</v>
      </c>
      <c r="N162" s="3">
        <v>110.2</v>
      </c>
      <c r="O162" s="3">
        <v>13.3</v>
      </c>
      <c r="P162" s="3">
        <v>14</v>
      </c>
      <c r="Q162" s="5">
        <f t="shared" si="23"/>
        <v>1</v>
      </c>
      <c r="R162" s="5">
        <f t="shared" si="24"/>
        <v>1</v>
      </c>
      <c r="S162" s="5">
        <f t="shared" si="25"/>
        <v>1</v>
      </c>
      <c r="T162" s="5">
        <f t="shared" si="26"/>
        <v>1</v>
      </c>
    </row>
    <row r="163" spans="1:20">
      <c r="A163" t="s">
        <v>214</v>
      </c>
      <c r="B163" s="3">
        <v>113.83</v>
      </c>
      <c r="C163" s="3">
        <v>6.4746</v>
      </c>
      <c r="D163" s="3">
        <f t="shared" si="22"/>
        <v>737.003718</v>
      </c>
      <c r="E163" s="3">
        <f t="shared" si="27"/>
        <v>-1.01390607234481</v>
      </c>
      <c r="F163" s="3">
        <f t="shared" si="28"/>
        <v>-0.325358991132744</v>
      </c>
      <c r="G163" s="3">
        <f t="shared" si="29"/>
        <v>-1.33926506347757</v>
      </c>
      <c r="H163" s="6">
        <v>112</v>
      </c>
      <c r="I163" s="6">
        <v>107.1</v>
      </c>
      <c r="J163" s="6">
        <v>106.4</v>
      </c>
      <c r="K163" s="3">
        <f t="shared" si="30"/>
        <v>0.299999999999997</v>
      </c>
      <c r="L163" s="3">
        <f t="shared" si="31"/>
        <v>0.299999999999997</v>
      </c>
      <c r="M163" s="3">
        <f t="shared" si="32"/>
        <v>0.900000000000006</v>
      </c>
      <c r="N163" s="3">
        <v>110.5</v>
      </c>
      <c r="O163" s="3">
        <v>15.1</v>
      </c>
      <c r="P163" s="3">
        <v>14.3</v>
      </c>
      <c r="Q163" s="5">
        <f t="shared" si="23"/>
        <v>1</v>
      </c>
      <c r="R163" s="5">
        <f t="shared" si="24"/>
        <v>1</v>
      </c>
      <c r="S163" s="5">
        <f t="shared" si="25"/>
        <v>1</v>
      </c>
      <c r="T163" s="5">
        <f t="shared" si="26"/>
        <v>1</v>
      </c>
    </row>
    <row r="164" spans="1:20">
      <c r="A164" t="s">
        <v>215</v>
      </c>
      <c r="B164" s="3">
        <v>116.97</v>
      </c>
      <c r="C164" s="3">
        <v>6.4575</v>
      </c>
      <c r="D164" s="3">
        <f t="shared" si="22"/>
        <v>755.333775</v>
      </c>
      <c r="E164" s="3">
        <f t="shared" si="27"/>
        <v>2.72113843254905</v>
      </c>
      <c r="F164" s="3">
        <f t="shared" si="28"/>
        <v>-0.264458362774742</v>
      </c>
      <c r="G164" s="3">
        <f t="shared" si="29"/>
        <v>2.4566800697743</v>
      </c>
      <c r="H164" s="6">
        <v>112.6</v>
      </c>
      <c r="I164" s="6">
        <v>107.5</v>
      </c>
      <c r="J164" s="6">
        <v>106.5</v>
      </c>
      <c r="K164" s="3">
        <f t="shared" si="30"/>
        <v>0.599999999999994</v>
      </c>
      <c r="L164" s="3">
        <f t="shared" si="31"/>
        <v>0.400000000000006</v>
      </c>
      <c r="M164" s="3">
        <f t="shared" si="32"/>
        <v>0.0999999999999943</v>
      </c>
      <c r="N164" s="3">
        <v>111</v>
      </c>
      <c r="O164" s="3">
        <v>14</v>
      </c>
      <c r="P164" s="3">
        <v>14.3</v>
      </c>
      <c r="Q164" s="5">
        <f t="shared" si="23"/>
        <v>1</v>
      </c>
      <c r="R164" s="5">
        <f t="shared" si="24"/>
        <v>1</v>
      </c>
      <c r="S164" s="5">
        <f t="shared" si="25"/>
        <v>1</v>
      </c>
      <c r="T164" s="5">
        <f t="shared" si="26"/>
        <v>1</v>
      </c>
    </row>
    <row r="165" spans="1:20">
      <c r="A165" t="s">
        <v>216</v>
      </c>
      <c r="B165" s="3">
        <v>110.22</v>
      </c>
      <c r="C165" s="3">
        <v>6.4036</v>
      </c>
      <c r="D165" s="3">
        <f t="shared" si="22"/>
        <v>705.804792</v>
      </c>
      <c r="E165" s="3">
        <f t="shared" si="27"/>
        <v>-5.94391232075263</v>
      </c>
      <c r="F165" s="3">
        <f t="shared" si="28"/>
        <v>-0.83819137660561</v>
      </c>
      <c r="G165" s="3">
        <f t="shared" si="29"/>
        <v>-6.78210369735824</v>
      </c>
      <c r="H165" s="6">
        <v>112.7</v>
      </c>
      <c r="I165" s="6">
        <v>107.3</v>
      </c>
      <c r="J165" s="6">
        <v>106.2</v>
      </c>
      <c r="K165" s="3">
        <f t="shared" si="30"/>
        <v>0.100000000000009</v>
      </c>
      <c r="L165" s="3">
        <f t="shared" si="31"/>
        <v>-0.200000000000003</v>
      </c>
      <c r="M165" s="3">
        <f t="shared" si="32"/>
        <v>-0.299999999999997</v>
      </c>
      <c r="N165" s="3">
        <v>110.6</v>
      </c>
      <c r="O165" s="3">
        <v>13.5</v>
      </c>
      <c r="P165" s="3">
        <v>14.2</v>
      </c>
      <c r="Q165" s="5">
        <f t="shared" si="23"/>
        <v>1</v>
      </c>
      <c r="R165" s="5">
        <f t="shared" si="24"/>
        <v>1</v>
      </c>
      <c r="S165" s="5">
        <f t="shared" si="25"/>
        <v>1</v>
      </c>
      <c r="T165" s="5">
        <f t="shared" si="26"/>
        <v>1</v>
      </c>
    </row>
    <row r="166" spans="1:20">
      <c r="A166" t="s">
        <v>217</v>
      </c>
      <c r="B166" s="3">
        <v>112.83</v>
      </c>
      <c r="C166" s="3">
        <v>6.3885</v>
      </c>
      <c r="D166" s="3">
        <f t="shared" si="22"/>
        <v>720.814455</v>
      </c>
      <c r="E166" s="3">
        <f t="shared" si="27"/>
        <v>2.34038926952654</v>
      </c>
      <c r="F166" s="3">
        <f t="shared" si="28"/>
        <v>-0.236083317256156</v>
      </c>
      <c r="G166" s="3">
        <f t="shared" si="29"/>
        <v>2.10430595227037</v>
      </c>
      <c r="H166" s="6">
        <v>112.3</v>
      </c>
      <c r="I166" s="6">
        <v>106.5</v>
      </c>
      <c r="J166" s="6">
        <v>106.1</v>
      </c>
      <c r="K166" s="3">
        <f t="shared" si="30"/>
        <v>-0.400000000000006</v>
      </c>
      <c r="L166" s="3">
        <f t="shared" si="31"/>
        <v>-0.799999999999997</v>
      </c>
      <c r="M166" s="3">
        <f t="shared" si="32"/>
        <v>-0.100000000000009</v>
      </c>
      <c r="N166" s="3">
        <v>110</v>
      </c>
      <c r="O166" s="3">
        <v>13.8</v>
      </c>
      <c r="P166" s="3">
        <v>14.2</v>
      </c>
      <c r="Q166" s="5">
        <f t="shared" si="23"/>
        <v>1</v>
      </c>
      <c r="R166" s="5">
        <f t="shared" si="24"/>
        <v>1</v>
      </c>
      <c r="S166" s="5">
        <f t="shared" si="25"/>
        <v>1</v>
      </c>
      <c r="T166" s="5">
        <f t="shared" si="26"/>
        <v>1</v>
      </c>
    </row>
    <row r="167" spans="1:20">
      <c r="A167" t="s">
        <v>218</v>
      </c>
      <c r="B167" s="3">
        <v>109.55</v>
      </c>
      <c r="C167" s="3">
        <v>6.371</v>
      </c>
      <c r="D167" s="3">
        <f t="shared" si="22"/>
        <v>697.94305</v>
      </c>
      <c r="E167" s="3">
        <f t="shared" si="27"/>
        <v>-2.95011951088793</v>
      </c>
      <c r="F167" s="3">
        <f t="shared" si="28"/>
        <v>-0.274305591488957</v>
      </c>
      <c r="G167" s="3">
        <f t="shared" si="29"/>
        <v>-3.22442510237687</v>
      </c>
      <c r="H167" s="6">
        <v>111.3</v>
      </c>
      <c r="I167" s="6">
        <v>105</v>
      </c>
      <c r="J167" s="6">
        <v>105.5</v>
      </c>
      <c r="K167" s="3">
        <f t="shared" si="30"/>
        <v>-1</v>
      </c>
      <c r="L167" s="3">
        <f t="shared" si="31"/>
        <v>-1.5</v>
      </c>
      <c r="M167" s="3">
        <f t="shared" si="32"/>
        <v>-0.599999999999994</v>
      </c>
      <c r="N167" s="3">
        <v>108</v>
      </c>
      <c r="O167" s="3">
        <v>13.2</v>
      </c>
      <c r="P167" s="3">
        <v>14.1</v>
      </c>
      <c r="Q167" s="5">
        <f t="shared" si="23"/>
        <v>1</v>
      </c>
      <c r="R167" s="5">
        <f t="shared" si="24"/>
        <v>1</v>
      </c>
      <c r="S167" s="5">
        <f t="shared" si="25"/>
        <v>1</v>
      </c>
      <c r="T167" s="5">
        <f t="shared" si="26"/>
        <v>1</v>
      </c>
    </row>
    <row r="168" spans="1:20">
      <c r="A168" t="s">
        <v>219</v>
      </c>
      <c r="B168" s="3">
        <v>110.77</v>
      </c>
      <c r="C168" s="3">
        <v>6.3564</v>
      </c>
      <c r="D168" s="3">
        <f t="shared" si="22"/>
        <v>704.098428</v>
      </c>
      <c r="E168" s="3">
        <f t="shared" si="27"/>
        <v>1.10749134873659</v>
      </c>
      <c r="F168" s="3">
        <f t="shared" si="28"/>
        <v>-0.2294263778007</v>
      </c>
      <c r="G168" s="3">
        <f t="shared" si="29"/>
        <v>0.878064970935884</v>
      </c>
      <c r="H168" s="6">
        <v>109.3</v>
      </c>
      <c r="I168" s="6">
        <v>102.7</v>
      </c>
      <c r="J168" s="6">
        <v>104.2</v>
      </c>
      <c r="K168" s="3">
        <f t="shared" si="30"/>
        <v>-2</v>
      </c>
      <c r="L168" s="3">
        <f t="shared" si="31"/>
        <v>-2.3</v>
      </c>
      <c r="M168" s="3">
        <f t="shared" si="32"/>
        <v>-1.3</v>
      </c>
      <c r="N168" s="3">
        <v>105.1</v>
      </c>
      <c r="O168" s="3">
        <v>12.4</v>
      </c>
      <c r="P168" s="3">
        <v>14</v>
      </c>
      <c r="Q168" s="5">
        <f t="shared" si="23"/>
        <v>1</v>
      </c>
      <c r="R168" s="5">
        <f t="shared" si="24"/>
        <v>1</v>
      </c>
      <c r="S168" s="5">
        <f t="shared" si="25"/>
        <v>1</v>
      </c>
      <c r="T168" s="5">
        <f t="shared" si="26"/>
        <v>1</v>
      </c>
    </row>
    <row r="169" spans="1:20">
      <c r="A169" t="s">
        <v>220</v>
      </c>
      <c r="B169" s="3">
        <v>107.87</v>
      </c>
      <c r="C169" s="3">
        <v>6.3482</v>
      </c>
      <c r="D169" s="3">
        <f t="shared" si="22"/>
        <v>684.780334</v>
      </c>
      <c r="E169" s="3">
        <f t="shared" si="27"/>
        <v>-2.65291811415037</v>
      </c>
      <c r="F169" s="3">
        <f t="shared" si="28"/>
        <v>-0.12908712023473</v>
      </c>
      <c r="G169" s="3">
        <f t="shared" si="29"/>
        <v>-2.78200523438509</v>
      </c>
      <c r="H169" s="6">
        <v>108.4</v>
      </c>
      <c r="I169" s="6">
        <v>101.7</v>
      </c>
      <c r="J169" s="6">
        <v>104.1</v>
      </c>
      <c r="K169" s="3">
        <f t="shared" si="30"/>
        <v>-0.899999999999991</v>
      </c>
      <c r="L169" s="3">
        <f t="shared" si="31"/>
        <v>-1</v>
      </c>
      <c r="M169" s="3">
        <f t="shared" si="32"/>
        <v>-0.100000000000009</v>
      </c>
      <c r="N169" s="3">
        <v>103.5</v>
      </c>
      <c r="O169" s="3">
        <v>12.8</v>
      </c>
      <c r="P169" s="3">
        <v>13.9</v>
      </c>
      <c r="Q169" s="5">
        <f t="shared" si="23"/>
        <v>1</v>
      </c>
      <c r="R169" s="5">
        <f t="shared" si="24"/>
        <v>1</v>
      </c>
      <c r="S169" s="5">
        <f t="shared" si="25"/>
        <v>1</v>
      </c>
      <c r="T169" s="5">
        <f t="shared" si="26"/>
        <v>1</v>
      </c>
    </row>
    <row r="170" spans="1:20">
      <c r="A170" t="s">
        <v>221</v>
      </c>
      <c r="B170" s="3">
        <v>110.69</v>
      </c>
      <c r="C170" s="3">
        <v>6.3172</v>
      </c>
      <c r="D170" s="3">
        <f t="shared" si="22"/>
        <v>699.250868</v>
      </c>
      <c r="E170" s="3">
        <f t="shared" si="27"/>
        <v>2.58067030101949</v>
      </c>
      <c r="F170" s="3">
        <f t="shared" si="28"/>
        <v>-0.48952361402345</v>
      </c>
      <c r="G170" s="3">
        <f t="shared" si="29"/>
        <v>2.09114668699604</v>
      </c>
      <c r="H170" s="6">
        <v>106.6</v>
      </c>
      <c r="I170" s="6">
        <v>100.7</v>
      </c>
      <c r="J170" s="6">
        <v>104.5</v>
      </c>
      <c r="K170" s="3">
        <f t="shared" si="30"/>
        <v>-1.80000000000001</v>
      </c>
      <c r="L170" s="3">
        <f t="shared" si="31"/>
        <v>-1</v>
      </c>
      <c r="M170" s="3">
        <f t="shared" si="32"/>
        <v>0.400000000000006</v>
      </c>
      <c r="N170" s="3">
        <v>102</v>
      </c>
      <c r="O170" s="3"/>
      <c r="P170" s="3"/>
      <c r="Q170" s="5">
        <f t="shared" si="23"/>
        <v>1</v>
      </c>
      <c r="R170" s="5">
        <f t="shared" si="24"/>
        <v>1</v>
      </c>
      <c r="S170" s="5">
        <f t="shared" si="25"/>
        <v>1</v>
      </c>
      <c r="T170" s="5">
        <f t="shared" si="26"/>
        <v>1</v>
      </c>
    </row>
    <row r="171" spans="1:20">
      <c r="A171" t="s">
        <v>222</v>
      </c>
      <c r="B171" s="3">
        <v>119.33</v>
      </c>
      <c r="C171" s="3">
        <v>6.2997</v>
      </c>
      <c r="D171" s="3">
        <f t="shared" si="22"/>
        <v>751.743201</v>
      </c>
      <c r="E171" s="3">
        <f t="shared" si="27"/>
        <v>7.51592629840318</v>
      </c>
      <c r="F171" s="3">
        <f t="shared" si="28"/>
        <v>-0.277405879771739</v>
      </c>
      <c r="G171" s="3">
        <f t="shared" si="29"/>
        <v>7.23852041863143</v>
      </c>
      <c r="H171" s="6">
        <v>106</v>
      </c>
      <c r="I171" s="6">
        <v>100</v>
      </c>
      <c r="J171" s="6">
        <v>103.2</v>
      </c>
      <c r="K171" s="3">
        <f t="shared" si="30"/>
        <v>-0.599999999999994</v>
      </c>
      <c r="L171" s="3">
        <f t="shared" si="31"/>
        <v>-0.700000000000003</v>
      </c>
      <c r="M171" s="3">
        <f t="shared" si="32"/>
        <v>-1.3</v>
      </c>
      <c r="N171" s="3">
        <v>101</v>
      </c>
      <c r="O171" s="3">
        <v>21.3</v>
      </c>
      <c r="P171" s="3">
        <v>11.4</v>
      </c>
      <c r="Q171" s="5">
        <f t="shared" si="23"/>
        <v>1</v>
      </c>
      <c r="R171" s="5">
        <f t="shared" si="24"/>
        <v>1</v>
      </c>
      <c r="S171" s="5">
        <f t="shared" si="25"/>
        <v>1</v>
      </c>
      <c r="T171" s="5">
        <f t="shared" si="26"/>
        <v>1</v>
      </c>
    </row>
    <row r="172" spans="1:20">
      <c r="A172" t="s">
        <v>223</v>
      </c>
      <c r="B172" s="3">
        <v>125.45</v>
      </c>
      <c r="C172" s="3">
        <v>6.3125</v>
      </c>
      <c r="D172" s="3">
        <f t="shared" si="22"/>
        <v>791.903125</v>
      </c>
      <c r="E172" s="3">
        <f t="shared" si="27"/>
        <v>5.0014508430867</v>
      </c>
      <c r="F172" s="3">
        <f t="shared" si="28"/>
        <v>0.202978138543321</v>
      </c>
      <c r="G172" s="3">
        <f t="shared" si="29"/>
        <v>5.20442898163001</v>
      </c>
      <c r="H172" s="6">
        <v>105.1</v>
      </c>
      <c r="I172" s="6">
        <v>99.7</v>
      </c>
      <c r="J172" s="6">
        <v>103.6</v>
      </c>
      <c r="K172" s="3">
        <f t="shared" si="30"/>
        <v>-0.900000000000006</v>
      </c>
      <c r="L172" s="3">
        <f t="shared" si="31"/>
        <v>-0.299999999999997</v>
      </c>
      <c r="M172" s="3">
        <f t="shared" si="32"/>
        <v>0.399999999999991</v>
      </c>
      <c r="N172" s="3">
        <v>100.1</v>
      </c>
      <c r="O172" s="3">
        <v>11.9</v>
      </c>
      <c r="P172" s="3">
        <v>11.6</v>
      </c>
      <c r="Q172" s="5">
        <f t="shared" si="23"/>
        <v>1</v>
      </c>
      <c r="R172" s="5">
        <f t="shared" si="24"/>
        <v>1</v>
      </c>
      <c r="S172" s="5">
        <f t="shared" si="25"/>
        <v>1</v>
      </c>
      <c r="T172" s="5">
        <f t="shared" si="26"/>
        <v>1</v>
      </c>
    </row>
    <row r="173" spans="1:20">
      <c r="A173" t="s">
        <v>224</v>
      </c>
      <c r="B173" s="3">
        <v>119.75</v>
      </c>
      <c r="C173" s="3">
        <v>6.3043</v>
      </c>
      <c r="D173" s="3">
        <f t="shared" si="22"/>
        <v>754.939925</v>
      </c>
      <c r="E173" s="3">
        <f t="shared" si="27"/>
        <v>-4.65010365214067</v>
      </c>
      <c r="F173" s="3">
        <f t="shared" si="28"/>
        <v>-0.129985434572556</v>
      </c>
      <c r="G173" s="3">
        <f t="shared" si="29"/>
        <v>-4.78008908671323</v>
      </c>
      <c r="H173" s="6">
        <v>103.4</v>
      </c>
      <c r="I173" s="6">
        <v>99.3</v>
      </c>
      <c r="J173" s="6">
        <v>103.4</v>
      </c>
      <c r="K173" s="3">
        <f t="shared" si="30"/>
        <v>-1.69999999999999</v>
      </c>
      <c r="L173" s="3">
        <f t="shared" si="31"/>
        <v>-0.400000000000006</v>
      </c>
      <c r="M173" s="3">
        <f t="shared" si="32"/>
        <v>-0.199999999999989</v>
      </c>
      <c r="N173" s="3">
        <v>99.2</v>
      </c>
      <c r="O173" s="3">
        <v>9.3</v>
      </c>
      <c r="P173" s="3">
        <v>11</v>
      </c>
      <c r="Q173" s="5">
        <f t="shared" si="23"/>
        <v>1</v>
      </c>
      <c r="R173" s="5">
        <f t="shared" si="24"/>
        <v>1</v>
      </c>
      <c r="S173" s="5">
        <f t="shared" si="25"/>
        <v>1</v>
      </c>
      <c r="T173" s="5">
        <f t="shared" si="26"/>
        <v>1</v>
      </c>
    </row>
    <row r="174" spans="1:20">
      <c r="A174" t="s">
        <v>225</v>
      </c>
      <c r="B174" s="3">
        <v>110.34</v>
      </c>
      <c r="C174" s="3">
        <v>6.3242</v>
      </c>
      <c r="D174" s="3">
        <f t="shared" si="22"/>
        <v>697.812228</v>
      </c>
      <c r="E174" s="3">
        <f t="shared" si="27"/>
        <v>-8.18397284467399</v>
      </c>
      <c r="F174" s="3">
        <f t="shared" si="28"/>
        <v>0.315160414484296</v>
      </c>
      <c r="G174" s="3">
        <f t="shared" si="29"/>
        <v>-7.8688124301897</v>
      </c>
      <c r="H174" s="6">
        <v>101.6</v>
      </c>
      <c r="I174" s="6">
        <v>98.6</v>
      </c>
      <c r="J174" s="6">
        <v>103</v>
      </c>
      <c r="K174" s="3">
        <f t="shared" si="30"/>
        <v>-1.80000000000001</v>
      </c>
      <c r="L174" s="3">
        <f t="shared" si="31"/>
        <v>-0.700000000000003</v>
      </c>
      <c r="M174" s="3">
        <f t="shared" si="32"/>
        <v>-0.400000000000006</v>
      </c>
      <c r="N174" s="3">
        <v>98.4</v>
      </c>
      <c r="O174" s="3">
        <v>9.6</v>
      </c>
      <c r="P174" s="3">
        <v>10.7</v>
      </c>
      <c r="Q174" s="5">
        <f t="shared" si="23"/>
        <v>1</v>
      </c>
      <c r="R174" s="5">
        <f t="shared" si="24"/>
        <v>1</v>
      </c>
      <c r="S174" s="5">
        <f t="shared" si="25"/>
        <v>1</v>
      </c>
      <c r="T174" s="5">
        <f t="shared" si="26"/>
        <v>1</v>
      </c>
    </row>
    <row r="175" spans="1:20">
      <c r="A175" t="s">
        <v>226</v>
      </c>
      <c r="B175" s="3">
        <v>95.16</v>
      </c>
      <c r="C175" s="3">
        <v>6.3633</v>
      </c>
      <c r="D175" s="3">
        <f t="shared" si="22"/>
        <v>605.531628</v>
      </c>
      <c r="E175" s="3">
        <f t="shared" si="27"/>
        <v>-14.8006822409528</v>
      </c>
      <c r="F175" s="3">
        <f t="shared" si="28"/>
        <v>0.616356631054776</v>
      </c>
      <c r="G175" s="3">
        <f t="shared" si="29"/>
        <v>-14.184325609898</v>
      </c>
      <c r="H175" s="6">
        <v>100</v>
      </c>
      <c r="I175" s="6">
        <v>97.9</v>
      </c>
      <c r="J175" s="6">
        <v>102.2</v>
      </c>
      <c r="K175" s="3">
        <f t="shared" si="30"/>
        <v>-1.59999999999999</v>
      </c>
      <c r="L175" s="3">
        <f t="shared" si="31"/>
        <v>-0.699999999999989</v>
      </c>
      <c r="M175" s="3">
        <f t="shared" si="32"/>
        <v>-0.799999999999997</v>
      </c>
      <c r="N175" s="3">
        <v>97.5</v>
      </c>
      <c r="O175" s="3">
        <v>9.5</v>
      </c>
      <c r="P175" s="3">
        <v>10.5</v>
      </c>
      <c r="Q175" s="5">
        <f t="shared" si="23"/>
        <v>1</v>
      </c>
      <c r="R175" s="5">
        <f t="shared" si="24"/>
        <v>1</v>
      </c>
      <c r="S175" s="5">
        <f t="shared" si="25"/>
        <v>1</v>
      </c>
      <c r="T175" s="5">
        <f t="shared" si="26"/>
        <v>1</v>
      </c>
    </row>
    <row r="176" spans="1:20">
      <c r="A176" t="s">
        <v>227</v>
      </c>
      <c r="B176" s="3">
        <v>102.62</v>
      </c>
      <c r="C176" s="3">
        <v>6.3717</v>
      </c>
      <c r="D176" s="3">
        <f t="shared" si="22"/>
        <v>653.863854</v>
      </c>
      <c r="E176" s="3">
        <f t="shared" si="27"/>
        <v>7.54731600790618</v>
      </c>
      <c r="F176" s="3">
        <f t="shared" si="28"/>
        <v>0.131919924903043</v>
      </c>
      <c r="G176" s="3">
        <f t="shared" si="29"/>
        <v>7.67923593280921</v>
      </c>
      <c r="H176" s="6">
        <v>98.3</v>
      </c>
      <c r="I176" s="6">
        <v>97.1</v>
      </c>
      <c r="J176" s="6">
        <v>101.8</v>
      </c>
      <c r="K176" s="3">
        <f t="shared" si="30"/>
        <v>-1.7</v>
      </c>
      <c r="L176" s="3">
        <f t="shared" si="31"/>
        <v>-0.800000000000011</v>
      </c>
      <c r="M176" s="3">
        <f t="shared" si="32"/>
        <v>-0.400000000000006</v>
      </c>
      <c r="N176" s="3">
        <v>96.6</v>
      </c>
      <c r="O176" s="3">
        <v>9.2</v>
      </c>
      <c r="P176" s="3">
        <v>10.3</v>
      </c>
      <c r="Q176" s="5">
        <f t="shared" si="23"/>
        <v>1</v>
      </c>
      <c r="R176" s="5">
        <f t="shared" si="24"/>
        <v>1</v>
      </c>
      <c r="S176" s="5">
        <f t="shared" si="25"/>
        <v>1</v>
      </c>
      <c r="T176" s="5">
        <f t="shared" si="26"/>
        <v>1</v>
      </c>
    </row>
    <row r="177" spans="1:20">
      <c r="A177" t="s">
        <v>228</v>
      </c>
      <c r="B177" s="3">
        <v>113.36</v>
      </c>
      <c r="C177" s="3">
        <v>6.3593</v>
      </c>
      <c r="D177" s="3">
        <f t="shared" si="22"/>
        <v>720.890248</v>
      </c>
      <c r="E177" s="3">
        <f t="shared" si="27"/>
        <v>9.95357498686063</v>
      </c>
      <c r="F177" s="3">
        <f t="shared" si="28"/>
        <v>-0.194800155858924</v>
      </c>
      <c r="G177" s="3">
        <f t="shared" si="29"/>
        <v>9.75877483100171</v>
      </c>
      <c r="H177" s="6">
        <v>97.4</v>
      </c>
      <c r="I177" s="6">
        <v>96.5</v>
      </c>
      <c r="J177" s="6">
        <v>102</v>
      </c>
      <c r="K177" s="3">
        <f t="shared" si="30"/>
        <v>-0.899999999999991</v>
      </c>
      <c r="L177" s="3">
        <f t="shared" si="31"/>
        <v>-0.599999999999994</v>
      </c>
      <c r="M177" s="3">
        <f t="shared" si="32"/>
        <v>0.200000000000003</v>
      </c>
      <c r="N177" s="3">
        <v>95.9</v>
      </c>
      <c r="O177" s="3">
        <v>8.9</v>
      </c>
      <c r="P177" s="3">
        <v>10.1</v>
      </c>
      <c r="Q177" s="5">
        <f t="shared" si="23"/>
        <v>1</v>
      </c>
      <c r="R177" s="5">
        <f t="shared" si="24"/>
        <v>1</v>
      </c>
      <c r="S177" s="5">
        <f t="shared" si="25"/>
        <v>1</v>
      </c>
      <c r="T177" s="5">
        <f t="shared" si="26"/>
        <v>1</v>
      </c>
    </row>
    <row r="178" spans="1:20">
      <c r="A178" t="s">
        <v>229</v>
      </c>
      <c r="B178" s="3">
        <v>112.86</v>
      </c>
      <c r="C178" s="3">
        <v>6.32</v>
      </c>
      <c r="D178" s="3">
        <f t="shared" si="22"/>
        <v>713.2752</v>
      </c>
      <c r="E178" s="3">
        <f t="shared" si="27"/>
        <v>-0.442048284143096</v>
      </c>
      <c r="F178" s="3">
        <f t="shared" si="28"/>
        <v>-0.619910024281831</v>
      </c>
      <c r="G178" s="3">
        <f t="shared" si="29"/>
        <v>-1.06195830842492</v>
      </c>
      <c r="H178" s="6">
        <v>98.2</v>
      </c>
      <c r="I178" s="6">
        <v>96.4</v>
      </c>
      <c r="J178" s="6">
        <v>101.9</v>
      </c>
      <c r="K178" s="3">
        <f t="shared" si="30"/>
        <v>0.799999999999997</v>
      </c>
      <c r="L178" s="3">
        <f t="shared" si="31"/>
        <v>-0.0999999999999943</v>
      </c>
      <c r="M178" s="3">
        <f t="shared" si="32"/>
        <v>-0.0999999999999943</v>
      </c>
      <c r="N178" s="3">
        <v>95.9</v>
      </c>
      <c r="O178" s="3">
        <v>9.2</v>
      </c>
      <c r="P178" s="3">
        <v>10</v>
      </c>
      <c r="Q178" s="5">
        <f t="shared" si="23"/>
        <v>1</v>
      </c>
      <c r="R178" s="5">
        <f t="shared" si="24"/>
        <v>1</v>
      </c>
      <c r="S178" s="5">
        <f t="shared" si="25"/>
        <v>1</v>
      </c>
      <c r="T178" s="5">
        <f t="shared" si="26"/>
        <v>1</v>
      </c>
    </row>
    <row r="179" spans="1:20">
      <c r="A179" t="s">
        <v>230</v>
      </c>
      <c r="B179" s="3">
        <v>111.71</v>
      </c>
      <c r="C179" s="3">
        <v>6.2627</v>
      </c>
      <c r="D179" s="3">
        <f t="shared" si="22"/>
        <v>699.606217</v>
      </c>
      <c r="E179" s="3">
        <f t="shared" si="27"/>
        <v>-1.02418849582371</v>
      </c>
      <c r="F179" s="3">
        <f t="shared" si="28"/>
        <v>-0.910780612998566</v>
      </c>
      <c r="G179" s="3">
        <f t="shared" si="29"/>
        <v>-1.93496910882229</v>
      </c>
      <c r="H179" s="6">
        <v>98.5</v>
      </c>
      <c r="I179" s="6">
        <v>97.2</v>
      </c>
      <c r="J179" s="6">
        <v>101.7</v>
      </c>
      <c r="K179" s="3">
        <f t="shared" si="30"/>
        <v>0.299999999999997</v>
      </c>
      <c r="L179" s="3">
        <f t="shared" si="31"/>
        <v>0.799999999999997</v>
      </c>
      <c r="M179" s="3">
        <f t="shared" si="32"/>
        <v>-0.200000000000003</v>
      </c>
      <c r="N179" s="3">
        <v>96.7</v>
      </c>
      <c r="O179" s="3">
        <v>9.6</v>
      </c>
      <c r="P179" s="3">
        <v>10</v>
      </c>
      <c r="Q179" s="5">
        <f t="shared" si="23"/>
        <v>1</v>
      </c>
      <c r="R179" s="5">
        <f t="shared" si="24"/>
        <v>1</v>
      </c>
      <c r="S179" s="5">
        <f t="shared" si="25"/>
        <v>1</v>
      </c>
      <c r="T179" s="5">
        <f t="shared" si="26"/>
        <v>1</v>
      </c>
    </row>
    <row r="180" spans="1:20">
      <c r="A180" t="s">
        <v>231</v>
      </c>
      <c r="B180" s="3">
        <v>109.06</v>
      </c>
      <c r="C180" s="3">
        <v>6.2338</v>
      </c>
      <c r="D180" s="3">
        <f t="shared" si="22"/>
        <v>679.858228</v>
      </c>
      <c r="E180" s="3">
        <f t="shared" si="27"/>
        <v>-2.40080380848414</v>
      </c>
      <c r="F180" s="3">
        <f t="shared" si="28"/>
        <v>-0.462530332853106</v>
      </c>
      <c r="G180" s="3">
        <f t="shared" si="29"/>
        <v>-2.86333414133725</v>
      </c>
      <c r="H180" s="6">
        <v>98.4</v>
      </c>
      <c r="I180" s="6">
        <v>97.8</v>
      </c>
      <c r="J180" s="6">
        <v>102</v>
      </c>
      <c r="K180" s="3">
        <f t="shared" si="30"/>
        <v>-0.0999999999999943</v>
      </c>
      <c r="L180" s="3">
        <f t="shared" si="31"/>
        <v>0.599999999999994</v>
      </c>
      <c r="M180" s="3">
        <f t="shared" si="32"/>
        <v>0.299999999999997</v>
      </c>
      <c r="N180" s="3">
        <v>97.2</v>
      </c>
      <c r="O180" s="3">
        <v>10.1</v>
      </c>
      <c r="P180" s="3">
        <v>10</v>
      </c>
      <c r="Q180" s="5">
        <f t="shared" si="23"/>
        <v>1</v>
      </c>
      <c r="R180" s="5">
        <f t="shared" si="24"/>
        <v>1</v>
      </c>
      <c r="S180" s="5">
        <f t="shared" si="25"/>
        <v>1</v>
      </c>
      <c r="T180" s="5">
        <f t="shared" si="26"/>
        <v>1</v>
      </c>
    </row>
    <row r="181" spans="1:20">
      <c r="A181" t="s">
        <v>232</v>
      </c>
      <c r="B181" s="3">
        <v>109.49</v>
      </c>
      <c r="C181" s="3">
        <v>6.2328</v>
      </c>
      <c r="D181" s="3">
        <f t="shared" si="22"/>
        <v>682.429272</v>
      </c>
      <c r="E181" s="3">
        <f t="shared" si="27"/>
        <v>0.39350313874179</v>
      </c>
      <c r="F181" s="3">
        <f t="shared" si="28"/>
        <v>-0.0160428665737981</v>
      </c>
      <c r="G181" s="3">
        <f t="shared" si="29"/>
        <v>0.377460272167999</v>
      </c>
      <c r="H181" s="6">
        <v>97.5</v>
      </c>
      <c r="I181" s="6">
        <v>98.1</v>
      </c>
      <c r="J181" s="6">
        <v>102.5</v>
      </c>
      <c r="K181" s="3">
        <f t="shared" si="30"/>
        <v>-0.900000000000006</v>
      </c>
      <c r="L181" s="3">
        <f t="shared" si="31"/>
        <v>0.299999999999997</v>
      </c>
      <c r="M181" s="3">
        <f t="shared" si="32"/>
        <v>0.5</v>
      </c>
      <c r="N181" s="3">
        <v>97.6</v>
      </c>
      <c r="O181" s="3">
        <v>10.3</v>
      </c>
      <c r="P181" s="3">
        <v>10</v>
      </c>
      <c r="Q181" s="5">
        <f t="shared" si="23"/>
        <v>1</v>
      </c>
      <c r="R181" s="5">
        <f t="shared" si="24"/>
        <v>1</v>
      </c>
      <c r="S181" s="5">
        <f t="shared" si="25"/>
        <v>1</v>
      </c>
      <c r="T181" s="5">
        <f t="shared" si="26"/>
        <v>1</v>
      </c>
    </row>
    <row r="182" spans="1:20">
      <c r="A182" t="s">
        <v>233</v>
      </c>
      <c r="B182" s="3">
        <v>112.96</v>
      </c>
      <c r="C182" s="3">
        <v>6.2215</v>
      </c>
      <c r="D182" s="3">
        <f t="shared" si="22"/>
        <v>702.78064</v>
      </c>
      <c r="E182" s="3">
        <f t="shared" si="27"/>
        <v>3.12005528595984</v>
      </c>
      <c r="F182" s="3">
        <f t="shared" si="28"/>
        <v>-0.181463480096258</v>
      </c>
      <c r="G182" s="3">
        <f t="shared" si="29"/>
        <v>2.93859180586359</v>
      </c>
      <c r="H182" s="6">
        <v>97.4</v>
      </c>
      <c r="I182" s="6">
        <v>98.4</v>
      </c>
      <c r="J182" s="6">
        <v>102</v>
      </c>
      <c r="K182" s="3">
        <f t="shared" si="30"/>
        <v>-0.0999999999999943</v>
      </c>
      <c r="L182" s="3">
        <f t="shared" si="31"/>
        <v>0.300000000000011</v>
      </c>
      <c r="M182" s="3">
        <f t="shared" si="32"/>
        <v>-0.5</v>
      </c>
      <c r="N182" s="3">
        <v>98.1</v>
      </c>
      <c r="O182" s="3"/>
      <c r="P182" s="3"/>
      <c r="Q182" s="5">
        <f t="shared" si="23"/>
        <v>1</v>
      </c>
      <c r="R182" s="5">
        <f t="shared" si="24"/>
        <v>1</v>
      </c>
      <c r="S182" s="5">
        <f t="shared" si="25"/>
        <v>1</v>
      </c>
      <c r="T182" s="5">
        <f t="shared" si="26"/>
        <v>1</v>
      </c>
    </row>
    <row r="183" spans="1:20">
      <c r="A183" t="s">
        <v>234</v>
      </c>
      <c r="B183" s="3">
        <v>116.05</v>
      </c>
      <c r="C183" s="3">
        <v>6.2323</v>
      </c>
      <c r="D183" s="3">
        <f t="shared" si="22"/>
        <v>723.258415</v>
      </c>
      <c r="E183" s="3">
        <f t="shared" si="27"/>
        <v>2.69873589755141</v>
      </c>
      <c r="F183" s="3">
        <f t="shared" si="28"/>
        <v>0.173441081555248</v>
      </c>
      <c r="G183" s="3">
        <f t="shared" si="29"/>
        <v>2.87217697910664</v>
      </c>
      <c r="H183" s="6">
        <v>97.1</v>
      </c>
      <c r="I183" s="6">
        <v>98.4</v>
      </c>
      <c r="J183" s="6">
        <v>103.2</v>
      </c>
      <c r="K183" s="3">
        <f t="shared" si="30"/>
        <v>-0.300000000000011</v>
      </c>
      <c r="L183" s="3">
        <f t="shared" si="31"/>
        <v>0</v>
      </c>
      <c r="M183" s="3">
        <f t="shared" si="32"/>
        <v>1.2</v>
      </c>
      <c r="N183" s="3">
        <v>98.1</v>
      </c>
      <c r="O183" s="3"/>
      <c r="P183" s="3">
        <v>9.9</v>
      </c>
      <c r="Q183" s="5">
        <f t="shared" si="23"/>
        <v>1</v>
      </c>
      <c r="R183" s="5">
        <f t="shared" si="24"/>
        <v>1</v>
      </c>
      <c r="S183" s="5">
        <f t="shared" si="25"/>
        <v>1</v>
      </c>
      <c r="T183" s="5">
        <f t="shared" si="26"/>
        <v>1</v>
      </c>
    </row>
    <row r="184" spans="1:20">
      <c r="A184" t="s">
        <v>235</v>
      </c>
      <c r="B184" s="3">
        <v>108.47</v>
      </c>
      <c r="C184" s="3">
        <v>6.2154</v>
      </c>
      <c r="D184" s="3">
        <f t="shared" si="22"/>
        <v>674.184438</v>
      </c>
      <c r="E184" s="3">
        <f t="shared" si="27"/>
        <v>-6.75474956683199</v>
      </c>
      <c r="F184" s="3">
        <f t="shared" si="28"/>
        <v>-0.271536273912698</v>
      </c>
      <c r="G184" s="3">
        <f t="shared" si="29"/>
        <v>-7.02628584074468</v>
      </c>
      <c r="H184" s="6">
        <v>96.8</v>
      </c>
      <c r="I184" s="6">
        <v>98.1</v>
      </c>
      <c r="J184" s="6">
        <v>102.1</v>
      </c>
      <c r="K184" s="3">
        <f t="shared" si="30"/>
        <v>-0.299999999999997</v>
      </c>
      <c r="L184" s="3">
        <f t="shared" si="31"/>
        <v>-0.300000000000011</v>
      </c>
      <c r="M184" s="3">
        <f t="shared" si="32"/>
        <v>-1.10000000000001</v>
      </c>
      <c r="N184" s="3">
        <v>98</v>
      </c>
      <c r="O184" s="3">
        <v>8.9</v>
      </c>
      <c r="P184" s="3">
        <v>9.5</v>
      </c>
      <c r="Q184" s="5">
        <f t="shared" si="23"/>
        <v>1</v>
      </c>
      <c r="R184" s="5">
        <f t="shared" si="24"/>
        <v>1</v>
      </c>
      <c r="S184" s="5">
        <f t="shared" si="25"/>
        <v>1</v>
      </c>
      <c r="T184" s="5">
        <f t="shared" si="26"/>
        <v>1</v>
      </c>
    </row>
    <row r="185" spans="1:20">
      <c r="A185" t="s">
        <v>236</v>
      </c>
      <c r="B185" s="3">
        <v>102.25</v>
      </c>
      <c r="C185" s="3">
        <v>6.1861</v>
      </c>
      <c r="D185" s="3">
        <f t="shared" si="22"/>
        <v>632.528725</v>
      </c>
      <c r="E185" s="3">
        <f t="shared" si="27"/>
        <v>-5.90528421292151</v>
      </c>
      <c r="F185" s="3">
        <f t="shared" si="28"/>
        <v>-0.472524364267813</v>
      </c>
      <c r="G185" s="3">
        <f t="shared" si="29"/>
        <v>-6.37780857718931</v>
      </c>
      <c r="H185" s="6">
        <v>95.2</v>
      </c>
      <c r="I185" s="6">
        <v>97.4</v>
      </c>
      <c r="J185" s="6">
        <v>102.4</v>
      </c>
      <c r="K185" s="3">
        <f t="shared" si="30"/>
        <v>-1.59999999999999</v>
      </c>
      <c r="L185" s="3">
        <f t="shared" si="31"/>
        <v>-0.699999999999989</v>
      </c>
      <c r="M185" s="3">
        <f t="shared" si="32"/>
        <v>0.300000000000011</v>
      </c>
      <c r="N185" s="3">
        <v>97.3</v>
      </c>
      <c r="O185" s="3">
        <v>9.3</v>
      </c>
      <c r="P185" s="3">
        <v>9.4</v>
      </c>
      <c r="Q185" s="5">
        <f t="shared" si="23"/>
        <v>1</v>
      </c>
      <c r="R185" s="5">
        <f t="shared" si="24"/>
        <v>1</v>
      </c>
      <c r="S185" s="5">
        <f t="shared" si="25"/>
        <v>1</v>
      </c>
      <c r="T185" s="5">
        <f t="shared" si="26"/>
        <v>1</v>
      </c>
    </row>
    <row r="186" spans="1:20">
      <c r="A186" t="s">
        <v>237</v>
      </c>
      <c r="B186" s="3">
        <v>102.56</v>
      </c>
      <c r="C186" s="3">
        <v>6.1416</v>
      </c>
      <c r="D186" s="3">
        <f t="shared" si="22"/>
        <v>629.882496</v>
      </c>
      <c r="E186" s="3">
        <f t="shared" si="27"/>
        <v>0.30271982494489</v>
      </c>
      <c r="F186" s="3">
        <f t="shared" si="28"/>
        <v>-0.721954513574443</v>
      </c>
      <c r="G186" s="3">
        <f t="shared" si="29"/>
        <v>-0.419234688629572</v>
      </c>
      <c r="H186" s="6">
        <v>94.4</v>
      </c>
      <c r="I186" s="6">
        <v>97.1</v>
      </c>
      <c r="J186" s="6">
        <v>102.1</v>
      </c>
      <c r="K186" s="3">
        <f t="shared" si="30"/>
        <v>-0.799999999999997</v>
      </c>
      <c r="L186" s="3">
        <f t="shared" si="31"/>
        <v>-0.300000000000011</v>
      </c>
      <c r="M186" s="3">
        <f t="shared" si="32"/>
        <v>-0.300000000000011</v>
      </c>
      <c r="N186" s="3">
        <v>97</v>
      </c>
      <c r="O186" s="3">
        <v>9.2</v>
      </c>
      <c r="P186" s="3">
        <v>9.4</v>
      </c>
      <c r="Q186" s="5">
        <f t="shared" si="23"/>
        <v>1</v>
      </c>
      <c r="R186" s="5">
        <f t="shared" si="24"/>
        <v>1</v>
      </c>
      <c r="S186" s="5">
        <f t="shared" si="25"/>
        <v>1</v>
      </c>
      <c r="T186" s="5">
        <f t="shared" si="26"/>
        <v>1</v>
      </c>
    </row>
    <row r="187" spans="1:20">
      <c r="A187" t="s">
        <v>238</v>
      </c>
      <c r="B187" s="3">
        <v>102.92</v>
      </c>
      <c r="C187" s="3">
        <v>6.1342</v>
      </c>
      <c r="D187" s="3">
        <f t="shared" si="22"/>
        <v>631.331864</v>
      </c>
      <c r="E187" s="3">
        <f t="shared" si="27"/>
        <v>0.350399424118343</v>
      </c>
      <c r="F187" s="3">
        <f t="shared" si="28"/>
        <v>-0.120562421941445</v>
      </c>
      <c r="G187" s="3">
        <f t="shared" si="29"/>
        <v>0.22983700217691</v>
      </c>
      <c r="H187" s="6">
        <v>95.1</v>
      </c>
      <c r="I187" s="6">
        <v>97.3</v>
      </c>
      <c r="J187" s="6">
        <v>102.7</v>
      </c>
      <c r="K187" s="3">
        <f t="shared" si="30"/>
        <v>0.699999999999989</v>
      </c>
      <c r="L187" s="3">
        <f t="shared" si="31"/>
        <v>0.200000000000003</v>
      </c>
      <c r="M187" s="3">
        <f t="shared" si="32"/>
        <v>0.600000000000009</v>
      </c>
      <c r="N187" s="3">
        <v>97.4</v>
      </c>
      <c r="O187" s="3">
        <v>8.9</v>
      </c>
      <c r="P187" s="3">
        <v>9.3</v>
      </c>
      <c r="Q187" s="5">
        <f t="shared" si="23"/>
        <v>1</v>
      </c>
      <c r="R187" s="5">
        <f t="shared" si="24"/>
        <v>1</v>
      </c>
      <c r="S187" s="5">
        <f t="shared" si="25"/>
        <v>1</v>
      </c>
      <c r="T187" s="5">
        <f t="shared" si="26"/>
        <v>1</v>
      </c>
    </row>
    <row r="188" spans="1:20">
      <c r="A188" t="s">
        <v>239</v>
      </c>
      <c r="B188" s="3">
        <v>107.93</v>
      </c>
      <c r="C188" s="3">
        <v>6.1343</v>
      </c>
      <c r="D188" s="3">
        <f t="shared" si="22"/>
        <v>662.074999</v>
      </c>
      <c r="E188" s="3">
        <f t="shared" si="27"/>
        <v>4.75308814237116</v>
      </c>
      <c r="F188" s="3">
        <f t="shared" si="28"/>
        <v>0.00163019113993932</v>
      </c>
      <c r="G188" s="3">
        <f t="shared" si="29"/>
        <v>4.75471833351111</v>
      </c>
      <c r="H188" s="6">
        <v>96.6</v>
      </c>
      <c r="I188" s="6">
        <v>97.7</v>
      </c>
      <c r="J188" s="6">
        <v>102.7</v>
      </c>
      <c r="K188" s="3">
        <f t="shared" si="30"/>
        <v>1.5</v>
      </c>
      <c r="L188" s="3">
        <f t="shared" si="31"/>
        <v>0.400000000000006</v>
      </c>
      <c r="M188" s="3">
        <f t="shared" si="32"/>
        <v>0</v>
      </c>
      <c r="N188" s="3">
        <v>97.8</v>
      </c>
      <c r="O188" s="3">
        <v>9.7</v>
      </c>
      <c r="P188" s="3">
        <v>9.4</v>
      </c>
      <c r="Q188" s="5">
        <f t="shared" si="23"/>
        <v>1</v>
      </c>
      <c r="R188" s="5">
        <f t="shared" si="24"/>
        <v>1</v>
      </c>
      <c r="S188" s="5">
        <f t="shared" si="25"/>
        <v>1</v>
      </c>
      <c r="T188" s="5">
        <f t="shared" si="26"/>
        <v>1</v>
      </c>
    </row>
    <row r="189" spans="1:20">
      <c r="A189" t="s">
        <v>240</v>
      </c>
      <c r="B189" s="3">
        <v>111.28</v>
      </c>
      <c r="C189" s="3">
        <v>6.1213</v>
      </c>
      <c r="D189" s="3">
        <f t="shared" si="22"/>
        <v>681.178264</v>
      </c>
      <c r="E189" s="3">
        <f t="shared" si="27"/>
        <v>3.05666787779325</v>
      </c>
      <c r="F189" s="3">
        <f t="shared" si="28"/>
        <v>-0.21214799562213</v>
      </c>
      <c r="G189" s="3">
        <f t="shared" si="29"/>
        <v>2.84451988217112</v>
      </c>
      <c r="H189" s="6">
        <v>97.4</v>
      </c>
      <c r="I189" s="6">
        <v>98.4</v>
      </c>
      <c r="J189" s="6">
        <v>102.6</v>
      </c>
      <c r="K189" s="3">
        <f t="shared" si="30"/>
        <v>0.800000000000011</v>
      </c>
      <c r="L189" s="3">
        <f t="shared" si="31"/>
        <v>0.700000000000003</v>
      </c>
      <c r="M189" s="3">
        <f t="shared" si="32"/>
        <v>-0.100000000000009</v>
      </c>
      <c r="N189" s="3">
        <v>98.4</v>
      </c>
      <c r="O189" s="3">
        <v>10.4</v>
      </c>
      <c r="P189" s="3">
        <v>9.5</v>
      </c>
      <c r="Q189" s="5">
        <f t="shared" si="23"/>
        <v>1</v>
      </c>
      <c r="R189" s="5">
        <f t="shared" si="24"/>
        <v>1</v>
      </c>
      <c r="S189" s="5">
        <f t="shared" si="25"/>
        <v>1</v>
      </c>
      <c r="T189" s="5">
        <f t="shared" si="26"/>
        <v>1</v>
      </c>
    </row>
    <row r="190" spans="1:20">
      <c r="A190" t="s">
        <v>241</v>
      </c>
      <c r="B190" s="3">
        <v>111.6</v>
      </c>
      <c r="C190" s="3">
        <v>6.1198</v>
      </c>
      <c r="D190" s="3">
        <f t="shared" si="22"/>
        <v>682.96968</v>
      </c>
      <c r="E190" s="3">
        <f t="shared" si="27"/>
        <v>0.287150233202294</v>
      </c>
      <c r="F190" s="3">
        <f t="shared" si="28"/>
        <v>-0.0245076015637078</v>
      </c>
      <c r="G190" s="3">
        <f t="shared" si="29"/>
        <v>0.26264263163859</v>
      </c>
      <c r="H190" s="6">
        <v>97</v>
      </c>
      <c r="I190" s="6">
        <v>98.7</v>
      </c>
      <c r="J190" s="6">
        <v>103.1</v>
      </c>
      <c r="K190" s="3">
        <f t="shared" si="30"/>
        <v>-0.400000000000006</v>
      </c>
      <c r="L190" s="3">
        <f t="shared" si="31"/>
        <v>0.299999999999997</v>
      </c>
      <c r="M190" s="3">
        <f t="shared" si="32"/>
        <v>0.5</v>
      </c>
      <c r="N190" s="3">
        <v>98.4</v>
      </c>
      <c r="O190" s="3">
        <v>10.2</v>
      </c>
      <c r="P190" s="3">
        <v>9.6</v>
      </c>
      <c r="Q190" s="5">
        <f t="shared" si="23"/>
        <v>1</v>
      </c>
      <c r="R190" s="5">
        <f t="shared" si="24"/>
        <v>1</v>
      </c>
      <c r="S190" s="5">
        <f t="shared" si="25"/>
        <v>1</v>
      </c>
      <c r="T190" s="5">
        <f t="shared" si="26"/>
        <v>1</v>
      </c>
    </row>
    <row r="191" spans="1:20">
      <c r="A191" t="s">
        <v>242</v>
      </c>
      <c r="B191" s="3">
        <v>109.08</v>
      </c>
      <c r="C191" s="3">
        <v>6.1032</v>
      </c>
      <c r="D191" s="3">
        <f t="shared" si="22"/>
        <v>665.737056</v>
      </c>
      <c r="E191" s="3">
        <f t="shared" si="27"/>
        <v>-2.28394919698228</v>
      </c>
      <c r="F191" s="3">
        <f t="shared" si="28"/>
        <v>-0.271619245779571</v>
      </c>
      <c r="G191" s="3">
        <f t="shared" si="29"/>
        <v>-2.55556844276184</v>
      </c>
      <c r="H191" s="6">
        <v>97.1</v>
      </c>
      <c r="I191" s="6">
        <v>98.5</v>
      </c>
      <c r="J191" s="6">
        <v>103.2</v>
      </c>
      <c r="K191" s="3">
        <f t="shared" si="30"/>
        <v>0.0999999999999943</v>
      </c>
      <c r="L191" s="3">
        <f t="shared" si="31"/>
        <v>-0.200000000000003</v>
      </c>
      <c r="M191" s="3">
        <f t="shared" si="32"/>
        <v>0.100000000000009</v>
      </c>
      <c r="N191" s="3">
        <v>98.4</v>
      </c>
      <c r="O191" s="3">
        <v>10.3</v>
      </c>
      <c r="P191" s="3">
        <v>9.7</v>
      </c>
      <c r="Q191" s="5">
        <f t="shared" si="23"/>
        <v>1</v>
      </c>
      <c r="R191" s="5">
        <f t="shared" si="24"/>
        <v>1</v>
      </c>
      <c r="S191" s="5">
        <f t="shared" si="25"/>
        <v>1</v>
      </c>
      <c r="T191" s="5">
        <f t="shared" si="26"/>
        <v>1</v>
      </c>
    </row>
    <row r="192" spans="1:20">
      <c r="A192" t="s">
        <v>243</v>
      </c>
      <c r="B192" s="3">
        <v>107.79</v>
      </c>
      <c r="C192" s="3">
        <v>6.0929</v>
      </c>
      <c r="D192" s="3">
        <f t="shared" si="22"/>
        <v>656.753691</v>
      </c>
      <c r="E192" s="3">
        <f t="shared" si="27"/>
        <v>-1.18966681838506</v>
      </c>
      <c r="F192" s="3">
        <f t="shared" si="28"/>
        <v>-0.168906493859079</v>
      </c>
      <c r="G192" s="3">
        <f t="shared" si="29"/>
        <v>-1.35857331224416</v>
      </c>
      <c r="H192" s="6">
        <v>97.4</v>
      </c>
      <c r="I192" s="6">
        <v>98.6</v>
      </c>
      <c r="J192" s="6">
        <v>103</v>
      </c>
      <c r="K192" s="3">
        <f t="shared" si="30"/>
        <v>0.300000000000011</v>
      </c>
      <c r="L192" s="3">
        <f t="shared" si="31"/>
        <v>0.0999999999999943</v>
      </c>
      <c r="M192" s="3">
        <f t="shared" si="32"/>
        <v>-0.200000000000003</v>
      </c>
      <c r="N192" s="3">
        <v>98.5</v>
      </c>
      <c r="O192" s="3">
        <v>10</v>
      </c>
      <c r="P192" s="3">
        <v>9.7</v>
      </c>
      <c r="Q192" s="5">
        <f t="shared" si="23"/>
        <v>1</v>
      </c>
      <c r="R192" s="5">
        <f t="shared" si="24"/>
        <v>1</v>
      </c>
      <c r="S192" s="5">
        <f t="shared" si="25"/>
        <v>1</v>
      </c>
      <c r="T192" s="5">
        <f t="shared" si="26"/>
        <v>1</v>
      </c>
    </row>
    <row r="193" spans="1:20">
      <c r="A193" t="s">
        <v>244</v>
      </c>
      <c r="B193" s="3">
        <v>110.76</v>
      </c>
      <c r="C193" s="3">
        <v>6.0738</v>
      </c>
      <c r="D193" s="3">
        <f t="shared" si="22"/>
        <v>672.734088</v>
      </c>
      <c r="E193" s="3">
        <f t="shared" si="27"/>
        <v>2.71808085092241</v>
      </c>
      <c r="F193" s="3">
        <f t="shared" si="28"/>
        <v>-0.313972000466775</v>
      </c>
      <c r="G193" s="3">
        <f t="shared" si="29"/>
        <v>2.40410885045563</v>
      </c>
      <c r="H193" s="6">
        <v>97.8</v>
      </c>
      <c r="I193" s="6">
        <v>98.6</v>
      </c>
      <c r="J193" s="6">
        <v>102.5</v>
      </c>
      <c r="K193" s="3">
        <f t="shared" si="30"/>
        <v>0.399999999999991</v>
      </c>
      <c r="L193" s="3">
        <f t="shared" si="31"/>
        <v>0</v>
      </c>
      <c r="M193" s="3">
        <f t="shared" si="32"/>
        <v>-0.5</v>
      </c>
      <c r="N193" s="3">
        <v>98.6</v>
      </c>
      <c r="O193" s="3">
        <v>9.7</v>
      </c>
      <c r="P193" s="3">
        <v>9.7</v>
      </c>
      <c r="Q193" s="5">
        <f t="shared" si="23"/>
        <v>1</v>
      </c>
      <c r="R193" s="5">
        <f t="shared" si="24"/>
        <v>1</v>
      </c>
      <c r="S193" s="5">
        <f t="shared" si="25"/>
        <v>1</v>
      </c>
      <c r="T193" s="5">
        <f t="shared" si="26"/>
        <v>1</v>
      </c>
    </row>
    <row r="194" spans="1:20">
      <c r="A194" t="s">
        <v>245</v>
      </c>
      <c r="B194" s="3">
        <v>108.12</v>
      </c>
      <c r="C194" s="3">
        <v>6.0509</v>
      </c>
      <c r="D194" s="3">
        <f t="shared" ref="D194:D257" si="33" xml:space="preserve">B194*C194</f>
        <v>654.223308</v>
      </c>
      <c r="E194" s="3">
        <f t="shared" si="27"/>
        <v>-2.41239768945143</v>
      </c>
      <c r="F194" s="3">
        <f t="shared" si="28"/>
        <v>-0.377741754101614</v>
      </c>
      <c r="G194" s="3">
        <f t="shared" si="29"/>
        <v>-2.79013944355303</v>
      </c>
      <c r="H194" s="6">
        <v>98</v>
      </c>
      <c r="I194" s="6">
        <v>98.4</v>
      </c>
      <c r="J194" s="6">
        <v>102.5</v>
      </c>
      <c r="K194" s="3">
        <f t="shared" si="30"/>
        <v>0.200000000000003</v>
      </c>
      <c r="L194" s="3">
        <f t="shared" si="31"/>
        <v>-0.199999999999989</v>
      </c>
      <c r="M194" s="3">
        <f t="shared" si="32"/>
        <v>0</v>
      </c>
      <c r="N194" s="3">
        <v>98.3</v>
      </c>
      <c r="O194" s="3"/>
      <c r="P194" s="3"/>
      <c r="Q194" s="5">
        <f t="shared" ref="Q194:Q257" si="34" xml:space="preserve">IF(ROW()&gt;=5,1,0)</f>
        <v>1</v>
      </c>
      <c r="R194" s="5">
        <f t="shared" ref="R194:R257" si="35" xml:space="preserve">IF(AND(ROW()&gt;=5,ROW()+3&lt;=339),1,0)</f>
        <v>1</v>
      </c>
      <c r="S194" s="5">
        <f t="shared" ref="S194:S257" si="36" xml:space="preserve">IF(AND(ROW()&gt;=5,ROW()+6&lt;=339),1,0)</f>
        <v>1</v>
      </c>
      <c r="T194" s="5">
        <f t="shared" ref="T194:T257" si="37" xml:space="preserve">IF(AND(ROW()&gt;=5,ROW()+12&lt;=339),1,0)</f>
        <v>1</v>
      </c>
    </row>
    <row r="195" spans="1:20">
      <c r="A195" t="s">
        <v>246</v>
      </c>
      <c r="B195" s="3">
        <v>108.9</v>
      </c>
      <c r="C195" s="3">
        <v>6.0816</v>
      </c>
      <c r="D195" s="3">
        <f t="shared" si="33"/>
        <v>662.28624</v>
      </c>
      <c r="E195" s="3">
        <f t="shared" ref="E195:E258" si="38" xml:space="preserve">100*LN(B195/B194)</f>
        <v>0.718830853066801</v>
      </c>
      <c r="F195" s="3">
        <f t="shared" ref="F195:F258" si="39" xml:space="preserve">100*LN(C195/C194)</f>
        <v>0.506079794323921</v>
      </c>
      <c r="G195" s="3">
        <f t="shared" ref="G195:G258" si="40" xml:space="preserve">100*LN(D195/D194)</f>
        <v>1.22491064739072</v>
      </c>
      <c r="H195" s="6">
        <v>97.6</v>
      </c>
      <c r="I195" s="6">
        <v>98</v>
      </c>
      <c r="J195" s="6">
        <v>102</v>
      </c>
      <c r="K195" s="3">
        <f t="shared" ref="K195:K258" si="41" xml:space="preserve">H195-H194</f>
        <v>-0.400000000000006</v>
      </c>
      <c r="L195" s="3">
        <f t="shared" ref="L195:L258" si="42" xml:space="preserve">I195-I194</f>
        <v>-0.400000000000006</v>
      </c>
      <c r="M195" s="3">
        <f t="shared" ref="M195:M258" si="43" xml:space="preserve">J195-J194</f>
        <v>-0.5</v>
      </c>
      <c r="N195" s="3">
        <v>97.9</v>
      </c>
      <c r="O195" s="3"/>
      <c r="P195" s="3">
        <v>8.6</v>
      </c>
      <c r="Q195" s="5">
        <f t="shared" si="34"/>
        <v>1</v>
      </c>
      <c r="R195" s="5">
        <f t="shared" si="35"/>
        <v>1</v>
      </c>
      <c r="S195" s="5">
        <f t="shared" si="36"/>
        <v>1</v>
      </c>
      <c r="T195" s="5">
        <f t="shared" si="37"/>
        <v>1</v>
      </c>
    </row>
    <row r="196" spans="1:20">
      <c r="A196" t="s">
        <v>247</v>
      </c>
      <c r="B196" s="3">
        <v>107.48</v>
      </c>
      <c r="C196" s="3">
        <v>6.1729</v>
      </c>
      <c r="D196" s="3">
        <f t="shared" si="33"/>
        <v>663.463292</v>
      </c>
      <c r="E196" s="3">
        <f t="shared" si="38"/>
        <v>-1.31252461916243</v>
      </c>
      <c r="F196" s="3">
        <f t="shared" si="39"/>
        <v>1.49009244488861</v>
      </c>
      <c r="G196" s="3">
        <f t="shared" si="40"/>
        <v>0.177567825726177</v>
      </c>
      <c r="H196" s="6">
        <v>96.9</v>
      </c>
      <c r="I196" s="6">
        <v>97.7</v>
      </c>
      <c r="J196" s="6">
        <v>102.4</v>
      </c>
      <c r="K196" s="3">
        <f t="shared" si="41"/>
        <v>-0.699999999999989</v>
      </c>
      <c r="L196" s="3">
        <f t="shared" si="42"/>
        <v>-0.299999999999997</v>
      </c>
      <c r="M196" s="3">
        <f t="shared" si="43"/>
        <v>0.400000000000006</v>
      </c>
      <c r="N196" s="3">
        <v>97.5</v>
      </c>
      <c r="O196" s="3">
        <v>8.8</v>
      </c>
      <c r="P196" s="3">
        <v>8.7</v>
      </c>
      <c r="Q196" s="5">
        <f t="shared" si="34"/>
        <v>1</v>
      </c>
      <c r="R196" s="5">
        <f t="shared" si="35"/>
        <v>1</v>
      </c>
      <c r="S196" s="5">
        <f t="shared" si="36"/>
        <v>1</v>
      </c>
      <c r="T196" s="5">
        <f t="shared" si="37"/>
        <v>1</v>
      </c>
    </row>
    <row r="197" spans="1:20">
      <c r="A197" t="s">
        <v>248</v>
      </c>
      <c r="B197" s="3">
        <v>107.76</v>
      </c>
      <c r="C197" s="3">
        <v>6.2246</v>
      </c>
      <c r="D197" s="3">
        <f t="shared" si="33"/>
        <v>670.762896</v>
      </c>
      <c r="E197" s="3">
        <f t="shared" si="38"/>
        <v>0.2601748354818</v>
      </c>
      <c r="F197" s="3">
        <f t="shared" si="39"/>
        <v>0.834043955635411</v>
      </c>
      <c r="G197" s="3">
        <f t="shared" si="40"/>
        <v>1.09421879111723</v>
      </c>
      <c r="H197" s="6">
        <v>97.3</v>
      </c>
      <c r="I197" s="6">
        <v>98</v>
      </c>
      <c r="J197" s="6">
        <v>101.8</v>
      </c>
      <c r="K197" s="3">
        <f t="shared" si="41"/>
        <v>0.399999999999991</v>
      </c>
      <c r="L197" s="3">
        <f t="shared" si="42"/>
        <v>0.299999999999997</v>
      </c>
      <c r="M197" s="3">
        <f t="shared" si="43"/>
        <v>-0.600000000000009</v>
      </c>
      <c r="N197" s="3">
        <v>97.7</v>
      </c>
      <c r="O197" s="3">
        <v>8.7</v>
      </c>
      <c r="P197" s="3">
        <v>8.7</v>
      </c>
      <c r="Q197" s="5">
        <f t="shared" si="34"/>
        <v>1</v>
      </c>
      <c r="R197" s="5">
        <f t="shared" si="35"/>
        <v>1</v>
      </c>
      <c r="S197" s="5">
        <f t="shared" si="36"/>
        <v>1</v>
      </c>
      <c r="T197" s="5">
        <f t="shared" si="37"/>
        <v>1</v>
      </c>
    </row>
    <row r="198" spans="1:20">
      <c r="A198" t="s">
        <v>249</v>
      </c>
      <c r="B198" s="3">
        <v>109.54</v>
      </c>
      <c r="C198" s="3">
        <v>6.238</v>
      </c>
      <c r="D198" s="3">
        <f t="shared" si="33"/>
        <v>683.31052</v>
      </c>
      <c r="E198" s="3">
        <f t="shared" si="38"/>
        <v>1.63832472534667</v>
      </c>
      <c r="F198" s="3">
        <f t="shared" si="39"/>
        <v>0.215043492752414</v>
      </c>
      <c r="G198" s="3">
        <f t="shared" si="40"/>
        <v>1.85336821809909</v>
      </c>
      <c r="H198" s="6">
        <v>98</v>
      </c>
      <c r="I198" s="6">
        <v>98.6</v>
      </c>
      <c r="J198" s="6">
        <v>102.5</v>
      </c>
      <c r="K198" s="3">
        <f t="shared" si="41"/>
        <v>0.700000000000003</v>
      </c>
      <c r="L198" s="3">
        <f t="shared" si="42"/>
        <v>0.599999999999994</v>
      </c>
      <c r="M198" s="3">
        <f t="shared" si="43"/>
        <v>0.700000000000003</v>
      </c>
      <c r="N198" s="3">
        <v>98.2</v>
      </c>
      <c r="O198" s="3">
        <v>8.8</v>
      </c>
      <c r="P198" s="3">
        <v>8.7</v>
      </c>
      <c r="Q198" s="5">
        <f t="shared" si="34"/>
        <v>1</v>
      </c>
      <c r="R198" s="5">
        <f t="shared" si="35"/>
        <v>1</v>
      </c>
      <c r="S198" s="5">
        <f t="shared" si="36"/>
        <v>1</v>
      </c>
      <c r="T198" s="5">
        <f t="shared" si="37"/>
        <v>1</v>
      </c>
    </row>
    <row r="199" spans="1:20">
      <c r="A199" t="s">
        <v>250</v>
      </c>
      <c r="B199" s="3">
        <v>111.8</v>
      </c>
      <c r="C199" s="3">
        <v>6.2306</v>
      </c>
      <c r="D199" s="3">
        <f t="shared" si="33"/>
        <v>696.58108</v>
      </c>
      <c r="E199" s="3">
        <f t="shared" si="38"/>
        <v>2.04217813654234</v>
      </c>
      <c r="F199" s="3">
        <f t="shared" si="39"/>
        <v>-0.118698183738958</v>
      </c>
      <c r="G199" s="3">
        <f t="shared" si="40"/>
        <v>1.92347995280337</v>
      </c>
      <c r="H199" s="6">
        <v>98.7</v>
      </c>
      <c r="I199" s="6">
        <v>98.9</v>
      </c>
      <c r="J199" s="6">
        <v>102.3</v>
      </c>
      <c r="K199" s="3">
        <f t="shared" si="41"/>
        <v>0.700000000000003</v>
      </c>
      <c r="L199" s="3">
        <f t="shared" si="42"/>
        <v>0.300000000000011</v>
      </c>
      <c r="M199" s="3">
        <f t="shared" si="43"/>
        <v>-0.200000000000003</v>
      </c>
      <c r="N199" s="3">
        <v>98.5</v>
      </c>
      <c r="O199" s="3">
        <v>9.2</v>
      </c>
      <c r="P199" s="3">
        <v>8.8</v>
      </c>
      <c r="Q199" s="5">
        <f t="shared" si="34"/>
        <v>1</v>
      </c>
      <c r="R199" s="5">
        <f t="shared" si="35"/>
        <v>1</v>
      </c>
      <c r="S199" s="5">
        <f t="shared" si="36"/>
        <v>1</v>
      </c>
      <c r="T199" s="5">
        <f t="shared" si="37"/>
        <v>1</v>
      </c>
    </row>
    <row r="200" spans="1:20">
      <c r="A200" t="s">
        <v>251</v>
      </c>
      <c r="B200" s="3">
        <v>106.77</v>
      </c>
      <c r="C200" s="3">
        <v>6.1984</v>
      </c>
      <c r="D200" s="3">
        <f t="shared" si="33"/>
        <v>661.803168</v>
      </c>
      <c r="E200" s="3">
        <f t="shared" si="38"/>
        <v>-4.60345725307878</v>
      </c>
      <c r="F200" s="3">
        <f t="shared" si="39"/>
        <v>-0.518144211768221</v>
      </c>
      <c r="G200" s="3">
        <f t="shared" si="40"/>
        <v>-5.12160146484699</v>
      </c>
      <c r="H200" s="6">
        <v>99</v>
      </c>
      <c r="I200" s="6">
        <v>99.1</v>
      </c>
      <c r="J200" s="6">
        <v>102.3</v>
      </c>
      <c r="K200" s="3">
        <f t="shared" si="41"/>
        <v>0.299999999999997</v>
      </c>
      <c r="L200" s="3">
        <f t="shared" si="42"/>
        <v>0.199999999999989</v>
      </c>
      <c r="M200" s="3">
        <f t="shared" si="43"/>
        <v>0</v>
      </c>
      <c r="N200" s="3">
        <v>98.9</v>
      </c>
      <c r="O200" s="3">
        <v>9</v>
      </c>
      <c r="P200" s="3">
        <v>8.8</v>
      </c>
      <c r="Q200" s="5">
        <f t="shared" si="34"/>
        <v>1</v>
      </c>
      <c r="R200" s="5">
        <f t="shared" si="35"/>
        <v>1</v>
      </c>
      <c r="S200" s="5">
        <f t="shared" si="36"/>
        <v>1</v>
      </c>
      <c r="T200" s="5">
        <f t="shared" si="37"/>
        <v>1</v>
      </c>
    </row>
    <row r="201" spans="1:20">
      <c r="A201" t="s">
        <v>252</v>
      </c>
      <c r="B201" s="3">
        <v>101.61</v>
      </c>
      <c r="C201" s="3">
        <v>6.1541</v>
      </c>
      <c r="D201" s="3">
        <f t="shared" si="33"/>
        <v>625.318101</v>
      </c>
      <c r="E201" s="3">
        <f t="shared" si="38"/>
        <v>-4.95350326924209</v>
      </c>
      <c r="F201" s="3">
        <f t="shared" si="39"/>
        <v>-0.717266786895273</v>
      </c>
      <c r="G201" s="3">
        <f t="shared" si="40"/>
        <v>-5.67077005613738</v>
      </c>
      <c r="H201" s="6">
        <v>98.4</v>
      </c>
      <c r="I201" s="6">
        <v>98.8</v>
      </c>
      <c r="J201" s="6">
        <v>102</v>
      </c>
      <c r="K201" s="3">
        <f t="shared" si="41"/>
        <v>-0.599999999999994</v>
      </c>
      <c r="L201" s="3">
        <f t="shared" si="42"/>
        <v>-0.299999999999997</v>
      </c>
      <c r="M201" s="3">
        <f t="shared" si="43"/>
        <v>-0.299999999999997</v>
      </c>
      <c r="N201" s="3">
        <v>98.6</v>
      </c>
      <c r="O201" s="3">
        <v>6.9</v>
      </c>
      <c r="P201" s="3">
        <v>8.5</v>
      </c>
      <c r="Q201" s="5">
        <f t="shared" si="34"/>
        <v>1</v>
      </c>
      <c r="R201" s="5">
        <f t="shared" si="35"/>
        <v>1</v>
      </c>
      <c r="S201" s="5">
        <f t="shared" si="36"/>
        <v>1</v>
      </c>
      <c r="T201" s="5">
        <f t="shared" si="37"/>
        <v>1</v>
      </c>
    </row>
    <row r="202" spans="1:20">
      <c r="A202" t="s">
        <v>253</v>
      </c>
      <c r="B202" s="3">
        <v>97.09</v>
      </c>
      <c r="C202" s="3">
        <v>6.1382</v>
      </c>
      <c r="D202" s="3">
        <f t="shared" si="33"/>
        <v>595.957838</v>
      </c>
      <c r="E202" s="3">
        <f t="shared" si="38"/>
        <v>-4.55035721157365</v>
      </c>
      <c r="F202" s="3">
        <f t="shared" si="39"/>
        <v>-0.25869867913347</v>
      </c>
      <c r="G202" s="3">
        <f t="shared" si="40"/>
        <v>-4.80905589070712</v>
      </c>
      <c r="H202" s="6">
        <v>97.2</v>
      </c>
      <c r="I202" s="6">
        <v>98.2</v>
      </c>
      <c r="J202" s="6">
        <v>101.6</v>
      </c>
      <c r="K202" s="3">
        <f t="shared" si="41"/>
        <v>-1.2</v>
      </c>
      <c r="L202" s="3">
        <f t="shared" si="42"/>
        <v>-0.599999999999994</v>
      </c>
      <c r="M202" s="3">
        <f t="shared" si="43"/>
        <v>-0.400000000000006</v>
      </c>
      <c r="N202" s="3">
        <v>98.1</v>
      </c>
      <c r="O202" s="3">
        <v>8</v>
      </c>
      <c r="P202" s="3">
        <v>8.5</v>
      </c>
      <c r="Q202" s="5">
        <f t="shared" si="34"/>
        <v>1</v>
      </c>
      <c r="R202" s="5">
        <f t="shared" si="35"/>
        <v>1</v>
      </c>
      <c r="S202" s="5">
        <f t="shared" si="36"/>
        <v>1</v>
      </c>
      <c r="T202" s="5">
        <f t="shared" si="37"/>
        <v>1</v>
      </c>
    </row>
    <row r="203" spans="1:20">
      <c r="A203" t="s">
        <v>254</v>
      </c>
      <c r="B203" s="3">
        <v>87.43</v>
      </c>
      <c r="C203" s="3">
        <v>6.1251</v>
      </c>
      <c r="D203" s="3">
        <f t="shared" si="33"/>
        <v>535.517493</v>
      </c>
      <c r="E203" s="3">
        <f t="shared" si="38"/>
        <v>-10.4799910189254</v>
      </c>
      <c r="F203" s="3">
        <f t="shared" si="39"/>
        <v>-0.213645674212575</v>
      </c>
      <c r="G203" s="3">
        <f t="shared" si="40"/>
        <v>-10.693636693138</v>
      </c>
      <c r="H203" s="6">
        <v>96.2</v>
      </c>
      <c r="I203" s="6">
        <v>97.8</v>
      </c>
      <c r="J203" s="6">
        <v>101.6</v>
      </c>
      <c r="K203" s="3">
        <f t="shared" si="41"/>
        <v>-1</v>
      </c>
      <c r="L203" s="3">
        <f t="shared" si="42"/>
        <v>-0.400000000000006</v>
      </c>
      <c r="M203" s="3">
        <f t="shared" si="43"/>
        <v>0</v>
      </c>
      <c r="N203" s="3">
        <v>97.5</v>
      </c>
      <c r="O203" s="3">
        <v>7.7</v>
      </c>
      <c r="P203" s="3">
        <v>8.4</v>
      </c>
      <c r="Q203" s="5">
        <f t="shared" si="34"/>
        <v>1</v>
      </c>
      <c r="R203" s="5">
        <f t="shared" si="35"/>
        <v>1</v>
      </c>
      <c r="S203" s="5">
        <f t="shared" si="36"/>
        <v>1</v>
      </c>
      <c r="T203" s="5">
        <f t="shared" si="37"/>
        <v>1</v>
      </c>
    </row>
    <row r="204" spans="1:20">
      <c r="A204" t="s">
        <v>255</v>
      </c>
      <c r="B204" s="3">
        <v>79.44</v>
      </c>
      <c r="C204" s="3">
        <v>6.1249</v>
      </c>
      <c r="D204" s="3">
        <f t="shared" si="33"/>
        <v>486.562056</v>
      </c>
      <c r="E204" s="3">
        <f t="shared" si="38"/>
        <v>-9.58364534558826</v>
      </c>
      <c r="F204" s="3">
        <f t="shared" si="39"/>
        <v>-0.00326530612273027</v>
      </c>
      <c r="G204" s="3">
        <f t="shared" si="40"/>
        <v>-9.586910651711</v>
      </c>
      <c r="H204" s="6">
        <v>94.8</v>
      </c>
      <c r="I204" s="6">
        <v>97.3</v>
      </c>
      <c r="J204" s="6">
        <v>101.4</v>
      </c>
      <c r="K204" s="3">
        <f t="shared" si="41"/>
        <v>-1.40000000000001</v>
      </c>
      <c r="L204" s="3">
        <f t="shared" si="42"/>
        <v>-0.5</v>
      </c>
      <c r="M204" s="3">
        <f t="shared" si="43"/>
        <v>-0.199999999999989</v>
      </c>
      <c r="N204" s="3">
        <v>96.8</v>
      </c>
      <c r="O204" s="3">
        <v>7.2</v>
      </c>
      <c r="P204" s="3">
        <v>8.3</v>
      </c>
      <c r="Q204" s="5">
        <f t="shared" si="34"/>
        <v>1</v>
      </c>
      <c r="R204" s="5">
        <f t="shared" si="35"/>
        <v>1</v>
      </c>
      <c r="S204" s="5">
        <f t="shared" si="36"/>
        <v>1</v>
      </c>
      <c r="T204" s="5">
        <f t="shared" si="37"/>
        <v>1</v>
      </c>
    </row>
    <row r="205" spans="1:20">
      <c r="A205" t="s">
        <v>256</v>
      </c>
      <c r="B205" s="3">
        <v>62.34</v>
      </c>
      <c r="C205" s="3">
        <v>6.1886</v>
      </c>
      <c r="D205" s="3">
        <f t="shared" si="33"/>
        <v>385.797324</v>
      </c>
      <c r="E205" s="3">
        <f t="shared" si="38"/>
        <v>-24.2398745397726</v>
      </c>
      <c r="F205" s="3">
        <f t="shared" si="39"/>
        <v>1.03464601050908</v>
      </c>
      <c r="G205" s="3">
        <f t="shared" si="40"/>
        <v>-23.2052285292635</v>
      </c>
      <c r="H205" s="6">
        <v>93</v>
      </c>
      <c r="I205" s="6">
        <v>96.7</v>
      </c>
      <c r="J205" s="6">
        <v>101.5</v>
      </c>
      <c r="K205" s="3">
        <f t="shared" si="41"/>
        <v>-1.8</v>
      </c>
      <c r="L205" s="3">
        <f t="shared" si="42"/>
        <v>-0.599999999999994</v>
      </c>
      <c r="M205" s="3">
        <f t="shared" si="43"/>
        <v>0.0999999999999943</v>
      </c>
      <c r="N205" s="3">
        <v>96</v>
      </c>
      <c r="O205" s="3">
        <v>7.9</v>
      </c>
      <c r="P205" s="3">
        <v>8.3</v>
      </c>
      <c r="Q205" s="5">
        <f t="shared" si="34"/>
        <v>1</v>
      </c>
      <c r="R205" s="5">
        <f t="shared" si="35"/>
        <v>1</v>
      </c>
      <c r="S205" s="5">
        <f t="shared" si="36"/>
        <v>1</v>
      </c>
      <c r="T205" s="5">
        <f t="shared" si="37"/>
        <v>1</v>
      </c>
    </row>
    <row r="206" spans="1:20">
      <c r="A206" t="s">
        <v>257</v>
      </c>
      <c r="B206" s="3">
        <v>47.76</v>
      </c>
      <c r="C206" s="3">
        <v>6.2181</v>
      </c>
      <c r="D206" s="3">
        <f t="shared" si="33"/>
        <v>296.976456</v>
      </c>
      <c r="E206" s="3">
        <f t="shared" si="38"/>
        <v>-26.6414805254844</v>
      </c>
      <c r="F206" s="3">
        <f t="shared" si="39"/>
        <v>0.475550397684157</v>
      </c>
      <c r="G206" s="3">
        <f t="shared" si="40"/>
        <v>-26.1659301278003</v>
      </c>
      <c r="H206" s="6">
        <v>90.1</v>
      </c>
      <c r="I206" s="6">
        <v>95.7</v>
      </c>
      <c r="J206" s="6">
        <v>100.8</v>
      </c>
      <c r="K206" s="3">
        <f t="shared" si="41"/>
        <v>-2.90000000000001</v>
      </c>
      <c r="L206" s="3">
        <f t="shared" si="42"/>
        <v>-1</v>
      </c>
      <c r="M206" s="3">
        <f t="shared" si="43"/>
        <v>-0.700000000000003</v>
      </c>
      <c r="N206" s="3">
        <v>94.8</v>
      </c>
      <c r="O206" s="3"/>
      <c r="P206" s="3"/>
      <c r="Q206" s="5">
        <f t="shared" si="34"/>
        <v>1</v>
      </c>
      <c r="R206" s="5">
        <f t="shared" si="35"/>
        <v>1</v>
      </c>
      <c r="S206" s="5">
        <f t="shared" si="36"/>
        <v>1</v>
      </c>
      <c r="T206" s="5">
        <f t="shared" si="37"/>
        <v>1</v>
      </c>
    </row>
    <row r="207" spans="1:20">
      <c r="A207" t="s">
        <v>258</v>
      </c>
      <c r="B207" s="3">
        <v>58.1</v>
      </c>
      <c r="C207" s="3">
        <v>6.2518</v>
      </c>
      <c r="D207" s="3">
        <f t="shared" si="33"/>
        <v>363.22958</v>
      </c>
      <c r="E207" s="3">
        <f t="shared" si="38"/>
        <v>19.5977194773519</v>
      </c>
      <c r="F207" s="3">
        <f t="shared" si="39"/>
        <v>0.540502843543965</v>
      </c>
      <c r="G207" s="3">
        <f t="shared" si="40"/>
        <v>20.1382223208958</v>
      </c>
      <c r="H207" s="6">
        <v>88</v>
      </c>
      <c r="I207" s="6">
        <v>95.2</v>
      </c>
      <c r="J207" s="6">
        <v>101.4</v>
      </c>
      <c r="K207" s="3">
        <f t="shared" si="41"/>
        <v>-2.09999999999999</v>
      </c>
      <c r="L207" s="3">
        <f t="shared" si="42"/>
        <v>-0.5</v>
      </c>
      <c r="M207" s="3">
        <f t="shared" si="43"/>
        <v>0.600000000000009</v>
      </c>
      <c r="N207" s="3">
        <v>94.1</v>
      </c>
      <c r="O207" s="3"/>
      <c r="P207" s="3">
        <v>6.8</v>
      </c>
      <c r="Q207" s="5">
        <f t="shared" si="34"/>
        <v>1</v>
      </c>
      <c r="R207" s="5">
        <f t="shared" si="35"/>
        <v>1</v>
      </c>
      <c r="S207" s="5">
        <f t="shared" si="36"/>
        <v>1</v>
      </c>
      <c r="T207" s="5">
        <f t="shared" si="37"/>
        <v>1</v>
      </c>
    </row>
    <row r="208" spans="1:20">
      <c r="A208" t="s">
        <v>259</v>
      </c>
      <c r="B208" s="3">
        <v>55.89</v>
      </c>
      <c r="C208" s="3">
        <v>6.2386</v>
      </c>
      <c r="D208" s="3">
        <f t="shared" si="33"/>
        <v>348.675354</v>
      </c>
      <c r="E208" s="3">
        <f t="shared" si="38"/>
        <v>-3.87801905762588</v>
      </c>
      <c r="F208" s="3">
        <f t="shared" si="39"/>
        <v>-0.211362404953361</v>
      </c>
      <c r="G208" s="3">
        <f t="shared" si="40"/>
        <v>-4.08938146257922</v>
      </c>
      <c r="H208" s="6">
        <v>88.5</v>
      </c>
      <c r="I208" s="6">
        <v>95.4</v>
      </c>
      <c r="J208" s="6">
        <v>101.4</v>
      </c>
      <c r="K208" s="3">
        <f t="shared" si="41"/>
        <v>0.5</v>
      </c>
      <c r="L208" s="3">
        <f t="shared" si="42"/>
        <v>0.200000000000003</v>
      </c>
      <c r="M208" s="3">
        <f t="shared" si="43"/>
        <v>0</v>
      </c>
      <c r="N208" s="3">
        <v>94.3</v>
      </c>
      <c r="O208" s="3">
        <v>5.6</v>
      </c>
      <c r="P208" s="3">
        <v>6.4</v>
      </c>
      <c r="Q208" s="5">
        <f t="shared" si="34"/>
        <v>1</v>
      </c>
      <c r="R208" s="5">
        <f t="shared" si="35"/>
        <v>1</v>
      </c>
      <c r="S208" s="5">
        <f t="shared" si="36"/>
        <v>1</v>
      </c>
      <c r="T208" s="5">
        <f t="shared" si="37"/>
        <v>1</v>
      </c>
    </row>
    <row r="209" spans="1:20">
      <c r="A209" t="s">
        <v>260</v>
      </c>
      <c r="B209" s="3">
        <v>59.52</v>
      </c>
      <c r="C209" s="3">
        <v>6.201</v>
      </c>
      <c r="D209" s="3">
        <f t="shared" si="33"/>
        <v>369.08352</v>
      </c>
      <c r="E209" s="3">
        <f t="shared" si="38"/>
        <v>6.29269172432297</v>
      </c>
      <c r="F209" s="3">
        <f t="shared" si="39"/>
        <v>-0.604522886699665</v>
      </c>
      <c r="G209" s="3">
        <f t="shared" si="40"/>
        <v>5.68816883762331</v>
      </c>
      <c r="H209" s="6">
        <v>88.8</v>
      </c>
      <c r="I209" s="6">
        <v>95.4</v>
      </c>
      <c r="J209" s="6">
        <v>101.5</v>
      </c>
      <c r="K209" s="3">
        <f t="shared" si="41"/>
        <v>0.299999999999997</v>
      </c>
      <c r="L209" s="3">
        <f t="shared" si="42"/>
        <v>0</v>
      </c>
      <c r="M209" s="3">
        <f t="shared" si="43"/>
        <v>0.0999999999999943</v>
      </c>
      <c r="N209" s="3">
        <v>94.5</v>
      </c>
      <c r="O209" s="3">
        <v>5.9</v>
      </c>
      <c r="P209" s="3">
        <v>6.2</v>
      </c>
      <c r="Q209" s="5">
        <f t="shared" si="34"/>
        <v>1</v>
      </c>
      <c r="R209" s="5">
        <f t="shared" si="35"/>
        <v>1</v>
      </c>
      <c r="S209" s="5">
        <f t="shared" si="36"/>
        <v>1</v>
      </c>
      <c r="T209" s="5">
        <f t="shared" si="37"/>
        <v>1</v>
      </c>
    </row>
    <row r="210" spans="1:20">
      <c r="A210" t="s">
        <v>261</v>
      </c>
      <c r="B210" s="3">
        <v>64.08</v>
      </c>
      <c r="C210" s="3">
        <v>6.2035</v>
      </c>
      <c r="D210" s="3">
        <f t="shared" si="33"/>
        <v>397.52028</v>
      </c>
      <c r="E210" s="3">
        <f t="shared" si="38"/>
        <v>7.38199122352672</v>
      </c>
      <c r="F210" s="3">
        <f t="shared" si="39"/>
        <v>0.0403079533048262</v>
      </c>
      <c r="G210" s="3">
        <f t="shared" si="40"/>
        <v>7.42229917683156</v>
      </c>
      <c r="H210" s="6">
        <v>89.1</v>
      </c>
      <c r="I210" s="6">
        <v>95.4</v>
      </c>
      <c r="J210" s="6">
        <v>101.2</v>
      </c>
      <c r="K210" s="3">
        <f t="shared" si="41"/>
        <v>0.299999999999997</v>
      </c>
      <c r="L210" s="3">
        <f t="shared" si="42"/>
        <v>0</v>
      </c>
      <c r="M210" s="3">
        <f t="shared" si="43"/>
        <v>-0.299999999999997</v>
      </c>
      <c r="N210" s="3">
        <v>94.5</v>
      </c>
      <c r="O210" s="3">
        <v>6.1</v>
      </c>
      <c r="P210" s="3">
        <v>6.2</v>
      </c>
      <c r="Q210" s="5">
        <f t="shared" si="34"/>
        <v>1</v>
      </c>
      <c r="R210" s="5">
        <f t="shared" si="35"/>
        <v>1</v>
      </c>
      <c r="S210" s="5">
        <f t="shared" si="36"/>
        <v>1</v>
      </c>
      <c r="T210" s="5">
        <f t="shared" si="37"/>
        <v>1</v>
      </c>
    </row>
    <row r="211" spans="1:20">
      <c r="A211" t="s">
        <v>262</v>
      </c>
      <c r="B211" s="3">
        <v>61.48</v>
      </c>
      <c r="C211" s="3">
        <v>6.2052</v>
      </c>
      <c r="D211" s="3">
        <f t="shared" si="33"/>
        <v>381.495696</v>
      </c>
      <c r="E211" s="3">
        <f t="shared" si="38"/>
        <v>-4.14203840897087</v>
      </c>
      <c r="F211" s="3">
        <f t="shared" si="39"/>
        <v>0.027400130724982</v>
      </c>
      <c r="G211" s="3">
        <f t="shared" si="40"/>
        <v>-4.1146382782459</v>
      </c>
      <c r="H211" s="6">
        <v>89.4</v>
      </c>
      <c r="I211" s="6">
        <v>95.2</v>
      </c>
      <c r="J211" s="6">
        <v>101.4</v>
      </c>
      <c r="K211" s="3">
        <f t="shared" si="41"/>
        <v>0.300000000000011</v>
      </c>
      <c r="L211" s="3">
        <f t="shared" si="42"/>
        <v>-0.200000000000003</v>
      </c>
      <c r="M211" s="3">
        <f t="shared" si="43"/>
        <v>0.200000000000003</v>
      </c>
      <c r="N211" s="3">
        <v>94.4</v>
      </c>
      <c r="O211" s="3">
        <v>6.8</v>
      </c>
      <c r="P211" s="3">
        <v>6.3</v>
      </c>
      <c r="Q211" s="5">
        <f t="shared" si="34"/>
        <v>1</v>
      </c>
      <c r="R211" s="5">
        <f t="shared" si="35"/>
        <v>1</v>
      </c>
      <c r="S211" s="5">
        <f t="shared" si="36"/>
        <v>1</v>
      </c>
      <c r="T211" s="5">
        <f t="shared" si="37"/>
        <v>1</v>
      </c>
    </row>
    <row r="212" spans="1:20">
      <c r="A212" t="s">
        <v>263</v>
      </c>
      <c r="B212" s="3">
        <v>56.56</v>
      </c>
      <c r="C212" s="3">
        <v>6.2085</v>
      </c>
      <c r="D212" s="3">
        <f t="shared" si="33"/>
        <v>351.15276</v>
      </c>
      <c r="E212" s="3">
        <f t="shared" si="38"/>
        <v>-8.34098970820777</v>
      </c>
      <c r="F212" s="3">
        <f t="shared" si="39"/>
        <v>0.0531670666720818</v>
      </c>
      <c r="G212" s="3">
        <f t="shared" si="40"/>
        <v>-8.28782264153569</v>
      </c>
      <c r="H212" s="6">
        <v>88.9</v>
      </c>
      <c r="I212" s="6">
        <v>94.6</v>
      </c>
      <c r="J212" s="6">
        <v>101.6</v>
      </c>
      <c r="K212" s="3">
        <f t="shared" si="41"/>
        <v>-0.5</v>
      </c>
      <c r="L212" s="3">
        <f t="shared" si="42"/>
        <v>-0.600000000000009</v>
      </c>
      <c r="M212" s="3">
        <f t="shared" si="43"/>
        <v>0.199999999999989</v>
      </c>
      <c r="N212" s="3">
        <v>93.9</v>
      </c>
      <c r="O212" s="3">
        <v>6</v>
      </c>
      <c r="P212" s="3">
        <v>6.3</v>
      </c>
      <c r="Q212" s="5">
        <f t="shared" si="34"/>
        <v>1</v>
      </c>
      <c r="R212" s="5">
        <f t="shared" si="35"/>
        <v>1</v>
      </c>
      <c r="S212" s="5">
        <f t="shared" si="36"/>
        <v>1</v>
      </c>
      <c r="T212" s="5">
        <f t="shared" si="37"/>
        <v>1</v>
      </c>
    </row>
    <row r="213" spans="1:20">
      <c r="A213" t="s">
        <v>264</v>
      </c>
      <c r="B213" s="3">
        <v>46.52</v>
      </c>
      <c r="C213" s="3">
        <v>6.3383</v>
      </c>
      <c r="D213" s="3">
        <f t="shared" si="33"/>
        <v>294.857716</v>
      </c>
      <c r="E213" s="3">
        <f t="shared" si="38"/>
        <v>-19.5419693937854</v>
      </c>
      <c r="F213" s="3">
        <f t="shared" si="39"/>
        <v>2.0691272817477</v>
      </c>
      <c r="G213" s="3">
        <f t="shared" si="40"/>
        <v>-17.4728421120376</v>
      </c>
      <c r="H213" s="6">
        <v>88.2</v>
      </c>
      <c r="I213" s="6">
        <v>94.1</v>
      </c>
      <c r="J213" s="6">
        <v>102</v>
      </c>
      <c r="K213" s="3">
        <f t="shared" si="41"/>
        <v>-0.700000000000003</v>
      </c>
      <c r="L213" s="3">
        <f t="shared" si="42"/>
        <v>-0.5</v>
      </c>
      <c r="M213" s="3">
        <f t="shared" si="43"/>
        <v>0.400000000000006</v>
      </c>
      <c r="N213" s="3">
        <v>93.4</v>
      </c>
      <c r="O213" s="3">
        <v>6.1</v>
      </c>
      <c r="P213" s="3">
        <v>6.3</v>
      </c>
      <c r="Q213" s="5">
        <f t="shared" si="34"/>
        <v>1</v>
      </c>
      <c r="R213" s="5">
        <f t="shared" si="35"/>
        <v>1</v>
      </c>
      <c r="S213" s="5">
        <f t="shared" si="36"/>
        <v>1</v>
      </c>
      <c r="T213" s="5">
        <f t="shared" si="37"/>
        <v>1</v>
      </c>
    </row>
    <row r="214" spans="1:20">
      <c r="A214" t="s">
        <v>265</v>
      </c>
      <c r="B214" s="3">
        <v>47.62</v>
      </c>
      <c r="C214" s="3">
        <v>6.3676</v>
      </c>
      <c r="D214" s="3">
        <f t="shared" si="33"/>
        <v>303.225112</v>
      </c>
      <c r="E214" s="3">
        <f t="shared" si="38"/>
        <v>2.33705134082529</v>
      </c>
      <c r="F214" s="3">
        <f t="shared" si="39"/>
        <v>0.461203880660706</v>
      </c>
      <c r="G214" s="3">
        <f t="shared" si="40"/>
        <v>2.798255221486</v>
      </c>
      <c r="H214" s="6">
        <v>87.7</v>
      </c>
      <c r="I214" s="6">
        <v>94.1</v>
      </c>
      <c r="J214" s="6">
        <v>101.6</v>
      </c>
      <c r="K214" s="3">
        <f t="shared" si="41"/>
        <v>-0.5</v>
      </c>
      <c r="L214" s="3">
        <f t="shared" si="42"/>
        <v>0</v>
      </c>
      <c r="M214" s="3">
        <f t="shared" si="43"/>
        <v>-0.400000000000006</v>
      </c>
      <c r="N214" s="3">
        <v>93.2</v>
      </c>
      <c r="O214" s="3">
        <v>5.7</v>
      </c>
      <c r="P214" s="3">
        <v>6.2</v>
      </c>
      <c r="Q214" s="5">
        <f t="shared" si="34"/>
        <v>1</v>
      </c>
      <c r="R214" s="5">
        <f t="shared" si="35"/>
        <v>1</v>
      </c>
      <c r="S214" s="5">
        <f t="shared" si="36"/>
        <v>1</v>
      </c>
      <c r="T214" s="5">
        <f t="shared" si="37"/>
        <v>1</v>
      </c>
    </row>
    <row r="215" spans="1:20">
      <c r="A215" t="s">
        <v>266</v>
      </c>
      <c r="B215" s="3">
        <v>48.43</v>
      </c>
      <c r="C215" s="3">
        <v>6.3505</v>
      </c>
      <c r="D215" s="3">
        <f t="shared" si="33"/>
        <v>307.554715</v>
      </c>
      <c r="E215" s="3">
        <f t="shared" si="38"/>
        <v>1.68666153564211</v>
      </c>
      <c r="F215" s="3">
        <f t="shared" si="39"/>
        <v>-0.268908253660674</v>
      </c>
      <c r="G215" s="3">
        <f t="shared" si="40"/>
        <v>1.41775328198142</v>
      </c>
      <c r="H215" s="6">
        <v>87.6</v>
      </c>
      <c r="I215" s="6">
        <v>94.1</v>
      </c>
      <c r="J215" s="6">
        <v>101.3</v>
      </c>
      <c r="K215" s="3">
        <f t="shared" si="41"/>
        <v>-0.100000000000009</v>
      </c>
      <c r="L215" s="3">
        <f t="shared" si="42"/>
        <v>0</v>
      </c>
      <c r="M215" s="3">
        <f t="shared" si="43"/>
        <v>-0.299999999999997</v>
      </c>
      <c r="N215" s="3">
        <v>93.1</v>
      </c>
      <c r="O215" s="3">
        <v>5.6</v>
      </c>
      <c r="P215" s="3">
        <v>6.1</v>
      </c>
      <c r="Q215" s="5">
        <f t="shared" si="34"/>
        <v>1</v>
      </c>
      <c r="R215" s="5">
        <f t="shared" si="35"/>
        <v>1</v>
      </c>
      <c r="S215" s="5">
        <f t="shared" si="36"/>
        <v>1</v>
      </c>
      <c r="T215" s="5">
        <f t="shared" si="37"/>
        <v>1</v>
      </c>
    </row>
    <row r="216" spans="1:20">
      <c r="A216" t="s">
        <v>267</v>
      </c>
      <c r="B216" s="3">
        <v>44.27</v>
      </c>
      <c r="C216" s="3">
        <v>6.364</v>
      </c>
      <c r="D216" s="3">
        <f t="shared" si="33"/>
        <v>281.73428</v>
      </c>
      <c r="E216" s="3">
        <f t="shared" si="38"/>
        <v>-8.9812209671088</v>
      </c>
      <c r="F216" s="3">
        <f t="shared" si="39"/>
        <v>0.212356051330325</v>
      </c>
      <c r="G216" s="3">
        <f t="shared" si="40"/>
        <v>-8.76886491577847</v>
      </c>
      <c r="H216" s="6">
        <v>88.5</v>
      </c>
      <c r="I216" s="6">
        <v>94.1</v>
      </c>
      <c r="J216" s="6">
        <v>101.5</v>
      </c>
      <c r="K216" s="3">
        <f t="shared" si="41"/>
        <v>0.900000000000006</v>
      </c>
      <c r="L216" s="3">
        <f t="shared" si="42"/>
        <v>0</v>
      </c>
      <c r="M216" s="3">
        <f t="shared" si="43"/>
        <v>0.200000000000003</v>
      </c>
      <c r="N216" s="3">
        <v>93.1</v>
      </c>
      <c r="O216" s="3">
        <v>6.2</v>
      </c>
      <c r="P216" s="3">
        <v>6.1</v>
      </c>
      <c r="Q216" s="5">
        <f t="shared" si="34"/>
        <v>1</v>
      </c>
      <c r="R216" s="5">
        <f t="shared" si="35"/>
        <v>1</v>
      </c>
      <c r="S216" s="5">
        <f t="shared" si="36"/>
        <v>1</v>
      </c>
      <c r="T216" s="5">
        <f t="shared" si="37"/>
        <v>1</v>
      </c>
    </row>
    <row r="217" spans="1:20">
      <c r="A217" t="s">
        <v>268</v>
      </c>
      <c r="B217" s="3">
        <v>38.01</v>
      </c>
      <c r="C217" s="3">
        <v>6.4491</v>
      </c>
      <c r="D217" s="3">
        <f t="shared" si="33"/>
        <v>245.130291</v>
      </c>
      <c r="E217" s="3">
        <f t="shared" si="38"/>
        <v>-15.2457963742892</v>
      </c>
      <c r="F217" s="3">
        <f t="shared" si="39"/>
        <v>1.32834757125221</v>
      </c>
      <c r="G217" s="3">
        <f t="shared" si="40"/>
        <v>-13.917448803037</v>
      </c>
      <c r="H217" s="6">
        <v>89</v>
      </c>
      <c r="I217" s="6">
        <v>94.1</v>
      </c>
      <c r="J217" s="6">
        <v>101.6</v>
      </c>
      <c r="K217" s="3">
        <f t="shared" si="41"/>
        <v>0.5</v>
      </c>
      <c r="L217" s="3">
        <f t="shared" si="42"/>
        <v>0</v>
      </c>
      <c r="M217" s="3">
        <f t="shared" si="43"/>
        <v>0.0999999999999943</v>
      </c>
      <c r="N217" s="3">
        <v>93.2</v>
      </c>
      <c r="O217" s="3">
        <v>5.9</v>
      </c>
      <c r="P217" s="3">
        <v>6.1</v>
      </c>
      <c r="Q217" s="5">
        <f t="shared" si="34"/>
        <v>1</v>
      </c>
      <c r="R217" s="5">
        <f t="shared" si="35"/>
        <v>1</v>
      </c>
      <c r="S217" s="5">
        <f t="shared" si="36"/>
        <v>1</v>
      </c>
      <c r="T217" s="5">
        <f t="shared" si="37"/>
        <v>1</v>
      </c>
    </row>
    <row r="218" spans="1:20">
      <c r="A218" t="s">
        <v>269</v>
      </c>
      <c r="B218" s="3">
        <v>30.7</v>
      </c>
      <c r="C218" s="3">
        <v>6.5726</v>
      </c>
      <c r="D218" s="3">
        <f t="shared" si="33"/>
        <v>201.77882</v>
      </c>
      <c r="E218" s="3">
        <f t="shared" si="38"/>
        <v>-21.3586628408006</v>
      </c>
      <c r="F218" s="3">
        <f t="shared" si="39"/>
        <v>1.89689062287035</v>
      </c>
      <c r="G218" s="3">
        <f t="shared" si="40"/>
        <v>-19.4617722179302</v>
      </c>
      <c r="H218" s="6">
        <v>89.3</v>
      </c>
      <c r="I218" s="6">
        <v>94.7</v>
      </c>
      <c r="J218" s="6">
        <v>101.8</v>
      </c>
      <c r="K218" s="3">
        <f t="shared" si="41"/>
        <v>0.299999999999997</v>
      </c>
      <c r="L218" s="3">
        <f t="shared" si="42"/>
        <v>0.600000000000009</v>
      </c>
      <c r="M218" s="3">
        <f t="shared" si="43"/>
        <v>0.200000000000003</v>
      </c>
      <c r="N218" s="3">
        <v>93.7</v>
      </c>
      <c r="O218" s="3"/>
      <c r="P218" s="3"/>
      <c r="Q218" s="5">
        <f t="shared" si="34"/>
        <v>1</v>
      </c>
      <c r="R218" s="5">
        <f t="shared" si="35"/>
        <v>1</v>
      </c>
      <c r="S218" s="5">
        <f t="shared" si="36"/>
        <v>1</v>
      </c>
      <c r="T218" s="5">
        <f t="shared" si="37"/>
        <v>1</v>
      </c>
    </row>
    <row r="219" spans="1:20">
      <c r="A219" t="s">
        <v>270</v>
      </c>
      <c r="B219" s="3">
        <v>32.18</v>
      </c>
      <c r="C219" s="3">
        <v>6.5501</v>
      </c>
      <c r="D219" s="3">
        <f t="shared" si="33"/>
        <v>210.782218</v>
      </c>
      <c r="E219" s="3">
        <f t="shared" si="38"/>
        <v>4.70824869710857</v>
      </c>
      <c r="F219" s="3">
        <f t="shared" si="39"/>
        <v>-0.342917571057521</v>
      </c>
      <c r="G219" s="3">
        <f t="shared" si="40"/>
        <v>4.36533112605104</v>
      </c>
      <c r="H219" s="6">
        <v>90</v>
      </c>
      <c r="I219" s="6">
        <v>95.1</v>
      </c>
      <c r="J219" s="6">
        <v>102.3</v>
      </c>
      <c r="K219" s="3">
        <f t="shared" si="41"/>
        <v>0.700000000000003</v>
      </c>
      <c r="L219" s="3">
        <f t="shared" si="42"/>
        <v>0.399999999999991</v>
      </c>
      <c r="M219" s="3">
        <f t="shared" si="43"/>
        <v>0.5</v>
      </c>
      <c r="N219" s="3">
        <v>94.2</v>
      </c>
      <c r="O219" s="3"/>
      <c r="P219" s="3">
        <v>5.4</v>
      </c>
      <c r="Q219" s="5">
        <f t="shared" si="34"/>
        <v>1</v>
      </c>
      <c r="R219" s="5">
        <f t="shared" si="35"/>
        <v>1</v>
      </c>
      <c r="S219" s="5">
        <f t="shared" si="36"/>
        <v>1</v>
      </c>
      <c r="T219" s="5">
        <f t="shared" si="37"/>
        <v>1</v>
      </c>
    </row>
    <row r="220" spans="1:20">
      <c r="A220" t="s">
        <v>271</v>
      </c>
      <c r="B220" s="3">
        <v>38.21</v>
      </c>
      <c r="C220" s="3">
        <v>6.5027</v>
      </c>
      <c r="D220" s="3">
        <f t="shared" si="33"/>
        <v>248.468167</v>
      </c>
      <c r="E220" s="3">
        <f t="shared" si="38"/>
        <v>17.1752119894571</v>
      </c>
      <c r="F220" s="3">
        <f t="shared" si="39"/>
        <v>-0.726284143752086</v>
      </c>
      <c r="G220" s="3">
        <f t="shared" si="40"/>
        <v>16.4489278457051</v>
      </c>
      <c r="H220" s="6">
        <v>89.6</v>
      </c>
      <c r="I220" s="6">
        <v>95.7</v>
      </c>
      <c r="J220" s="6">
        <v>102.3</v>
      </c>
      <c r="K220" s="3">
        <f t="shared" si="41"/>
        <v>-0.400000000000006</v>
      </c>
      <c r="L220" s="3">
        <f t="shared" si="42"/>
        <v>0.600000000000009</v>
      </c>
      <c r="M220" s="3">
        <f t="shared" si="43"/>
        <v>0</v>
      </c>
      <c r="N220" s="3">
        <v>94.8</v>
      </c>
      <c r="O220" s="3">
        <v>6.8</v>
      </c>
      <c r="P220" s="3">
        <v>5.8</v>
      </c>
      <c r="Q220" s="5">
        <f t="shared" si="34"/>
        <v>1</v>
      </c>
      <c r="R220" s="5">
        <f t="shared" si="35"/>
        <v>1</v>
      </c>
      <c r="S220" s="5">
        <f t="shared" si="36"/>
        <v>1</v>
      </c>
      <c r="T220" s="5">
        <f t="shared" si="37"/>
        <v>1</v>
      </c>
    </row>
    <row r="221" spans="1:20">
      <c r="A221" t="s">
        <v>272</v>
      </c>
      <c r="B221" s="3">
        <v>41.58</v>
      </c>
      <c r="C221" s="3">
        <v>6.4754</v>
      </c>
      <c r="D221" s="3">
        <f t="shared" si="33"/>
        <v>269.247132</v>
      </c>
      <c r="E221" s="3">
        <f t="shared" si="38"/>
        <v>8.45220209710582</v>
      </c>
      <c r="F221" s="3">
        <f t="shared" si="39"/>
        <v>-0.420709352935488</v>
      </c>
      <c r="G221" s="3">
        <f t="shared" si="40"/>
        <v>8.03149274417033</v>
      </c>
      <c r="H221" s="6">
        <v>90.6</v>
      </c>
      <c r="I221" s="6">
        <v>96.6</v>
      </c>
      <c r="J221" s="6">
        <v>102.3</v>
      </c>
      <c r="K221" s="3">
        <f t="shared" si="41"/>
        <v>1</v>
      </c>
      <c r="L221" s="3">
        <f t="shared" si="42"/>
        <v>0.899999999999991</v>
      </c>
      <c r="M221" s="3">
        <f t="shared" si="43"/>
        <v>0</v>
      </c>
      <c r="N221" s="3">
        <v>95.6</v>
      </c>
      <c r="O221" s="3">
        <v>6</v>
      </c>
      <c r="P221" s="3">
        <v>5.8</v>
      </c>
      <c r="Q221" s="5">
        <f t="shared" si="34"/>
        <v>1</v>
      </c>
      <c r="R221" s="5">
        <f t="shared" si="35"/>
        <v>1</v>
      </c>
      <c r="S221" s="5">
        <f t="shared" si="36"/>
        <v>1</v>
      </c>
      <c r="T221" s="5">
        <f t="shared" si="37"/>
        <v>1</v>
      </c>
    </row>
    <row r="222" spans="1:20">
      <c r="A222" t="s">
        <v>273</v>
      </c>
      <c r="B222" s="3">
        <v>46.74</v>
      </c>
      <c r="C222" s="3">
        <v>6.5259</v>
      </c>
      <c r="D222" s="3">
        <f t="shared" si="33"/>
        <v>305.020566</v>
      </c>
      <c r="E222" s="3">
        <f t="shared" si="38"/>
        <v>11.6981046680845</v>
      </c>
      <c r="F222" s="3">
        <f t="shared" si="39"/>
        <v>0.776849299231417</v>
      </c>
      <c r="G222" s="3">
        <f t="shared" si="40"/>
        <v>12.4749539673159</v>
      </c>
      <c r="H222" s="6">
        <v>91.7</v>
      </c>
      <c r="I222" s="6">
        <v>97.2</v>
      </c>
      <c r="J222" s="6">
        <v>102</v>
      </c>
      <c r="K222" s="3">
        <f t="shared" si="41"/>
        <v>1.10000000000001</v>
      </c>
      <c r="L222" s="3">
        <f t="shared" si="42"/>
        <v>0.600000000000009</v>
      </c>
      <c r="M222" s="3">
        <f t="shared" si="43"/>
        <v>-0.299999999999997</v>
      </c>
      <c r="N222" s="3">
        <v>96.2</v>
      </c>
      <c r="O222" s="3">
        <v>6</v>
      </c>
      <c r="P222" s="3">
        <v>5.9</v>
      </c>
      <c r="Q222" s="5">
        <f t="shared" si="34"/>
        <v>1</v>
      </c>
      <c r="R222" s="5">
        <f t="shared" si="35"/>
        <v>1</v>
      </c>
      <c r="S222" s="5">
        <f t="shared" si="36"/>
        <v>1</v>
      </c>
      <c r="T222" s="5">
        <f t="shared" si="37"/>
        <v>1</v>
      </c>
    </row>
    <row r="223" spans="1:20">
      <c r="A223" t="s">
        <v>274</v>
      </c>
      <c r="B223" s="3">
        <v>48.25</v>
      </c>
      <c r="C223" s="3">
        <v>6.5892</v>
      </c>
      <c r="D223" s="3">
        <f t="shared" si="33"/>
        <v>317.9289</v>
      </c>
      <c r="E223" s="3">
        <f t="shared" si="38"/>
        <v>3.1795498674283</v>
      </c>
      <c r="F223" s="3">
        <f t="shared" si="39"/>
        <v>0.965307035906078</v>
      </c>
      <c r="G223" s="3">
        <f t="shared" si="40"/>
        <v>4.14485690333437</v>
      </c>
      <c r="H223" s="6">
        <v>92.8</v>
      </c>
      <c r="I223" s="6">
        <v>97.4</v>
      </c>
      <c r="J223" s="6">
        <v>101.9</v>
      </c>
      <c r="K223" s="3">
        <f t="shared" si="41"/>
        <v>1.09999999999999</v>
      </c>
      <c r="L223" s="3">
        <f t="shared" si="42"/>
        <v>0.200000000000003</v>
      </c>
      <c r="M223" s="3">
        <f t="shared" si="43"/>
        <v>-0.0999999999999943</v>
      </c>
      <c r="N223" s="3">
        <v>96.6</v>
      </c>
      <c r="O223" s="3">
        <v>6.2</v>
      </c>
      <c r="P223" s="3">
        <v>6</v>
      </c>
      <c r="Q223" s="5">
        <f t="shared" si="34"/>
        <v>1</v>
      </c>
      <c r="R223" s="5">
        <f t="shared" si="35"/>
        <v>1</v>
      </c>
      <c r="S223" s="5">
        <f t="shared" si="36"/>
        <v>1</v>
      </c>
      <c r="T223" s="5">
        <f t="shared" si="37"/>
        <v>1</v>
      </c>
    </row>
    <row r="224" spans="1:20">
      <c r="A224" t="s">
        <v>275</v>
      </c>
      <c r="B224" s="3">
        <v>44.95</v>
      </c>
      <c r="C224" s="3">
        <v>6.6771</v>
      </c>
      <c r="D224" s="3">
        <f t="shared" si="33"/>
        <v>300.135645</v>
      </c>
      <c r="E224" s="3">
        <f t="shared" si="38"/>
        <v>-7.08450668673656</v>
      </c>
      <c r="F224" s="3">
        <f t="shared" si="39"/>
        <v>1.32518164588724</v>
      </c>
      <c r="G224" s="3">
        <f t="shared" si="40"/>
        <v>-5.75932504084932</v>
      </c>
      <c r="H224" s="6">
        <v>93.8</v>
      </c>
      <c r="I224" s="6">
        <v>98.3</v>
      </c>
      <c r="J224" s="6">
        <v>101.8</v>
      </c>
      <c r="K224" s="3">
        <f t="shared" si="41"/>
        <v>1</v>
      </c>
      <c r="L224" s="3">
        <f t="shared" si="42"/>
        <v>0.899999999999991</v>
      </c>
      <c r="M224" s="3">
        <f t="shared" si="43"/>
        <v>-0.100000000000009</v>
      </c>
      <c r="N224" s="3">
        <v>97.4</v>
      </c>
      <c r="O224" s="3">
        <v>6</v>
      </c>
      <c r="P224" s="3">
        <v>6</v>
      </c>
      <c r="Q224" s="5">
        <f t="shared" si="34"/>
        <v>1</v>
      </c>
      <c r="R224" s="5">
        <f t="shared" si="35"/>
        <v>1</v>
      </c>
      <c r="S224" s="5">
        <f t="shared" si="36"/>
        <v>1</v>
      </c>
      <c r="T224" s="5">
        <f t="shared" si="37"/>
        <v>1</v>
      </c>
    </row>
    <row r="225" spans="1:20">
      <c r="A225" t="s">
        <v>276</v>
      </c>
      <c r="B225" s="3">
        <v>45.84</v>
      </c>
      <c r="C225" s="3">
        <v>6.6466</v>
      </c>
      <c r="D225" s="3">
        <f t="shared" si="33"/>
        <v>304.680144</v>
      </c>
      <c r="E225" s="3">
        <f t="shared" si="38"/>
        <v>1.96063114888549</v>
      </c>
      <c r="F225" s="3">
        <f t="shared" si="39"/>
        <v>-0.457831582455249</v>
      </c>
      <c r="G225" s="3">
        <f t="shared" si="40"/>
        <v>1.50279956643025</v>
      </c>
      <c r="H225" s="6">
        <v>95</v>
      </c>
      <c r="I225" s="6">
        <v>99.2</v>
      </c>
      <c r="J225" s="6">
        <v>101.3</v>
      </c>
      <c r="K225" s="3">
        <f t="shared" si="41"/>
        <v>1.2</v>
      </c>
      <c r="L225" s="3">
        <f t="shared" si="42"/>
        <v>0.900000000000006</v>
      </c>
      <c r="M225" s="3">
        <f t="shared" si="43"/>
        <v>-0.5</v>
      </c>
      <c r="N225" s="3">
        <v>98.3</v>
      </c>
      <c r="O225" s="3">
        <v>6.3</v>
      </c>
      <c r="P225" s="3">
        <v>6</v>
      </c>
      <c r="Q225" s="5">
        <f t="shared" si="34"/>
        <v>1</v>
      </c>
      <c r="R225" s="5">
        <f t="shared" si="35"/>
        <v>1</v>
      </c>
      <c r="S225" s="5">
        <f t="shared" si="36"/>
        <v>1</v>
      </c>
      <c r="T225" s="5">
        <f t="shared" si="37"/>
        <v>1</v>
      </c>
    </row>
    <row r="226" spans="1:20">
      <c r="A226" t="s">
        <v>277</v>
      </c>
      <c r="B226" s="3">
        <v>46.57</v>
      </c>
      <c r="C226" s="3">
        <v>6.6702</v>
      </c>
      <c r="D226" s="3">
        <f t="shared" si="33"/>
        <v>310.631214</v>
      </c>
      <c r="E226" s="3">
        <f t="shared" si="38"/>
        <v>1.57994845878015</v>
      </c>
      <c r="F226" s="3">
        <f t="shared" si="39"/>
        <v>0.354439876047727</v>
      </c>
      <c r="G226" s="3">
        <f t="shared" si="40"/>
        <v>1.93438833482787</v>
      </c>
      <c r="H226" s="6">
        <v>98.1</v>
      </c>
      <c r="I226" s="6">
        <v>100.1</v>
      </c>
      <c r="J226" s="6">
        <v>101.9</v>
      </c>
      <c r="K226" s="3">
        <f t="shared" si="41"/>
        <v>3.09999999999999</v>
      </c>
      <c r="L226" s="3">
        <f t="shared" si="42"/>
        <v>0.899999999999991</v>
      </c>
      <c r="M226" s="3">
        <f t="shared" si="43"/>
        <v>0.600000000000009</v>
      </c>
      <c r="N226" s="3">
        <v>99.4</v>
      </c>
      <c r="O226" s="3">
        <v>6.1</v>
      </c>
      <c r="P226" s="3">
        <v>6</v>
      </c>
      <c r="Q226" s="5">
        <f t="shared" si="34"/>
        <v>1</v>
      </c>
      <c r="R226" s="5">
        <f t="shared" si="35"/>
        <v>1</v>
      </c>
      <c r="S226" s="5">
        <f t="shared" si="36"/>
        <v>1</v>
      </c>
      <c r="T226" s="5">
        <f t="shared" si="37"/>
        <v>1</v>
      </c>
    </row>
    <row r="227" spans="1:20">
      <c r="A227" t="s">
        <v>278</v>
      </c>
      <c r="B227" s="3">
        <v>49.52</v>
      </c>
      <c r="C227" s="3">
        <v>6.7303</v>
      </c>
      <c r="D227" s="3">
        <f t="shared" si="33"/>
        <v>333.284456</v>
      </c>
      <c r="E227" s="3">
        <f t="shared" si="38"/>
        <v>6.14200713820549</v>
      </c>
      <c r="F227" s="3">
        <f t="shared" si="39"/>
        <v>0.896987470067663</v>
      </c>
      <c r="G227" s="3">
        <f t="shared" si="40"/>
        <v>7.03899460827317</v>
      </c>
      <c r="H227" s="6">
        <v>101.8</v>
      </c>
      <c r="I227" s="6">
        <v>101.2</v>
      </c>
      <c r="J227" s="6">
        <v>102.1</v>
      </c>
      <c r="K227" s="3">
        <f t="shared" si="41"/>
        <v>3.7</v>
      </c>
      <c r="L227" s="3">
        <f t="shared" si="42"/>
        <v>1.10000000000001</v>
      </c>
      <c r="M227" s="3">
        <f t="shared" si="43"/>
        <v>0.199999999999989</v>
      </c>
      <c r="N227" s="3">
        <v>100.9</v>
      </c>
      <c r="O227" s="3">
        <v>6.1</v>
      </c>
      <c r="P227" s="3">
        <v>6</v>
      </c>
      <c r="Q227" s="5">
        <f t="shared" si="34"/>
        <v>1</v>
      </c>
      <c r="R227" s="5">
        <f t="shared" si="35"/>
        <v>1</v>
      </c>
      <c r="S227" s="5">
        <f t="shared" si="36"/>
        <v>1</v>
      </c>
      <c r="T227" s="5">
        <f t="shared" si="37"/>
        <v>1</v>
      </c>
    </row>
    <row r="228" spans="1:20">
      <c r="A228" t="s">
        <v>279</v>
      </c>
      <c r="B228" s="3">
        <v>44.73</v>
      </c>
      <c r="C228" s="3">
        <v>6.8402</v>
      </c>
      <c r="D228" s="3">
        <f t="shared" si="33"/>
        <v>305.962146</v>
      </c>
      <c r="E228" s="3">
        <f t="shared" si="38"/>
        <v>-10.1732210931584</v>
      </c>
      <c r="F228" s="3">
        <f t="shared" si="39"/>
        <v>1.61972517869034</v>
      </c>
      <c r="G228" s="3">
        <f t="shared" si="40"/>
        <v>-8.55349591446806</v>
      </c>
      <c r="H228" s="6">
        <v>106</v>
      </c>
      <c r="I228" s="6">
        <v>103.3</v>
      </c>
      <c r="J228" s="6">
        <v>102.3</v>
      </c>
      <c r="K228" s="3">
        <f t="shared" si="41"/>
        <v>4.2</v>
      </c>
      <c r="L228" s="3">
        <f t="shared" si="42"/>
        <v>2.09999999999999</v>
      </c>
      <c r="M228" s="3">
        <f t="shared" si="43"/>
        <v>0.200000000000003</v>
      </c>
      <c r="N228" s="3">
        <v>103.5</v>
      </c>
      <c r="O228" s="3">
        <v>6.2</v>
      </c>
      <c r="P228" s="3">
        <v>6</v>
      </c>
      <c r="Q228" s="5">
        <f t="shared" si="34"/>
        <v>1</v>
      </c>
      <c r="R228" s="5">
        <f t="shared" si="35"/>
        <v>1</v>
      </c>
      <c r="S228" s="5">
        <f t="shared" si="36"/>
        <v>1</v>
      </c>
      <c r="T228" s="5">
        <f t="shared" si="37"/>
        <v>1</v>
      </c>
    </row>
    <row r="229" spans="1:20">
      <c r="A229" t="s">
        <v>280</v>
      </c>
      <c r="B229" s="3">
        <v>53.31</v>
      </c>
      <c r="C229" s="3">
        <v>6.9198</v>
      </c>
      <c r="D229" s="3">
        <f t="shared" si="33"/>
        <v>368.894538</v>
      </c>
      <c r="E229" s="3">
        <f t="shared" si="38"/>
        <v>17.5479513389913</v>
      </c>
      <c r="F229" s="3">
        <f t="shared" si="39"/>
        <v>1.15698965047438</v>
      </c>
      <c r="G229" s="3">
        <f t="shared" si="40"/>
        <v>18.7049409894656</v>
      </c>
      <c r="H229" s="6">
        <v>110.1</v>
      </c>
      <c r="I229" s="6">
        <v>105.5</v>
      </c>
      <c r="J229" s="6">
        <v>102.1</v>
      </c>
      <c r="K229" s="3">
        <f t="shared" si="41"/>
        <v>4.09999999999999</v>
      </c>
      <c r="L229" s="3">
        <f t="shared" si="42"/>
        <v>2.2</v>
      </c>
      <c r="M229" s="3">
        <f t="shared" si="43"/>
        <v>-0.200000000000003</v>
      </c>
      <c r="N229" s="3">
        <v>106.3</v>
      </c>
      <c r="O229" s="3">
        <v>6</v>
      </c>
      <c r="P229" s="3">
        <v>6</v>
      </c>
      <c r="Q229" s="5">
        <f t="shared" si="34"/>
        <v>1</v>
      </c>
      <c r="R229" s="5">
        <f t="shared" si="35"/>
        <v>1</v>
      </c>
      <c r="S229" s="5">
        <f t="shared" si="36"/>
        <v>1</v>
      </c>
      <c r="T229" s="5">
        <f t="shared" si="37"/>
        <v>1</v>
      </c>
    </row>
    <row r="230" spans="1:20">
      <c r="A230" t="s">
        <v>281</v>
      </c>
      <c r="B230" s="3">
        <v>54.58</v>
      </c>
      <c r="C230" s="3">
        <v>6.8907</v>
      </c>
      <c r="D230" s="3">
        <f t="shared" si="33"/>
        <v>376.094406</v>
      </c>
      <c r="E230" s="3">
        <f t="shared" si="38"/>
        <v>2.35435844455227</v>
      </c>
      <c r="F230" s="3">
        <f t="shared" si="39"/>
        <v>-0.421419109612959</v>
      </c>
      <c r="G230" s="3">
        <f t="shared" si="40"/>
        <v>1.93293933493932</v>
      </c>
      <c r="H230" s="6">
        <v>114.7</v>
      </c>
      <c r="I230" s="6">
        <v>106.9</v>
      </c>
      <c r="J230" s="6">
        <v>102.5</v>
      </c>
      <c r="K230" s="3">
        <f t="shared" si="41"/>
        <v>4.60000000000001</v>
      </c>
      <c r="L230" s="3">
        <f t="shared" si="42"/>
        <v>1.40000000000001</v>
      </c>
      <c r="M230" s="3">
        <f t="shared" si="43"/>
        <v>0.400000000000006</v>
      </c>
      <c r="N230" s="3">
        <v>108.4</v>
      </c>
      <c r="O230" s="3"/>
      <c r="P230" s="3"/>
      <c r="Q230" s="5">
        <f t="shared" si="34"/>
        <v>1</v>
      </c>
      <c r="R230" s="5">
        <f t="shared" si="35"/>
        <v>1</v>
      </c>
      <c r="S230" s="5">
        <f t="shared" si="36"/>
        <v>1</v>
      </c>
      <c r="T230" s="5">
        <f t="shared" si="37"/>
        <v>1</v>
      </c>
    </row>
    <row r="231" spans="1:20">
      <c r="A231" t="s">
        <v>282</v>
      </c>
      <c r="B231" s="3">
        <v>54.87</v>
      </c>
      <c r="C231" s="3">
        <v>6.8694</v>
      </c>
      <c r="D231" s="3">
        <f t="shared" si="33"/>
        <v>376.923978</v>
      </c>
      <c r="E231" s="3">
        <f t="shared" si="38"/>
        <v>0.529923579069165</v>
      </c>
      <c r="F231" s="3">
        <f t="shared" si="39"/>
        <v>-0.309591020599689</v>
      </c>
      <c r="G231" s="3">
        <f t="shared" si="40"/>
        <v>0.220332558469463</v>
      </c>
      <c r="H231" s="6">
        <v>118.7</v>
      </c>
      <c r="I231" s="6">
        <v>107.8</v>
      </c>
      <c r="J231" s="6">
        <v>100.8</v>
      </c>
      <c r="K231" s="3">
        <f t="shared" si="41"/>
        <v>4</v>
      </c>
      <c r="L231" s="3">
        <f t="shared" si="42"/>
        <v>0.899999999999991</v>
      </c>
      <c r="M231" s="3">
        <f t="shared" si="43"/>
        <v>-1.7</v>
      </c>
      <c r="N231" s="3">
        <v>109.9</v>
      </c>
      <c r="O231" s="3"/>
      <c r="P231" s="3">
        <v>6.3</v>
      </c>
      <c r="Q231" s="5">
        <f t="shared" si="34"/>
        <v>1</v>
      </c>
      <c r="R231" s="5">
        <f t="shared" si="35"/>
        <v>1</v>
      </c>
      <c r="S231" s="5">
        <f t="shared" si="36"/>
        <v>1</v>
      </c>
      <c r="T231" s="5">
        <f t="shared" si="37"/>
        <v>1</v>
      </c>
    </row>
    <row r="232" spans="1:20">
      <c r="A232" t="s">
        <v>283</v>
      </c>
      <c r="B232" s="3">
        <v>51.59</v>
      </c>
      <c r="C232" s="3">
        <v>6.894</v>
      </c>
      <c r="D232" s="3">
        <f t="shared" si="33"/>
        <v>355.66146</v>
      </c>
      <c r="E232" s="3">
        <f t="shared" si="38"/>
        <v>-6.16388958143254</v>
      </c>
      <c r="F232" s="3">
        <f t="shared" si="39"/>
        <v>0.357470191898902</v>
      </c>
      <c r="G232" s="3">
        <f t="shared" si="40"/>
        <v>-5.80641938953363</v>
      </c>
      <c r="H232" s="6">
        <v>119</v>
      </c>
      <c r="I232" s="6">
        <v>107.6</v>
      </c>
      <c r="J232" s="6">
        <v>100.9</v>
      </c>
      <c r="K232" s="3">
        <f t="shared" si="41"/>
        <v>0.299999999999997</v>
      </c>
      <c r="L232" s="3">
        <f t="shared" si="42"/>
        <v>-0.200000000000003</v>
      </c>
      <c r="M232" s="3">
        <f t="shared" si="43"/>
        <v>0.100000000000009</v>
      </c>
      <c r="N232" s="3">
        <v>110</v>
      </c>
      <c r="O232" s="3">
        <v>7.6</v>
      </c>
      <c r="P232" s="3">
        <v>6.8</v>
      </c>
      <c r="Q232" s="5">
        <f t="shared" si="34"/>
        <v>1</v>
      </c>
      <c r="R232" s="5">
        <f t="shared" si="35"/>
        <v>1</v>
      </c>
      <c r="S232" s="5">
        <f t="shared" si="36"/>
        <v>1</v>
      </c>
      <c r="T232" s="5">
        <f t="shared" si="37"/>
        <v>1</v>
      </c>
    </row>
    <row r="233" spans="1:20">
      <c r="A233" t="s">
        <v>284</v>
      </c>
      <c r="B233" s="3">
        <v>52.31</v>
      </c>
      <c r="C233" s="3">
        <v>6.8876</v>
      </c>
      <c r="D233" s="3">
        <f t="shared" si="33"/>
        <v>360.290356</v>
      </c>
      <c r="E233" s="3">
        <f t="shared" si="38"/>
        <v>1.38597021259611</v>
      </c>
      <c r="F233" s="3">
        <f t="shared" si="39"/>
        <v>-0.0928774664779921</v>
      </c>
      <c r="G233" s="3">
        <f t="shared" si="40"/>
        <v>1.29309274611812</v>
      </c>
      <c r="H233" s="6">
        <v>117.6</v>
      </c>
      <c r="I233" s="6">
        <v>106.4</v>
      </c>
      <c r="J233" s="6">
        <v>101.2</v>
      </c>
      <c r="K233" s="3">
        <f t="shared" si="41"/>
        <v>-1.40000000000001</v>
      </c>
      <c r="L233" s="3">
        <f t="shared" si="42"/>
        <v>-1.19999999999999</v>
      </c>
      <c r="M233" s="3">
        <f t="shared" si="43"/>
        <v>0.299999999999997</v>
      </c>
      <c r="N233" s="3">
        <v>109</v>
      </c>
      <c r="O233" s="3">
        <v>6.5</v>
      </c>
      <c r="P233" s="3">
        <v>6.7</v>
      </c>
      <c r="Q233" s="5">
        <f t="shared" si="34"/>
        <v>1</v>
      </c>
      <c r="R233" s="5">
        <f t="shared" si="35"/>
        <v>1</v>
      </c>
      <c r="S233" s="5">
        <f t="shared" si="36"/>
        <v>1</v>
      </c>
      <c r="T233" s="5">
        <f t="shared" si="37"/>
        <v>1</v>
      </c>
    </row>
    <row r="234" spans="1:20">
      <c r="A234" t="s">
        <v>285</v>
      </c>
      <c r="B234" s="3">
        <v>50.33</v>
      </c>
      <c r="C234" s="3">
        <v>6.8843</v>
      </c>
      <c r="D234" s="3">
        <f t="shared" si="33"/>
        <v>346.486819</v>
      </c>
      <c r="E234" s="3">
        <f t="shared" si="38"/>
        <v>-3.85862365942511</v>
      </c>
      <c r="F234" s="3">
        <f t="shared" si="39"/>
        <v>-0.047923671579946</v>
      </c>
      <c r="G234" s="3">
        <f t="shared" si="40"/>
        <v>-3.90654733100506</v>
      </c>
      <c r="H234" s="6">
        <v>115.8</v>
      </c>
      <c r="I234" s="6">
        <v>105.5</v>
      </c>
      <c r="J234" s="6">
        <v>101.5</v>
      </c>
      <c r="K234" s="3">
        <f t="shared" si="41"/>
        <v>-1.8</v>
      </c>
      <c r="L234" s="3">
        <f t="shared" si="42"/>
        <v>-0.900000000000006</v>
      </c>
      <c r="M234" s="3">
        <f t="shared" si="43"/>
        <v>0.299999999999997</v>
      </c>
      <c r="N234" s="3">
        <v>108</v>
      </c>
      <c r="O234" s="3">
        <v>6.5</v>
      </c>
      <c r="P234" s="3">
        <v>6.7</v>
      </c>
      <c r="Q234" s="5">
        <f t="shared" si="34"/>
        <v>1</v>
      </c>
      <c r="R234" s="5">
        <f t="shared" si="35"/>
        <v>1</v>
      </c>
      <c r="S234" s="5">
        <f t="shared" si="36"/>
        <v>1</v>
      </c>
      <c r="T234" s="5">
        <f t="shared" si="37"/>
        <v>1</v>
      </c>
    </row>
    <row r="235" spans="1:20">
      <c r="A235" t="s">
        <v>286</v>
      </c>
      <c r="B235" s="3">
        <v>46.37</v>
      </c>
      <c r="C235" s="3">
        <v>6.8066</v>
      </c>
      <c r="D235" s="3">
        <f t="shared" si="33"/>
        <v>315.622042</v>
      </c>
      <c r="E235" s="3">
        <f t="shared" si="38"/>
        <v>-8.19486223848992</v>
      </c>
      <c r="F235" s="3">
        <f t="shared" si="39"/>
        <v>-1.13507270129439</v>
      </c>
      <c r="G235" s="3">
        <f t="shared" si="40"/>
        <v>-9.32993493978431</v>
      </c>
      <c r="H235" s="6">
        <v>112.5</v>
      </c>
      <c r="I235" s="6">
        <v>105.5</v>
      </c>
      <c r="J235" s="6">
        <v>101.5</v>
      </c>
      <c r="K235" s="3">
        <f t="shared" si="41"/>
        <v>-3.3</v>
      </c>
      <c r="L235" s="3">
        <f t="shared" si="42"/>
        <v>0</v>
      </c>
      <c r="M235" s="3">
        <f t="shared" si="43"/>
        <v>0</v>
      </c>
      <c r="N235" s="3">
        <v>107.3</v>
      </c>
      <c r="O235" s="3">
        <v>7.6</v>
      </c>
      <c r="P235" s="3">
        <v>6.9</v>
      </c>
      <c r="Q235" s="5">
        <f t="shared" si="34"/>
        <v>1</v>
      </c>
      <c r="R235" s="5">
        <f t="shared" si="35"/>
        <v>1</v>
      </c>
      <c r="S235" s="5">
        <f t="shared" si="36"/>
        <v>1</v>
      </c>
      <c r="T235" s="5">
        <f t="shared" si="37"/>
        <v>1</v>
      </c>
    </row>
    <row r="236" spans="1:20">
      <c r="A236" t="s">
        <v>287</v>
      </c>
      <c r="B236" s="3">
        <v>48.48</v>
      </c>
      <c r="C236" s="3">
        <v>6.7694</v>
      </c>
      <c r="D236" s="3">
        <f t="shared" si="33"/>
        <v>328.180512</v>
      </c>
      <c r="E236" s="3">
        <f t="shared" si="38"/>
        <v>4.44986433576895</v>
      </c>
      <c r="F236" s="3">
        <f t="shared" si="39"/>
        <v>-0.548027299697544</v>
      </c>
      <c r="G236" s="3">
        <f t="shared" si="40"/>
        <v>3.90183703607141</v>
      </c>
      <c r="H236" s="6">
        <v>110.7</v>
      </c>
      <c r="I236" s="6">
        <v>105.5</v>
      </c>
      <c r="J236" s="6">
        <v>101.4</v>
      </c>
      <c r="K236" s="3">
        <f t="shared" si="41"/>
        <v>-1.8</v>
      </c>
      <c r="L236" s="3">
        <f t="shared" si="42"/>
        <v>0</v>
      </c>
      <c r="M236" s="3">
        <f t="shared" si="43"/>
        <v>-0.0999999999999943</v>
      </c>
      <c r="N236" s="3">
        <v>107</v>
      </c>
      <c r="O236" s="3">
        <v>6.4</v>
      </c>
      <c r="P236" s="3">
        <v>6.8</v>
      </c>
      <c r="Q236" s="5">
        <f t="shared" si="34"/>
        <v>1</v>
      </c>
      <c r="R236" s="5">
        <f t="shared" si="35"/>
        <v>1</v>
      </c>
      <c r="S236" s="5">
        <f t="shared" si="36"/>
        <v>1</v>
      </c>
      <c r="T236" s="5">
        <f t="shared" si="37"/>
        <v>1</v>
      </c>
    </row>
    <row r="237" spans="1:20">
      <c r="A237" t="s">
        <v>288</v>
      </c>
      <c r="B237" s="3">
        <v>51.7</v>
      </c>
      <c r="C237" s="3">
        <v>6.667</v>
      </c>
      <c r="D237" s="3">
        <f t="shared" si="33"/>
        <v>344.6839</v>
      </c>
      <c r="E237" s="3">
        <f t="shared" si="38"/>
        <v>6.43064397533245</v>
      </c>
      <c r="F237" s="3">
        <f t="shared" si="39"/>
        <v>-1.5242473068252</v>
      </c>
      <c r="G237" s="3">
        <f t="shared" si="40"/>
        <v>4.90639666850725</v>
      </c>
      <c r="H237" s="6">
        <v>111.8</v>
      </c>
      <c r="I237" s="6">
        <v>106.3</v>
      </c>
      <c r="J237" s="6">
        <v>101.8</v>
      </c>
      <c r="K237" s="3">
        <f t="shared" si="41"/>
        <v>1.09999999999999</v>
      </c>
      <c r="L237" s="3">
        <f t="shared" si="42"/>
        <v>0.799999999999997</v>
      </c>
      <c r="M237" s="3">
        <f t="shared" si="43"/>
        <v>0.399999999999991</v>
      </c>
      <c r="N237" s="3">
        <v>107.7</v>
      </c>
      <c r="O237" s="3">
        <v>6</v>
      </c>
      <c r="P237" s="3">
        <v>6.7</v>
      </c>
      <c r="Q237" s="5">
        <f t="shared" si="34"/>
        <v>1</v>
      </c>
      <c r="R237" s="5">
        <f t="shared" si="35"/>
        <v>1</v>
      </c>
      <c r="S237" s="5">
        <f t="shared" si="36"/>
        <v>1</v>
      </c>
      <c r="T237" s="5">
        <f t="shared" si="37"/>
        <v>1</v>
      </c>
    </row>
    <row r="238" spans="1:20">
      <c r="A238" t="s">
        <v>289</v>
      </c>
      <c r="B238" s="3">
        <v>56.15</v>
      </c>
      <c r="C238" s="3">
        <v>6.569</v>
      </c>
      <c r="D238" s="3">
        <f t="shared" si="33"/>
        <v>368.84935</v>
      </c>
      <c r="E238" s="3">
        <f t="shared" si="38"/>
        <v>8.25688996700686</v>
      </c>
      <c r="F238" s="3">
        <f t="shared" si="39"/>
        <v>-1.4808369725587</v>
      </c>
      <c r="G238" s="3">
        <f t="shared" si="40"/>
        <v>6.77605299444818</v>
      </c>
      <c r="H238" s="6">
        <v>111.9</v>
      </c>
      <c r="I238" s="6">
        <v>106.9</v>
      </c>
      <c r="J238" s="6">
        <v>101.6</v>
      </c>
      <c r="K238" s="3">
        <f t="shared" si="41"/>
        <v>0.100000000000009</v>
      </c>
      <c r="L238" s="3">
        <f t="shared" si="42"/>
        <v>0.600000000000009</v>
      </c>
      <c r="M238" s="3">
        <f t="shared" si="43"/>
        <v>-0.200000000000003</v>
      </c>
      <c r="N238" s="3">
        <v>108.5</v>
      </c>
      <c r="O238" s="3">
        <v>6.6</v>
      </c>
      <c r="P238" s="3">
        <v>6.7</v>
      </c>
      <c r="Q238" s="5">
        <f t="shared" si="34"/>
        <v>1</v>
      </c>
      <c r="R238" s="5">
        <f t="shared" si="35"/>
        <v>1</v>
      </c>
      <c r="S238" s="5">
        <f t="shared" si="36"/>
        <v>1</v>
      </c>
      <c r="T238" s="5">
        <f t="shared" si="37"/>
        <v>1</v>
      </c>
    </row>
    <row r="239" spans="1:20">
      <c r="A239" t="s">
        <v>290</v>
      </c>
      <c r="B239" s="3">
        <v>57.51</v>
      </c>
      <c r="C239" s="3">
        <v>6.6254</v>
      </c>
      <c r="D239" s="3">
        <f t="shared" si="33"/>
        <v>381.026754</v>
      </c>
      <c r="E239" s="3">
        <f t="shared" si="38"/>
        <v>2.39321645412107</v>
      </c>
      <c r="F239" s="3">
        <f t="shared" si="39"/>
        <v>0.854913349780116</v>
      </c>
      <c r="G239" s="3">
        <f t="shared" si="40"/>
        <v>3.24812980390118</v>
      </c>
      <c r="H239" s="6">
        <v>110.6</v>
      </c>
      <c r="I239" s="6">
        <v>106.9</v>
      </c>
      <c r="J239" s="6">
        <v>101.9</v>
      </c>
      <c r="K239" s="3">
        <f t="shared" si="41"/>
        <v>-1.30000000000001</v>
      </c>
      <c r="L239" s="3">
        <f t="shared" si="42"/>
        <v>0</v>
      </c>
      <c r="M239" s="3">
        <f t="shared" si="43"/>
        <v>0.300000000000011</v>
      </c>
      <c r="N239" s="3">
        <v>108.4</v>
      </c>
      <c r="O239" s="3">
        <v>6.2</v>
      </c>
      <c r="P239" s="3">
        <v>6.7</v>
      </c>
      <c r="Q239" s="5">
        <f t="shared" si="34"/>
        <v>1</v>
      </c>
      <c r="R239" s="5">
        <f t="shared" si="35"/>
        <v>1</v>
      </c>
      <c r="S239" s="5">
        <f t="shared" si="36"/>
        <v>1</v>
      </c>
      <c r="T239" s="5">
        <f t="shared" si="37"/>
        <v>1</v>
      </c>
    </row>
    <row r="240" spans="1:20">
      <c r="A240" t="s">
        <v>291</v>
      </c>
      <c r="B240" s="3">
        <v>62.71</v>
      </c>
      <c r="C240" s="3">
        <v>6.62</v>
      </c>
      <c r="D240" s="3">
        <f t="shared" si="33"/>
        <v>415.1402</v>
      </c>
      <c r="E240" s="3">
        <f t="shared" si="38"/>
        <v>8.65620788292666</v>
      </c>
      <c r="F240" s="3">
        <f t="shared" si="39"/>
        <v>-0.0815377459220315</v>
      </c>
      <c r="G240" s="3">
        <f t="shared" si="40"/>
        <v>8.57467013700464</v>
      </c>
      <c r="H240" s="6">
        <v>108</v>
      </c>
      <c r="I240" s="6">
        <v>105.8</v>
      </c>
      <c r="J240" s="6">
        <v>101.7</v>
      </c>
      <c r="K240" s="3">
        <f t="shared" si="41"/>
        <v>-2.59999999999999</v>
      </c>
      <c r="L240" s="3">
        <f t="shared" si="42"/>
        <v>-1.10000000000001</v>
      </c>
      <c r="M240" s="3">
        <f t="shared" si="43"/>
        <v>-0.200000000000003</v>
      </c>
      <c r="N240" s="3">
        <v>107.1</v>
      </c>
      <c r="O240" s="3">
        <v>6.1</v>
      </c>
      <c r="P240" s="3">
        <v>6.6</v>
      </c>
      <c r="Q240" s="5">
        <f t="shared" si="34"/>
        <v>1</v>
      </c>
      <c r="R240" s="5">
        <f t="shared" si="35"/>
        <v>1</v>
      </c>
      <c r="S240" s="5">
        <f t="shared" si="36"/>
        <v>1</v>
      </c>
      <c r="T240" s="5">
        <f t="shared" si="37"/>
        <v>1</v>
      </c>
    </row>
    <row r="241" spans="1:20">
      <c r="A241" t="s">
        <v>292</v>
      </c>
      <c r="B241" s="3">
        <v>64.37</v>
      </c>
      <c r="C241" s="3">
        <v>6.5932</v>
      </c>
      <c r="D241" s="3">
        <f t="shared" si="33"/>
        <v>424.404284</v>
      </c>
      <c r="E241" s="3">
        <f t="shared" si="38"/>
        <v>2.6126761509595</v>
      </c>
      <c r="F241" s="3">
        <f t="shared" si="39"/>
        <v>-0.405655507385291</v>
      </c>
      <c r="G241" s="3">
        <f t="shared" si="40"/>
        <v>2.20702064357422</v>
      </c>
      <c r="H241" s="6">
        <v>107.1</v>
      </c>
      <c r="I241" s="6">
        <v>104.9</v>
      </c>
      <c r="J241" s="6">
        <v>101.8</v>
      </c>
      <c r="K241" s="3">
        <f t="shared" si="41"/>
        <v>-0.900000000000006</v>
      </c>
      <c r="L241" s="3">
        <f t="shared" si="42"/>
        <v>-0.899999999999991</v>
      </c>
      <c r="M241" s="3">
        <f t="shared" si="43"/>
        <v>0.0999999999999943</v>
      </c>
      <c r="N241" s="3">
        <v>105.9</v>
      </c>
      <c r="O241" s="3">
        <v>6.2</v>
      </c>
      <c r="P241" s="3">
        <v>6.6</v>
      </c>
      <c r="Q241" s="5">
        <f t="shared" si="34"/>
        <v>1</v>
      </c>
      <c r="R241" s="5">
        <f t="shared" si="35"/>
        <v>1</v>
      </c>
      <c r="S241" s="5">
        <f t="shared" si="36"/>
        <v>1</v>
      </c>
      <c r="T241" s="5">
        <f t="shared" si="37"/>
        <v>1</v>
      </c>
    </row>
    <row r="242" spans="1:20">
      <c r="A242" t="s">
        <v>293</v>
      </c>
      <c r="B242" s="3">
        <v>69.08</v>
      </c>
      <c r="C242" s="3">
        <v>6.4233</v>
      </c>
      <c r="D242" s="3">
        <f t="shared" si="33"/>
        <v>443.721564</v>
      </c>
      <c r="E242" s="3">
        <f t="shared" si="38"/>
        <v>7.06175672139532</v>
      </c>
      <c r="F242" s="3">
        <f t="shared" si="39"/>
        <v>-2.61068105439598</v>
      </c>
      <c r="G242" s="3">
        <f t="shared" si="40"/>
        <v>4.45107566699933</v>
      </c>
      <c r="H242" s="6">
        <v>106.2</v>
      </c>
      <c r="I242" s="6">
        <v>104.3</v>
      </c>
      <c r="J242" s="6">
        <v>101.5</v>
      </c>
      <c r="K242" s="3">
        <f t="shared" si="41"/>
        <v>-0.899999999999991</v>
      </c>
      <c r="L242" s="3">
        <f t="shared" si="42"/>
        <v>-0.600000000000009</v>
      </c>
      <c r="M242" s="3">
        <f t="shared" si="43"/>
        <v>-0.299999999999997</v>
      </c>
      <c r="N242" s="3">
        <v>105.2</v>
      </c>
      <c r="O242" s="3"/>
      <c r="P242" s="3"/>
      <c r="Q242" s="5">
        <f t="shared" si="34"/>
        <v>1</v>
      </c>
      <c r="R242" s="5">
        <f t="shared" si="35"/>
        <v>1</v>
      </c>
      <c r="S242" s="5">
        <f t="shared" si="36"/>
        <v>1</v>
      </c>
      <c r="T242" s="5">
        <f t="shared" si="37"/>
        <v>1</v>
      </c>
    </row>
    <row r="243" spans="1:20">
      <c r="A243" t="s">
        <v>294</v>
      </c>
      <c r="B243" s="3">
        <v>65.32</v>
      </c>
      <c r="C243" s="3">
        <v>6.3183</v>
      </c>
      <c r="D243" s="3">
        <f t="shared" si="33"/>
        <v>412.711356</v>
      </c>
      <c r="E243" s="3">
        <f t="shared" si="38"/>
        <v>-5.59669851762136</v>
      </c>
      <c r="F243" s="3">
        <f t="shared" si="39"/>
        <v>-1.6481819697694</v>
      </c>
      <c r="G243" s="3">
        <f t="shared" si="40"/>
        <v>-7.24488048739074</v>
      </c>
      <c r="H243" s="6">
        <v>106</v>
      </c>
      <c r="I243" s="6">
        <v>103.7</v>
      </c>
      <c r="J243" s="6">
        <v>102.9</v>
      </c>
      <c r="K243" s="3">
        <f t="shared" si="41"/>
        <v>-0.200000000000003</v>
      </c>
      <c r="L243" s="3">
        <f t="shared" si="42"/>
        <v>-0.599999999999994</v>
      </c>
      <c r="M243" s="3">
        <f t="shared" si="43"/>
        <v>1.40000000000001</v>
      </c>
      <c r="N243" s="3">
        <v>104.4</v>
      </c>
      <c r="O243" s="3"/>
      <c r="P243" s="3">
        <v>7.2</v>
      </c>
      <c r="Q243" s="5">
        <f t="shared" si="34"/>
        <v>1</v>
      </c>
      <c r="R243" s="5">
        <f t="shared" si="35"/>
        <v>1</v>
      </c>
      <c r="S243" s="5">
        <f t="shared" si="36"/>
        <v>1</v>
      </c>
      <c r="T243" s="5">
        <f t="shared" si="37"/>
        <v>1</v>
      </c>
    </row>
    <row r="244" spans="1:20">
      <c r="A244" t="s">
        <v>295</v>
      </c>
      <c r="B244" s="3">
        <v>66.02</v>
      </c>
      <c r="C244" s="3">
        <v>6.3174</v>
      </c>
      <c r="D244" s="3">
        <f t="shared" si="33"/>
        <v>417.074748</v>
      </c>
      <c r="E244" s="3">
        <f t="shared" si="38"/>
        <v>1.06594583227827</v>
      </c>
      <c r="F244" s="3">
        <f t="shared" si="39"/>
        <v>-0.0142453524778483</v>
      </c>
      <c r="G244" s="3">
        <f t="shared" si="40"/>
        <v>1.05170047980042</v>
      </c>
      <c r="H244" s="6">
        <v>104.9</v>
      </c>
      <c r="I244" s="6">
        <v>103.1</v>
      </c>
      <c r="J244" s="6">
        <v>102.1</v>
      </c>
      <c r="K244" s="3">
        <f t="shared" si="41"/>
        <v>-1.09999999999999</v>
      </c>
      <c r="L244" s="3">
        <f t="shared" si="42"/>
        <v>-0.600000000000009</v>
      </c>
      <c r="M244" s="3">
        <f t="shared" si="43"/>
        <v>-0.800000000000011</v>
      </c>
      <c r="N244" s="3">
        <v>103.7</v>
      </c>
      <c r="O244" s="3">
        <v>6</v>
      </c>
      <c r="P244" s="3">
        <v>6.8</v>
      </c>
      <c r="Q244" s="5">
        <f t="shared" si="34"/>
        <v>1</v>
      </c>
      <c r="R244" s="5">
        <f t="shared" si="35"/>
        <v>1</v>
      </c>
      <c r="S244" s="5">
        <f t="shared" si="36"/>
        <v>1</v>
      </c>
      <c r="T244" s="5">
        <f t="shared" si="37"/>
        <v>1</v>
      </c>
    </row>
    <row r="245" spans="1:20">
      <c r="A245" t="s">
        <v>296</v>
      </c>
      <c r="B245" s="3">
        <v>72.11</v>
      </c>
      <c r="C245" s="3">
        <v>6.2967</v>
      </c>
      <c r="D245" s="3">
        <f t="shared" si="33"/>
        <v>454.055037</v>
      </c>
      <c r="E245" s="3">
        <f t="shared" si="38"/>
        <v>8.82350045036213</v>
      </c>
      <c r="F245" s="3">
        <f t="shared" si="39"/>
        <v>-0.328204447108853</v>
      </c>
      <c r="G245" s="3">
        <f t="shared" si="40"/>
        <v>8.49529600325327</v>
      </c>
      <c r="H245" s="6">
        <v>104.6</v>
      </c>
      <c r="I245" s="6">
        <v>103.4</v>
      </c>
      <c r="J245" s="6">
        <v>101.8</v>
      </c>
      <c r="K245" s="3">
        <f t="shared" si="41"/>
        <v>-0.300000000000011</v>
      </c>
      <c r="L245" s="3">
        <f t="shared" si="42"/>
        <v>0.300000000000011</v>
      </c>
      <c r="M245" s="3">
        <f t="shared" si="43"/>
        <v>-0.299999999999997</v>
      </c>
      <c r="N245" s="3">
        <v>103.7</v>
      </c>
      <c r="O245" s="3">
        <v>7</v>
      </c>
      <c r="P245" s="3">
        <v>6.9</v>
      </c>
      <c r="Q245" s="5">
        <f t="shared" si="34"/>
        <v>1</v>
      </c>
      <c r="R245" s="5">
        <f t="shared" si="35"/>
        <v>1</v>
      </c>
      <c r="S245" s="5">
        <f t="shared" si="36"/>
        <v>1</v>
      </c>
      <c r="T245" s="5">
        <f t="shared" si="37"/>
        <v>1</v>
      </c>
    </row>
    <row r="246" spans="1:20">
      <c r="A246" t="s">
        <v>297</v>
      </c>
      <c r="B246" s="3">
        <v>76.98</v>
      </c>
      <c r="C246" s="3">
        <v>6.3701</v>
      </c>
      <c r="D246" s="3">
        <f t="shared" si="33"/>
        <v>490.370298</v>
      </c>
      <c r="E246" s="3">
        <f t="shared" si="38"/>
        <v>6.5352916926932</v>
      </c>
      <c r="F246" s="3">
        <f t="shared" si="39"/>
        <v>1.15894814104345</v>
      </c>
      <c r="G246" s="3">
        <f t="shared" si="40"/>
        <v>7.69423983373664</v>
      </c>
      <c r="H246" s="6">
        <v>105.5</v>
      </c>
      <c r="I246" s="6">
        <v>104.1</v>
      </c>
      <c r="J246" s="6">
        <v>101.8</v>
      </c>
      <c r="K246" s="3">
        <f t="shared" si="41"/>
        <v>0.900000000000006</v>
      </c>
      <c r="L246" s="3">
        <f t="shared" si="42"/>
        <v>0.699999999999989</v>
      </c>
      <c r="M246" s="3">
        <f t="shared" si="43"/>
        <v>0</v>
      </c>
      <c r="N246" s="3">
        <v>104.3</v>
      </c>
      <c r="O246" s="3">
        <v>6.8</v>
      </c>
      <c r="P246" s="3">
        <v>6.9</v>
      </c>
      <c r="Q246" s="5">
        <f t="shared" si="34"/>
        <v>1</v>
      </c>
      <c r="R246" s="5">
        <f t="shared" si="35"/>
        <v>1</v>
      </c>
      <c r="S246" s="5">
        <f t="shared" si="36"/>
        <v>1</v>
      </c>
      <c r="T246" s="5">
        <f t="shared" si="37"/>
        <v>1</v>
      </c>
    </row>
    <row r="247" spans="1:20">
      <c r="A247" t="s">
        <v>298</v>
      </c>
      <c r="B247" s="3">
        <v>74.41</v>
      </c>
      <c r="C247" s="3">
        <v>6.4651</v>
      </c>
      <c r="D247" s="3">
        <f t="shared" si="33"/>
        <v>481.068091</v>
      </c>
      <c r="E247" s="3">
        <f t="shared" si="38"/>
        <v>-3.39553064464303</v>
      </c>
      <c r="F247" s="3">
        <f t="shared" si="39"/>
        <v>1.48033119603155</v>
      </c>
      <c r="G247" s="3">
        <f t="shared" si="40"/>
        <v>-1.91519944861149</v>
      </c>
      <c r="H247" s="6">
        <v>108.1</v>
      </c>
      <c r="I247" s="6">
        <v>104.7</v>
      </c>
      <c r="J247" s="6">
        <v>101.9</v>
      </c>
      <c r="K247" s="3">
        <f t="shared" si="41"/>
        <v>2.59999999999999</v>
      </c>
      <c r="L247" s="3">
        <f t="shared" si="42"/>
        <v>0.600000000000009</v>
      </c>
      <c r="M247" s="3">
        <f t="shared" si="43"/>
        <v>0.100000000000009</v>
      </c>
      <c r="N247" s="3">
        <v>105.1</v>
      </c>
      <c r="O247" s="3">
        <v>6</v>
      </c>
      <c r="P247" s="3">
        <v>6.7</v>
      </c>
      <c r="Q247" s="5">
        <f t="shared" si="34"/>
        <v>1</v>
      </c>
      <c r="R247" s="5">
        <f t="shared" si="35"/>
        <v>1</v>
      </c>
      <c r="S247" s="5">
        <f t="shared" si="36"/>
        <v>1</v>
      </c>
      <c r="T247" s="5">
        <f t="shared" si="37"/>
        <v>1</v>
      </c>
    </row>
    <row r="248" spans="1:20">
      <c r="A248" t="s">
        <v>299</v>
      </c>
      <c r="B248" s="3">
        <v>74.25</v>
      </c>
      <c r="C248" s="3">
        <v>6.7164</v>
      </c>
      <c r="D248" s="3">
        <f t="shared" si="33"/>
        <v>498.6927</v>
      </c>
      <c r="E248" s="3">
        <f t="shared" si="38"/>
        <v>-0.21525637263608</v>
      </c>
      <c r="F248" s="3">
        <f t="shared" si="39"/>
        <v>3.81338166948842</v>
      </c>
      <c r="G248" s="3">
        <f t="shared" si="40"/>
        <v>3.59812529685234</v>
      </c>
      <c r="H248" s="6">
        <v>109.9</v>
      </c>
      <c r="I248" s="6">
        <v>104.6</v>
      </c>
      <c r="J248" s="6">
        <v>102.1</v>
      </c>
      <c r="K248" s="3">
        <f t="shared" si="41"/>
        <v>1.80000000000001</v>
      </c>
      <c r="L248" s="3">
        <f t="shared" si="42"/>
        <v>-0.100000000000009</v>
      </c>
      <c r="M248" s="3">
        <f t="shared" si="43"/>
        <v>0.199999999999989</v>
      </c>
      <c r="N248" s="3">
        <v>105.2</v>
      </c>
      <c r="O248" s="3">
        <v>6</v>
      </c>
      <c r="P248" s="3">
        <v>6.6</v>
      </c>
      <c r="Q248" s="5">
        <f t="shared" si="34"/>
        <v>1</v>
      </c>
      <c r="R248" s="5">
        <f t="shared" si="35"/>
        <v>1</v>
      </c>
      <c r="S248" s="5">
        <f t="shared" si="36"/>
        <v>1</v>
      </c>
      <c r="T248" s="5">
        <f t="shared" si="37"/>
        <v>1</v>
      </c>
    </row>
    <row r="249" spans="1:20">
      <c r="A249" t="s">
        <v>300</v>
      </c>
      <c r="B249" s="3">
        <v>72.53</v>
      </c>
      <c r="C249" s="3">
        <v>6.8453</v>
      </c>
      <c r="D249" s="3">
        <f t="shared" si="33"/>
        <v>496.489609</v>
      </c>
      <c r="E249" s="3">
        <f t="shared" si="38"/>
        <v>-2.3437508307488</v>
      </c>
      <c r="F249" s="3">
        <f t="shared" si="39"/>
        <v>1.90099886882285</v>
      </c>
      <c r="G249" s="3">
        <f t="shared" si="40"/>
        <v>-0.442751961925942</v>
      </c>
      <c r="H249" s="6">
        <v>109.7</v>
      </c>
      <c r="I249" s="6">
        <v>104.1</v>
      </c>
      <c r="J249" s="6">
        <v>102.3</v>
      </c>
      <c r="K249" s="3">
        <f t="shared" si="41"/>
        <v>-0.200000000000003</v>
      </c>
      <c r="L249" s="3">
        <f t="shared" si="42"/>
        <v>-0.5</v>
      </c>
      <c r="M249" s="3">
        <f t="shared" si="43"/>
        <v>0.200000000000003</v>
      </c>
      <c r="N249" s="3">
        <v>104.8</v>
      </c>
      <c r="O249" s="3">
        <v>6.1</v>
      </c>
      <c r="P249" s="3">
        <v>6.5</v>
      </c>
      <c r="Q249" s="5">
        <f t="shared" si="34"/>
        <v>1</v>
      </c>
      <c r="R249" s="5">
        <f t="shared" si="35"/>
        <v>1</v>
      </c>
      <c r="S249" s="5">
        <f t="shared" si="36"/>
        <v>1</v>
      </c>
      <c r="T249" s="5">
        <f t="shared" si="37"/>
        <v>1</v>
      </c>
    </row>
    <row r="250" spans="1:20">
      <c r="A250" t="s">
        <v>301</v>
      </c>
      <c r="B250" s="3">
        <v>78.89</v>
      </c>
      <c r="C250" s="3">
        <v>6.8551</v>
      </c>
      <c r="D250" s="3">
        <f t="shared" si="33"/>
        <v>540.798839</v>
      </c>
      <c r="E250" s="3">
        <f t="shared" si="38"/>
        <v>8.40542077316773</v>
      </c>
      <c r="F250" s="3">
        <f t="shared" si="39"/>
        <v>0.143061540851946</v>
      </c>
      <c r="G250" s="3">
        <f t="shared" si="40"/>
        <v>8.54848231401967</v>
      </c>
      <c r="H250" s="6">
        <v>109.2</v>
      </c>
      <c r="I250" s="6">
        <v>103.6</v>
      </c>
      <c r="J250" s="6">
        <v>102.5</v>
      </c>
      <c r="K250" s="3">
        <f t="shared" si="41"/>
        <v>-0.5</v>
      </c>
      <c r="L250" s="3">
        <f t="shared" si="42"/>
        <v>-0.5</v>
      </c>
      <c r="M250" s="3">
        <f t="shared" si="43"/>
        <v>0.200000000000003</v>
      </c>
      <c r="N250" s="3">
        <v>104.2</v>
      </c>
      <c r="O250" s="3">
        <v>5.8</v>
      </c>
      <c r="P250" s="3">
        <v>6.4</v>
      </c>
      <c r="Q250" s="5">
        <f t="shared" si="34"/>
        <v>1</v>
      </c>
      <c r="R250" s="5">
        <f t="shared" si="35"/>
        <v>1</v>
      </c>
      <c r="S250" s="5">
        <f t="shared" si="36"/>
        <v>1</v>
      </c>
      <c r="T250" s="5">
        <f t="shared" si="37"/>
        <v>1</v>
      </c>
    </row>
    <row r="251" spans="1:20">
      <c r="A251" t="s">
        <v>302</v>
      </c>
      <c r="B251" s="3">
        <v>81.03</v>
      </c>
      <c r="C251" s="3">
        <v>6.9191</v>
      </c>
      <c r="D251" s="3">
        <f t="shared" si="33"/>
        <v>560.654673</v>
      </c>
      <c r="E251" s="3">
        <f t="shared" si="38"/>
        <v>2.67649793656357</v>
      </c>
      <c r="F251" s="3">
        <f t="shared" si="39"/>
        <v>0.929280256793535</v>
      </c>
      <c r="G251" s="3">
        <f t="shared" si="40"/>
        <v>3.60577819335711</v>
      </c>
      <c r="H251" s="6">
        <v>109.4</v>
      </c>
      <c r="I251" s="6">
        <v>103.3</v>
      </c>
      <c r="J251" s="6">
        <v>102.5</v>
      </c>
      <c r="K251" s="3">
        <f t="shared" si="41"/>
        <v>0.200000000000003</v>
      </c>
      <c r="L251" s="3">
        <f t="shared" si="42"/>
        <v>-0.299999999999997</v>
      </c>
      <c r="M251" s="3">
        <f t="shared" si="43"/>
        <v>0</v>
      </c>
      <c r="N251" s="3">
        <v>104</v>
      </c>
      <c r="O251" s="3">
        <v>5.9</v>
      </c>
      <c r="P251" s="3">
        <v>6.4</v>
      </c>
      <c r="Q251" s="5">
        <f t="shared" si="34"/>
        <v>1</v>
      </c>
      <c r="R251" s="5">
        <f t="shared" si="35"/>
        <v>1</v>
      </c>
      <c r="S251" s="5">
        <f t="shared" si="36"/>
        <v>1</v>
      </c>
      <c r="T251" s="5">
        <f t="shared" si="37"/>
        <v>1</v>
      </c>
    </row>
    <row r="252" spans="1:20">
      <c r="A252" t="s">
        <v>303</v>
      </c>
      <c r="B252" s="3">
        <v>64.75</v>
      </c>
      <c r="C252" s="3">
        <v>6.9367</v>
      </c>
      <c r="D252" s="3">
        <f t="shared" si="33"/>
        <v>449.151325</v>
      </c>
      <c r="E252" s="3">
        <f t="shared" si="38"/>
        <v>-22.4285755892987</v>
      </c>
      <c r="F252" s="3">
        <f t="shared" si="39"/>
        <v>0.2540453740055</v>
      </c>
      <c r="G252" s="3">
        <f t="shared" si="40"/>
        <v>-22.1745302152932</v>
      </c>
      <c r="H252" s="6">
        <v>107.9</v>
      </c>
      <c r="I252" s="6">
        <v>102.7</v>
      </c>
      <c r="J252" s="6">
        <v>102.2</v>
      </c>
      <c r="K252" s="3">
        <f t="shared" si="41"/>
        <v>-1.5</v>
      </c>
      <c r="L252" s="3">
        <f t="shared" si="42"/>
        <v>-0.599999999999994</v>
      </c>
      <c r="M252" s="3">
        <f t="shared" si="43"/>
        <v>-0.299999999999997</v>
      </c>
      <c r="N252" s="3">
        <v>103.3</v>
      </c>
      <c r="O252" s="3">
        <v>5.4</v>
      </c>
      <c r="P252" s="3">
        <v>6.3</v>
      </c>
      <c r="Q252" s="5">
        <f t="shared" si="34"/>
        <v>1</v>
      </c>
      <c r="R252" s="5">
        <f t="shared" si="35"/>
        <v>1</v>
      </c>
      <c r="S252" s="5">
        <f t="shared" si="36"/>
        <v>1</v>
      </c>
      <c r="T252" s="5">
        <f t="shared" si="37"/>
        <v>1</v>
      </c>
    </row>
    <row r="253" spans="1:20">
      <c r="A253" t="s">
        <v>304</v>
      </c>
      <c r="B253" s="3">
        <v>57.36</v>
      </c>
      <c r="C253" s="3">
        <v>6.8837</v>
      </c>
      <c r="D253" s="3">
        <f t="shared" si="33"/>
        <v>394.849032</v>
      </c>
      <c r="E253" s="3">
        <f t="shared" si="38"/>
        <v>-12.1186504288282</v>
      </c>
      <c r="F253" s="3">
        <f t="shared" si="39"/>
        <v>-0.76698590225805</v>
      </c>
      <c r="G253" s="3">
        <f t="shared" si="40"/>
        <v>-12.8856363310863</v>
      </c>
      <c r="H253" s="6">
        <v>103.8</v>
      </c>
      <c r="I253" s="6">
        <v>100.9</v>
      </c>
      <c r="J253" s="6">
        <v>101.9</v>
      </c>
      <c r="K253" s="3">
        <f t="shared" si="41"/>
        <v>-4.10000000000001</v>
      </c>
      <c r="L253" s="3">
        <f t="shared" si="42"/>
        <v>-1.8</v>
      </c>
      <c r="M253" s="3">
        <f t="shared" si="43"/>
        <v>-0.299999999999997</v>
      </c>
      <c r="N253" s="3">
        <v>101.6</v>
      </c>
      <c r="O253" s="3">
        <v>5.7</v>
      </c>
      <c r="P253" s="3">
        <v>6.2</v>
      </c>
      <c r="Q253" s="5">
        <f t="shared" si="34"/>
        <v>1</v>
      </c>
      <c r="R253" s="5">
        <f t="shared" si="35"/>
        <v>1</v>
      </c>
      <c r="S253" s="5">
        <f t="shared" si="36"/>
        <v>1</v>
      </c>
      <c r="T253" s="5">
        <f t="shared" si="37"/>
        <v>1</v>
      </c>
    </row>
    <row r="254" spans="1:20">
      <c r="A254" t="s">
        <v>305</v>
      </c>
      <c r="B254" s="3">
        <v>59.41</v>
      </c>
      <c r="C254" s="3">
        <v>6.7863</v>
      </c>
      <c r="D254" s="3">
        <f t="shared" si="33"/>
        <v>403.174083</v>
      </c>
      <c r="E254" s="3">
        <f t="shared" si="38"/>
        <v>3.51153660762851</v>
      </c>
      <c r="F254" s="3">
        <f t="shared" si="39"/>
        <v>-1.42504240355725</v>
      </c>
      <c r="G254" s="3">
        <f t="shared" si="40"/>
        <v>2.08649420407126</v>
      </c>
      <c r="H254" s="6">
        <v>100.3</v>
      </c>
      <c r="I254" s="6">
        <v>100.1</v>
      </c>
      <c r="J254" s="6">
        <v>101.7</v>
      </c>
      <c r="K254" s="3">
        <f t="shared" si="41"/>
        <v>-3.5</v>
      </c>
      <c r="L254" s="3">
        <f t="shared" si="42"/>
        <v>-0.800000000000011</v>
      </c>
      <c r="M254" s="3">
        <f t="shared" si="43"/>
        <v>-0.200000000000003</v>
      </c>
      <c r="N254" s="3">
        <v>100.2</v>
      </c>
      <c r="O254" s="3"/>
      <c r="P254" s="3"/>
      <c r="Q254" s="5">
        <f t="shared" si="34"/>
        <v>1</v>
      </c>
      <c r="R254" s="5">
        <f t="shared" si="35"/>
        <v>1</v>
      </c>
      <c r="S254" s="5">
        <f t="shared" si="36"/>
        <v>1</v>
      </c>
      <c r="T254" s="5">
        <f t="shared" si="37"/>
        <v>1</v>
      </c>
    </row>
    <row r="255" spans="1:20">
      <c r="A255" t="s">
        <v>306</v>
      </c>
      <c r="B255" s="3">
        <v>63.96</v>
      </c>
      <c r="C255" s="3">
        <v>6.7367</v>
      </c>
      <c r="D255" s="3">
        <f t="shared" si="33"/>
        <v>430.879332</v>
      </c>
      <c r="E255" s="3">
        <f t="shared" si="38"/>
        <v>7.37953255981036</v>
      </c>
      <c r="F255" s="3">
        <f t="shared" si="39"/>
        <v>-0.733568326906199</v>
      </c>
      <c r="G255" s="3">
        <f t="shared" si="40"/>
        <v>6.64596423290414</v>
      </c>
      <c r="H255" s="6">
        <v>99.5</v>
      </c>
      <c r="I255" s="6">
        <v>100.1</v>
      </c>
      <c r="J255" s="6">
        <v>101.5</v>
      </c>
      <c r="K255" s="3">
        <f t="shared" si="41"/>
        <v>-0.799999999999997</v>
      </c>
      <c r="L255" s="3">
        <f t="shared" si="42"/>
        <v>0</v>
      </c>
      <c r="M255" s="3">
        <f t="shared" si="43"/>
        <v>-0.200000000000003</v>
      </c>
      <c r="N255" s="3">
        <v>99.9</v>
      </c>
      <c r="O255" s="3"/>
      <c r="P255" s="3">
        <v>5.3</v>
      </c>
      <c r="Q255" s="5">
        <f t="shared" si="34"/>
        <v>1</v>
      </c>
      <c r="R255" s="5">
        <f t="shared" si="35"/>
        <v>1</v>
      </c>
      <c r="S255" s="5">
        <f t="shared" si="36"/>
        <v>1</v>
      </c>
      <c r="T255" s="5">
        <f t="shared" si="37"/>
        <v>1</v>
      </c>
    </row>
    <row r="256" spans="1:20">
      <c r="A256" t="s">
        <v>307</v>
      </c>
      <c r="B256" s="3">
        <v>66.14</v>
      </c>
      <c r="C256" s="3">
        <v>6.7119</v>
      </c>
      <c r="D256" s="3">
        <f t="shared" si="33"/>
        <v>443.925066</v>
      </c>
      <c r="E256" s="3">
        <f t="shared" si="38"/>
        <v>3.35158195878933</v>
      </c>
      <c r="F256" s="3">
        <f t="shared" si="39"/>
        <v>-0.368812041569736</v>
      </c>
      <c r="G256" s="3">
        <f t="shared" si="40"/>
        <v>2.9827699172196</v>
      </c>
      <c r="H256" s="6">
        <v>100.7</v>
      </c>
      <c r="I256" s="6">
        <v>100.4</v>
      </c>
      <c r="J256" s="6">
        <v>102.3</v>
      </c>
      <c r="K256" s="3">
        <f t="shared" si="41"/>
        <v>1.2</v>
      </c>
      <c r="L256" s="3">
        <f t="shared" si="42"/>
        <v>0.300000000000011</v>
      </c>
      <c r="M256" s="3">
        <f t="shared" si="43"/>
        <v>0.799999999999997</v>
      </c>
      <c r="N256" s="3">
        <v>100.2</v>
      </c>
      <c r="O256" s="3">
        <v>8.5</v>
      </c>
      <c r="P256" s="3">
        <v>6.5</v>
      </c>
      <c r="Q256" s="5">
        <f t="shared" si="34"/>
        <v>1</v>
      </c>
      <c r="R256" s="5">
        <f t="shared" si="35"/>
        <v>1</v>
      </c>
      <c r="S256" s="5">
        <f t="shared" si="36"/>
        <v>1</v>
      </c>
      <c r="T256" s="5">
        <f t="shared" si="37"/>
        <v>1</v>
      </c>
    </row>
    <row r="257" spans="1:20">
      <c r="A257" t="s">
        <v>308</v>
      </c>
      <c r="B257" s="3">
        <v>71.23</v>
      </c>
      <c r="C257" s="3">
        <v>6.7161</v>
      </c>
      <c r="D257" s="3">
        <f t="shared" si="33"/>
        <v>478.387803</v>
      </c>
      <c r="E257" s="3">
        <f t="shared" si="38"/>
        <v>7.41403704366157</v>
      </c>
      <c r="F257" s="3">
        <f t="shared" si="39"/>
        <v>0.0625558554805354</v>
      </c>
      <c r="G257" s="3">
        <f t="shared" si="40"/>
        <v>7.47659289914211</v>
      </c>
      <c r="H257" s="6">
        <v>101.6</v>
      </c>
      <c r="I257" s="6">
        <v>100.9</v>
      </c>
      <c r="J257" s="6">
        <v>102.5</v>
      </c>
      <c r="K257" s="3">
        <f t="shared" si="41"/>
        <v>0.899999999999991</v>
      </c>
      <c r="L257" s="3">
        <f t="shared" si="42"/>
        <v>0.5</v>
      </c>
      <c r="M257" s="3">
        <f t="shared" si="43"/>
        <v>0.200000000000003</v>
      </c>
      <c r="N257" s="3">
        <v>100.4</v>
      </c>
      <c r="O257" s="3">
        <v>5.4</v>
      </c>
      <c r="P257" s="3">
        <v>6.2</v>
      </c>
      <c r="Q257" s="5">
        <f t="shared" si="34"/>
        <v>1</v>
      </c>
      <c r="R257" s="5">
        <f t="shared" si="35"/>
        <v>1</v>
      </c>
      <c r="S257" s="5">
        <f t="shared" si="36"/>
        <v>1</v>
      </c>
      <c r="T257" s="5">
        <f t="shared" si="37"/>
        <v>1</v>
      </c>
    </row>
    <row r="258" spans="1:20">
      <c r="A258" t="s">
        <v>309</v>
      </c>
      <c r="B258" s="3">
        <v>71.32</v>
      </c>
      <c r="C258" s="3">
        <v>6.8519</v>
      </c>
      <c r="D258" s="3">
        <f t="shared" ref="D258:D321" si="44" xml:space="preserve">B258*C258</f>
        <v>488.677508</v>
      </c>
      <c r="E258" s="3">
        <f t="shared" si="38"/>
        <v>0.1262715004677</v>
      </c>
      <c r="F258" s="3">
        <f t="shared" si="39"/>
        <v>2.00183571565248</v>
      </c>
      <c r="G258" s="3">
        <f t="shared" si="40"/>
        <v>2.12810721612019</v>
      </c>
      <c r="H258" s="6">
        <v>101.4</v>
      </c>
      <c r="I258" s="6">
        <v>100.6</v>
      </c>
      <c r="J258" s="6">
        <v>102.7</v>
      </c>
      <c r="K258" s="3">
        <f t="shared" si="41"/>
        <v>-0.199999999999989</v>
      </c>
      <c r="L258" s="3">
        <f t="shared" si="42"/>
        <v>-0.300000000000011</v>
      </c>
      <c r="M258" s="3">
        <f t="shared" si="43"/>
        <v>0.200000000000003</v>
      </c>
      <c r="N258" s="3">
        <v>100.2</v>
      </c>
      <c r="O258" s="3">
        <v>5</v>
      </c>
      <c r="P258" s="3">
        <v>6</v>
      </c>
      <c r="Q258" s="5">
        <f t="shared" ref="Q258:Q321" si="45" xml:space="preserve">IF(ROW()&gt;=5,1,0)</f>
        <v>1</v>
      </c>
      <c r="R258" s="5">
        <f t="shared" ref="R258:R321" si="46" xml:space="preserve">IF(AND(ROW()&gt;=5,ROW()+3&lt;=339),1,0)</f>
        <v>1</v>
      </c>
      <c r="S258" s="5">
        <f t="shared" ref="S258:S321" si="47" xml:space="preserve">IF(AND(ROW()&gt;=5,ROW()+6&lt;=339),1,0)</f>
        <v>1</v>
      </c>
      <c r="T258" s="5">
        <f t="shared" ref="T258:T321" si="48" xml:space="preserve">IF(AND(ROW()&gt;=5,ROW()+12&lt;=339),1,0)</f>
        <v>1</v>
      </c>
    </row>
    <row r="259" spans="1:20">
      <c r="A259" t="s">
        <v>310</v>
      </c>
      <c r="B259" s="3">
        <v>64.22</v>
      </c>
      <c r="C259" s="3">
        <v>6.8977</v>
      </c>
      <c r="D259" s="3">
        <f t="shared" si="44"/>
        <v>442.970294</v>
      </c>
      <c r="E259" s="3">
        <f t="shared" ref="E259:E322" si="49" xml:space="preserve">100*LN(B259/B258)</f>
        <v>-10.4862104333572</v>
      </c>
      <c r="F259" s="3">
        <f t="shared" ref="F259:F322" si="50" xml:space="preserve">100*LN(C259/C258)</f>
        <v>0.666203662564279</v>
      </c>
      <c r="G259" s="3">
        <f t="shared" ref="G259:G322" si="51" xml:space="preserve">100*LN(D259/D258)</f>
        <v>-9.82000677079288</v>
      </c>
      <c r="H259" s="6">
        <v>99.8</v>
      </c>
      <c r="I259" s="6">
        <v>100</v>
      </c>
      <c r="J259" s="6">
        <v>102.7</v>
      </c>
      <c r="K259" s="3">
        <f t="shared" ref="K259:K322" si="52" xml:space="preserve">H259-H258</f>
        <v>-1.60000000000001</v>
      </c>
      <c r="L259" s="3">
        <f t="shared" ref="L259:L322" si="53" xml:space="preserve">I259-I258</f>
        <v>-0.599999999999994</v>
      </c>
      <c r="M259" s="3">
        <f t="shared" ref="M259:M322" si="54" xml:space="preserve">J259-J258</f>
        <v>0</v>
      </c>
      <c r="N259" s="3">
        <v>99.7</v>
      </c>
      <c r="O259" s="3">
        <v>6.3</v>
      </c>
      <c r="P259" s="3">
        <v>6</v>
      </c>
      <c r="Q259" s="5">
        <f t="shared" si="45"/>
        <v>1</v>
      </c>
      <c r="R259" s="5">
        <f t="shared" si="46"/>
        <v>1</v>
      </c>
      <c r="S259" s="5">
        <f t="shared" si="47"/>
        <v>1</v>
      </c>
      <c r="T259" s="5">
        <f t="shared" si="48"/>
        <v>1</v>
      </c>
    </row>
    <row r="260" spans="1:20">
      <c r="A260" t="s">
        <v>311</v>
      </c>
      <c r="B260" s="3">
        <v>63.92</v>
      </c>
      <c r="C260" s="3">
        <v>6.8775</v>
      </c>
      <c r="D260" s="3">
        <f t="shared" si="44"/>
        <v>439.6098</v>
      </c>
      <c r="E260" s="3">
        <f t="shared" si="49"/>
        <v>-0.468238720334857</v>
      </c>
      <c r="F260" s="3">
        <f t="shared" si="50"/>
        <v>-0.293280888538353</v>
      </c>
      <c r="G260" s="3">
        <f t="shared" si="51"/>
        <v>-0.7615196088732</v>
      </c>
      <c r="H260" s="6">
        <v>97.9</v>
      </c>
      <c r="I260" s="6">
        <v>99.7</v>
      </c>
      <c r="J260" s="6">
        <v>102.8</v>
      </c>
      <c r="K260" s="3">
        <f t="shared" si="52"/>
        <v>-1.89999999999999</v>
      </c>
      <c r="L260" s="3">
        <f t="shared" si="53"/>
        <v>-0.299999999999997</v>
      </c>
      <c r="M260" s="3">
        <f t="shared" si="54"/>
        <v>0.0999999999999943</v>
      </c>
      <c r="N260" s="3">
        <v>99.4</v>
      </c>
      <c r="O260" s="3">
        <v>4.8</v>
      </c>
      <c r="P260" s="3">
        <v>5.8</v>
      </c>
      <c r="Q260" s="5">
        <f t="shared" si="45"/>
        <v>1</v>
      </c>
      <c r="R260" s="5">
        <f t="shared" si="46"/>
        <v>1</v>
      </c>
      <c r="S260" s="5">
        <f t="shared" si="47"/>
        <v>1</v>
      </c>
      <c r="T260" s="5">
        <f t="shared" si="48"/>
        <v>1</v>
      </c>
    </row>
    <row r="261" spans="1:20">
      <c r="A261" t="s">
        <v>312</v>
      </c>
      <c r="B261" s="3">
        <v>59.04</v>
      </c>
      <c r="C261" s="3">
        <v>7.0629</v>
      </c>
      <c r="D261" s="3">
        <f t="shared" si="44"/>
        <v>416.993616</v>
      </c>
      <c r="E261" s="3">
        <f t="shared" si="49"/>
        <v>-7.94171211658022</v>
      </c>
      <c r="F261" s="3">
        <f t="shared" si="50"/>
        <v>2.66005182202844</v>
      </c>
      <c r="G261" s="3">
        <f t="shared" si="51"/>
        <v>-5.28166029455179</v>
      </c>
      <c r="H261" s="6">
        <v>96.8</v>
      </c>
      <c r="I261" s="6">
        <v>99.2</v>
      </c>
      <c r="J261" s="6">
        <v>102.8</v>
      </c>
      <c r="K261" s="3">
        <f t="shared" si="52"/>
        <v>-1.10000000000001</v>
      </c>
      <c r="L261" s="3">
        <f t="shared" si="53"/>
        <v>-0.5</v>
      </c>
      <c r="M261" s="3">
        <f t="shared" si="54"/>
        <v>0</v>
      </c>
      <c r="N261" s="3">
        <v>98.7</v>
      </c>
      <c r="O261" s="3">
        <v>4.4</v>
      </c>
      <c r="P261" s="3">
        <v>5.6</v>
      </c>
      <c r="Q261" s="5">
        <f t="shared" si="45"/>
        <v>1</v>
      </c>
      <c r="R261" s="5">
        <f t="shared" si="46"/>
        <v>1</v>
      </c>
      <c r="S261" s="5">
        <f t="shared" si="47"/>
        <v>1</v>
      </c>
      <c r="T261" s="5">
        <f t="shared" si="48"/>
        <v>1</v>
      </c>
    </row>
    <row r="262" spans="1:20">
      <c r="A262" t="s">
        <v>313</v>
      </c>
      <c r="B262" s="3">
        <v>62.83</v>
      </c>
      <c r="C262" s="3">
        <v>7.1137</v>
      </c>
      <c r="D262" s="3">
        <f t="shared" si="44"/>
        <v>446.953771</v>
      </c>
      <c r="E262" s="3">
        <f t="shared" si="49"/>
        <v>6.22174861226385</v>
      </c>
      <c r="F262" s="3">
        <f t="shared" si="50"/>
        <v>0.71667702319035</v>
      </c>
      <c r="G262" s="3">
        <f t="shared" si="51"/>
        <v>6.93842563545421</v>
      </c>
      <c r="H262" s="6">
        <v>95.8</v>
      </c>
      <c r="I262" s="6">
        <v>98.8</v>
      </c>
      <c r="J262" s="6">
        <v>103</v>
      </c>
      <c r="K262" s="3">
        <f t="shared" si="52"/>
        <v>-1</v>
      </c>
      <c r="L262" s="3">
        <f t="shared" si="53"/>
        <v>-0.400000000000006</v>
      </c>
      <c r="M262" s="3">
        <f t="shared" si="54"/>
        <v>0.200000000000003</v>
      </c>
      <c r="N262" s="3">
        <v>98.3</v>
      </c>
      <c r="O262" s="3">
        <v>5.8</v>
      </c>
      <c r="P262" s="3">
        <v>5.6</v>
      </c>
      <c r="Q262" s="5">
        <f t="shared" si="45"/>
        <v>1</v>
      </c>
      <c r="R262" s="5">
        <f t="shared" si="46"/>
        <v>1</v>
      </c>
      <c r="S262" s="5">
        <f t="shared" si="47"/>
        <v>1</v>
      </c>
      <c r="T262" s="5">
        <f t="shared" si="48"/>
        <v>1</v>
      </c>
    </row>
    <row r="263" spans="1:20">
      <c r="A263" t="s">
        <v>314</v>
      </c>
      <c r="B263" s="3">
        <v>59.71</v>
      </c>
      <c r="C263" s="3">
        <v>7.0961</v>
      </c>
      <c r="D263" s="3">
        <f t="shared" si="44"/>
        <v>423.708131</v>
      </c>
      <c r="E263" s="3">
        <f t="shared" si="49"/>
        <v>-5.09331558559545</v>
      </c>
      <c r="F263" s="3">
        <f t="shared" si="50"/>
        <v>-0.247716491435105</v>
      </c>
      <c r="G263" s="3">
        <f t="shared" si="51"/>
        <v>-5.34103207703056</v>
      </c>
      <c r="H263" s="6">
        <v>94.5</v>
      </c>
      <c r="I263" s="6">
        <v>98.4</v>
      </c>
      <c r="J263" s="6">
        <v>103.8</v>
      </c>
      <c r="K263" s="3">
        <f t="shared" si="52"/>
        <v>-1.3</v>
      </c>
      <c r="L263" s="3">
        <f t="shared" si="53"/>
        <v>-0.399999999999991</v>
      </c>
      <c r="M263" s="3">
        <f t="shared" si="54"/>
        <v>0.799999999999997</v>
      </c>
      <c r="N263" s="3">
        <v>97.9</v>
      </c>
      <c r="O263" s="3">
        <v>4.7</v>
      </c>
      <c r="P263" s="3">
        <v>5.6</v>
      </c>
      <c r="Q263" s="5">
        <f t="shared" si="45"/>
        <v>1</v>
      </c>
      <c r="R263" s="5">
        <f t="shared" si="46"/>
        <v>1</v>
      </c>
      <c r="S263" s="5">
        <f t="shared" si="47"/>
        <v>1</v>
      </c>
      <c r="T263" s="5">
        <f t="shared" si="48"/>
        <v>1</v>
      </c>
    </row>
    <row r="264" spans="1:20">
      <c r="A264" t="s">
        <v>315</v>
      </c>
      <c r="B264" s="3">
        <v>63.21</v>
      </c>
      <c r="C264" s="3">
        <v>7.0199</v>
      </c>
      <c r="D264" s="3">
        <f t="shared" si="44"/>
        <v>443.727879</v>
      </c>
      <c r="E264" s="3">
        <f t="shared" si="49"/>
        <v>5.69630059253063</v>
      </c>
      <c r="F264" s="3">
        <f t="shared" si="50"/>
        <v>-1.07963644324159</v>
      </c>
      <c r="G264" s="3">
        <f t="shared" si="51"/>
        <v>4.61666414928904</v>
      </c>
      <c r="H264" s="6">
        <v>94.2</v>
      </c>
      <c r="I264" s="6">
        <v>98.6</v>
      </c>
      <c r="J264" s="6">
        <v>104.5</v>
      </c>
      <c r="K264" s="3">
        <f t="shared" si="52"/>
        <v>-0.299999999999997</v>
      </c>
      <c r="L264" s="3">
        <f t="shared" si="53"/>
        <v>0.199999999999989</v>
      </c>
      <c r="M264" s="3">
        <f t="shared" si="54"/>
        <v>0.700000000000003</v>
      </c>
      <c r="N264" s="3">
        <v>97.8</v>
      </c>
      <c r="O264" s="3">
        <v>6.2</v>
      </c>
      <c r="P264" s="3">
        <v>5.6</v>
      </c>
      <c r="Q264" s="5">
        <f t="shared" si="45"/>
        <v>1</v>
      </c>
      <c r="R264" s="5">
        <f t="shared" si="46"/>
        <v>1</v>
      </c>
      <c r="S264" s="5">
        <f t="shared" si="47"/>
        <v>1</v>
      </c>
      <c r="T264" s="5">
        <f t="shared" si="48"/>
        <v>1</v>
      </c>
    </row>
    <row r="265" spans="1:20">
      <c r="A265" t="s">
        <v>316</v>
      </c>
      <c r="B265" s="3">
        <v>67.31</v>
      </c>
      <c r="C265" s="3">
        <v>7.0137</v>
      </c>
      <c r="D265" s="3">
        <f t="shared" si="44"/>
        <v>472.092147</v>
      </c>
      <c r="E265" s="3">
        <f t="shared" si="49"/>
        <v>6.28462975384145</v>
      </c>
      <c r="F265" s="3">
        <f t="shared" si="50"/>
        <v>-0.0883593718415982</v>
      </c>
      <c r="G265" s="3">
        <f t="shared" si="51"/>
        <v>6.19627038199986</v>
      </c>
      <c r="H265" s="6">
        <v>96.7</v>
      </c>
      <c r="I265" s="6">
        <v>99.5</v>
      </c>
      <c r="J265" s="6">
        <v>104.5</v>
      </c>
      <c r="K265" s="3">
        <f t="shared" si="52"/>
        <v>2.5</v>
      </c>
      <c r="L265" s="3">
        <f t="shared" si="53"/>
        <v>0.900000000000006</v>
      </c>
      <c r="M265" s="3">
        <f t="shared" si="54"/>
        <v>0</v>
      </c>
      <c r="N265" s="3">
        <v>98.7</v>
      </c>
      <c r="O265" s="3">
        <v>6.9</v>
      </c>
      <c r="P265" s="3">
        <v>5.7</v>
      </c>
      <c r="Q265" s="5">
        <f t="shared" si="45"/>
        <v>1</v>
      </c>
      <c r="R265" s="5">
        <f t="shared" si="46"/>
        <v>1</v>
      </c>
      <c r="S265" s="5">
        <f t="shared" si="47"/>
        <v>1</v>
      </c>
      <c r="T265" s="5">
        <f t="shared" si="48"/>
        <v>1</v>
      </c>
    </row>
    <row r="266" spans="1:20">
      <c r="A266" t="s">
        <v>317</v>
      </c>
      <c r="B266" s="3">
        <v>63.65</v>
      </c>
      <c r="C266" s="3">
        <v>6.9184</v>
      </c>
      <c r="D266" s="3">
        <f t="shared" si="44"/>
        <v>440.35616</v>
      </c>
      <c r="E266" s="3">
        <f t="shared" si="49"/>
        <v>-5.59094890192063</v>
      </c>
      <c r="F266" s="3">
        <f t="shared" si="50"/>
        <v>-1.36808501809002</v>
      </c>
      <c r="G266" s="3">
        <f t="shared" si="51"/>
        <v>-6.95903392001064</v>
      </c>
      <c r="H266" s="6">
        <v>99.8</v>
      </c>
      <c r="I266" s="6">
        <v>100.1</v>
      </c>
      <c r="J266" s="6">
        <v>105.4</v>
      </c>
      <c r="K266" s="3">
        <f t="shared" si="52"/>
        <v>3.09999999999999</v>
      </c>
      <c r="L266" s="3">
        <f t="shared" si="53"/>
        <v>0.599999999999994</v>
      </c>
      <c r="M266" s="3">
        <f t="shared" si="54"/>
        <v>0.900000000000006</v>
      </c>
      <c r="N266" s="3">
        <v>99.7</v>
      </c>
      <c r="O266" s="3"/>
      <c r="P266" s="3"/>
      <c r="Q266" s="5">
        <f t="shared" si="45"/>
        <v>1</v>
      </c>
      <c r="R266" s="5">
        <f t="shared" si="46"/>
        <v>1</v>
      </c>
      <c r="S266" s="5">
        <f t="shared" si="47"/>
        <v>1</v>
      </c>
      <c r="T266" s="5">
        <f t="shared" si="48"/>
        <v>1</v>
      </c>
    </row>
    <row r="267" spans="1:20">
      <c r="A267" t="s">
        <v>318</v>
      </c>
      <c r="B267" s="3">
        <v>55.66</v>
      </c>
      <c r="C267" s="3">
        <v>6.9967</v>
      </c>
      <c r="D267" s="3">
        <f t="shared" si="44"/>
        <v>389.436322</v>
      </c>
      <c r="E267" s="3">
        <f t="shared" si="49"/>
        <v>-13.4137568905671</v>
      </c>
      <c r="F267" s="3">
        <f t="shared" si="50"/>
        <v>1.12540803038018</v>
      </c>
      <c r="G267" s="3">
        <f t="shared" si="51"/>
        <v>-12.2883488601869</v>
      </c>
      <c r="H267" s="6">
        <v>99</v>
      </c>
      <c r="I267" s="6">
        <v>99.6</v>
      </c>
      <c r="J267" s="6">
        <v>105.2</v>
      </c>
      <c r="K267" s="3">
        <f t="shared" si="52"/>
        <v>-0.799999999999997</v>
      </c>
      <c r="L267" s="3">
        <f t="shared" si="53"/>
        <v>-0.5</v>
      </c>
      <c r="M267" s="3">
        <f t="shared" si="54"/>
        <v>-0.200000000000003</v>
      </c>
      <c r="N267" s="3">
        <v>99.5</v>
      </c>
      <c r="O267" s="3"/>
      <c r="P267" s="3">
        <v>-13.5</v>
      </c>
      <c r="Q267" s="5">
        <f t="shared" si="45"/>
        <v>1</v>
      </c>
      <c r="R267" s="5">
        <f t="shared" si="46"/>
        <v>1</v>
      </c>
      <c r="S267" s="5">
        <f t="shared" si="47"/>
        <v>1</v>
      </c>
      <c r="T267" s="5">
        <f t="shared" si="48"/>
        <v>1</v>
      </c>
    </row>
    <row r="268" spans="1:20">
      <c r="A268" t="s">
        <v>319</v>
      </c>
      <c r="B268" s="3">
        <v>32.01</v>
      </c>
      <c r="C268" s="3">
        <v>7.0205</v>
      </c>
      <c r="D268" s="3">
        <f t="shared" si="44"/>
        <v>224.726205</v>
      </c>
      <c r="E268" s="3">
        <f t="shared" si="49"/>
        <v>-55.3213402115973</v>
      </c>
      <c r="F268" s="3">
        <f t="shared" si="50"/>
        <v>0.339583124606067</v>
      </c>
      <c r="G268" s="3">
        <f t="shared" si="51"/>
        <v>-54.9817570869912</v>
      </c>
      <c r="H268" s="6">
        <v>96</v>
      </c>
      <c r="I268" s="6">
        <v>98.5</v>
      </c>
      <c r="J268" s="6">
        <v>104.3</v>
      </c>
      <c r="K268" s="3">
        <f t="shared" si="52"/>
        <v>-3</v>
      </c>
      <c r="L268" s="3">
        <f t="shared" si="53"/>
        <v>-1.09999999999999</v>
      </c>
      <c r="M268" s="3">
        <f t="shared" si="54"/>
        <v>-0.900000000000006</v>
      </c>
      <c r="N268" s="3">
        <v>98.4</v>
      </c>
      <c r="O268" s="3">
        <v>-1.1</v>
      </c>
      <c r="P268" s="3">
        <v>-8.4</v>
      </c>
      <c r="Q268" s="5">
        <f t="shared" si="45"/>
        <v>1</v>
      </c>
      <c r="R268" s="5">
        <f t="shared" si="46"/>
        <v>1</v>
      </c>
      <c r="S268" s="5">
        <f t="shared" si="47"/>
        <v>1</v>
      </c>
      <c r="T268" s="5">
        <f t="shared" si="48"/>
        <v>1</v>
      </c>
    </row>
    <row r="269" spans="1:20">
      <c r="A269" t="s">
        <v>320</v>
      </c>
      <c r="B269" s="3">
        <v>18.38</v>
      </c>
      <c r="C269" s="3">
        <v>7.0708</v>
      </c>
      <c r="D269" s="3">
        <f t="shared" si="44"/>
        <v>129.961304</v>
      </c>
      <c r="E269" s="3">
        <f t="shared" si="49"/>
        <v>-55.4785237054231</v>
      </c>
      <c r="F269" s="3">
        <f t="shared" si="50"/>
        <v>0.713918710703119</v>
      </c>
      <c r="G269" s="3">
        <f t="shared" si="51"/>
        <v>-54.76460499472</v>
      </c>
      <c r="H269" s="6">
        <v>88.6</v>
      </c>
      <c r="I269" s="6">
        <v>96.9</v>
      </c>
      <c r="J269" s="6">
        <v>103.3</v>
      </c>
      <c r="K269" s="3">
        <f t="shared" si="52"/>
        <v>-7.40000000000001</v>
      </c>
      <c r="L269" s="3">
        <f t="shared" si="53"/>
        <v>-1.59999999999999</v>
      </c>
      <c r="M269" s="3">
        <f t="shared" si="54"/>
        <v>-1</v>
      </c>
      <c r="N269" s="3">
        <v>96.2</v>
      </c>
      <c r="O269" s="3">
        <v>3.9</v>
      </c>
      <c r="P269" s="3">
        <v>-4.9</v>
      </c>
      <c r="Q269" s="5">
        <f t="shared" si="45"/>
        <v>1</v>
      </c>
      <c r="R269" s="5">
        <f t="shared" si="46"/>
        <v>1</v>
      </c>
      <c r="S269" s="5">
        <f t="shared" si="47"/>
        <v>1</v>
      </c>
      <c r="T269" s="5">
        <f t="shared" si="48"/>
        <v>1</v>
      </c>
    </row>
    <row r="270" spans="1:20">
      <c r="A270" t="s">
        <v>321</v>
      </c>
      <c r="B270" s="3">
        <v>29.38</v>
      </c>
      <c r="C270" s="3">
        <v>7.1016</v>
      </c>
      <c r="D270" s="3">
        <f t="shared" si="44"/>
        <v>208.645008</v>
      </c>
      <c r="E270" s="3">
        <f t="shared" si="49"/>
        <v>46.905105381819</v>
      </c>
      <c r="F270" s="3">
        <f t="shared" si="50"/>
        <v>0.43464830923815</v>
      </c>
      <c r="G270" s="3">
        <f t="shared" si="51"/>
        <v>47.3397536910572</v>
      </c>
      <c r="H270" s="6">
        <v>84.5</v>
      </c>
      <c r="I270" s="6">
        <v>96.3</v>
      </c>
      <c r="J270" s="6">
        <v>102.4</v>
      </c>
      <c r="K270" s="3">
        <f t="shared" si="52"/>
        <v>-4.09999999999999</v>
      </c>
      <c r="L270" s="3">
        <f t="shared" si="53"/>
        <v>-0.600000000000009</v>
      </c>
      <c r="M270" s="3">
        <f t="shared" si="54"/>
        <v>-0.899999999999991</v>
      </c>
      <c r="N270" s="3">
        <v>95</v>
      </c>
      <c r="O270" s="3">
        <v>4.4</v>
      </c>
      <c r="P270" s="3">
        <v>-2.8</v>
      </c>
      <c r="Q270" s="5">
        <f t="shared" si="45"/>
        <v>1</v>
      </c>
      <c r="R270" s="5">
        <f t="shared" si="46"/>
        <v>1</v>
      </c>
      <c r="S270" s="5">
        <f t="shared" si="47"/>
        <v>1</v>
      </c>
      <c r="T270" s="5">
        <f t="shared" si="48"/>
        <v>1</v>
      </c>
    </row>
    <row r="271" spans="1:20">
      <c r="A271" t="s">
        <v>322</v>
      </c>
      <c r="B271" s="3">
        <v>40.27</v>
      </c>
      <c r="C271" s="3">
        <v>7.0816</v>
      </c>
      <c r="D271" s="3">
        <f t="shared" si="44"/>
        <v>285.176032</v>
      </c>
      <c r="E271" s="3">
        <f t="shared" si="49"/>
        <v>31.5292604117632</v>
      </c>
      <c r="F271" s="3">
        <f t="shared" si="50"/>
        <v>-0.282023989737912</v>
      </c>
      <c r="G271" s="3">
        <f t="shared" si="51"/>
        <v>31.2472364220253</v>
      </c>
      <c r="H271" s="6">
        <v>85.8</v>
      </c>
      <c r="I271" s="6">
        <v>97</v>
      </c>
      <c r="J271" s="6">
        <v>102.5</v>
      </c>
      <c r="K271" s="3">
        <f t="shared" si="52"/>
        <v>1.3</v>
      </c>
      <c r="L271" s="3">
        <f t="shared" si="53"/>
        <v>0.700000000000003</v>
      </c>
      <c r="M271" s="3">
        <f t="shared" si="54"/>
        <v>0.0999999999999943</v>
      </c>
      <c r="N271" s="3">
        <v>95.6</v>
      </c>
      <c r="O271" s="3">
        <v>4.8</v>
      </c>
      <c r="P271" s="3">
        <v>-1.3</v>
      </c>
      <c r="Q271" s="5">
        <f t="shared" si="45"/>
        <v>1</v>
      </c>
      <c r="R271" s="5">
        <f t="shared" si="46"/>
        <v>1</v>
      </c>
      <c r="S271" s="5">
        <f t="shared" si="47"/>
        <v>1</v>
      </c>
      <c r="T271" s="5">
        <f t="shared" si="48"/>
        <v>1</v>
      </c>
    </row>
    <row r="272" spans="1:20">
      <c r="A272" t="s">
        <v>323</v>
      </c>
      <c r="B272" s="3">
        <v>43.24</v>
      </c>
      <c r="C272" s="3">
        <v>7.0041</v>
      </c>
      <c r="D272" s="3">
        <f t="shared" si="44"/>
        <v>302.857284</v>
      </c>
      <c r="E272" s="3">
        <f t="shared" si="49"/>
        <v>7.11592179076448</v>
      </c>
      <c r="F272" s="3">
        <f t="shared" si="50"/>
        <v>-1.10041789972288</v>
      </c>
      <c r="G272" s="3">
        <f t="shared" si="51"/>
        <v>6.01550389104159</v>
      </c>
      <c r="H272" s="6">
        <v>89.2</v>
      </c>
      <c r="I272" s="6">
        <v>97.6</v>
      </c>
      <c r="J272" s="6">
        <v>102.7</v>
      </c>
      <c r="K272" s="3">
        <f t="shared" si="52"/>
        <v>3.40000000000001</v>
      </c>
      <c r="L272" s="3">
        <f t="shared" si="53"/>
        <v>0.599999999999994</v>
      </c>
      <c r="M272" s="3">
        <f t="shared" si="54"/>
        <v>0.200000000000003</v>
      </c>
      <c r="N272" s="3">
        <v>96.7</v>
      </c>
      <c r="O272" s="3">
        <v>4.8</v>
      </c>
      <c r="P272" s="3">
        <v>-0.4</v>
      </c>
      <c r="Q272" s="5">
        <f t="shared" si="45"/>
        <v>1</v>
      </c>
      <c r="R272" s="5">
        <f t="shared" si="46"/>
        <v>1</v>
      </c>
      <c r="S272" s="5">
        <f t="shared" si="47"/>
        <v>1</v>
      </c>
      <c r="T272" s="5">
        <f t="shared" si="48"/>
        <v>1</v>
      </c>
    </row>
    <row r="273" spans="1:20">
      <c r="A273" t="s">
        <v>324</v>
      </c>
      <c r="B273" s="3">
        <v>44.74</v>
      </c>
      <c r="C273" s="3">
        <v>6.927</v>
      </c>
      <c r="D273" s="3">
        <f t="shared" si="44"/>
        <v>309.91398</v>
      </c>
      <c r="E273" s="3">
        <f t="shared" si="49"/>
        <v>3.4101963290976</v>
      </c>
      <c r="F273" s="3">
        <f t="shared" si="50"/>
        <v>-1.10688728368966</v>
      </c>
      <c r="G273" s="3">
        <f t="shared" si="51"/>
        <v>2.30330904540793</v>
      </c>
      <c r="H273" s="6">
        <v>90.2</v>
      </c>
      <c r="I273" s="6">
        <v>98</v>
      </c>
      <c r="J273" s="6">
        <v>102.4</v>
      </c>
      <c r="K273" s="3">
        <f t="shared" si="52"/>
        <v>1</v>
      </c>
      <c r="L273" s="3">
        <f t="shared" si="53"/>
        <v>0.400000000000006</v>
      </c>
      <c r="M273" s="3">
        <f t="shared" si="54"/>
        <v>-0.299999999999997</v>
      </c>
      <c r="N273" s="3">
        <v>97.5</v>
      </c>
      <c r="O273" s="3">
        <v>5.6</v>
      </c>
      <c r="P273" s="3">
        <v>0.4</v>
      </c>
      <c r="Q273" s="5">
        <f t="shared" si="45"/>
        <v>1</v>
      </c>
      <c r="R273" s="5">
        <f t="shared" si="46"/>
        <v>1</v>
      </c>
      <c r="S273" s="5">
        <f t="shared" si="47"/>
        <v>1</v>
      </c>
      <c r="T273" s="5">
        <f t="shared" si="48"/>
        <v>1</v>
      </c>
    </row>
    <row r="274" spans="1:20">
      <c r="A274" t="s">
        <v>325</v>
      </c>
      <c r="B274" s="3">
        <v>40.91</v>
      </c>
      <c r="C274" s="3">
        <v>6.8106</v>
      </c>
      <c r="D274" s="3">
        <f t="shared" si="44"/>
        <v>278.621646</v>
      </c>
      <c r="E274" s="3">
        <f t="shared" si="49"/>
        <v>-8.94934241206765</v>
      </c>
      <c r="F274" s="3">
        <f t="shared" si="50"/>
        <v>-1.69465970332563</v>
      </c>
      <c r="G274" s="3">
        <f t="shared" si="51"/>
        <v>-10.6440021153933</v>
      </c>
      <c r="H274" s="6">
        <v>90.7</v>
      </c>
      <c r="I274" s="6">
        <v>97.9</v>
      </c>
      <c r="J274" s="6">
        <v>101.7</v>
      </c>
      <c r="K274" s="3">
        <f t="shared" si="52"/>
        <v>0.5</v>
      </c>
      <c r="L274" s="3">
        <f t="shared" si="53"/>
        <v>-0.0999999999999943</v>
      </c>
      <c r="M274" s="3">
        <f t="shared" si="54"/>
        <v>-0.700000000000003</v>
      </c>
      <c r="N274" s="3">
        <v>97.7</v>
      </c>
      <c r="O274" s="3">
        <v>6.9</v>
      </c>
      <c r="P274" s="3">
        <v>1.2</v>
      </c>
      <c r="Q274" s="5">
        <f t="shared" si="45"/>
        <v>1</v>
      </c>
      <c r="R274" s="5">
        <f t="shared" si="46"/>
        <v>1</v>
      </c>
      <c r="S274" s="5">
        <f t="shared" si="47"/>
        <v>1</v>
      </c>
      <c r="T274" s="5">
        <f t="shared" si="48"/>
        <v>1</v>
      </c>
    </row>
    <row r="275" spans="1:20">
      <c r="A275" t="s">
        <v>326</v>
      </c>
      <c r="B275" s="3">
        <v>40.19</v>
      </c>
      <c r="C275" s="3">
        <v>6.7254</v>
      </c>
      <c r="D275" s="3">
        <f t="shared" si="44"/>
        <v>270.293826</v>
      </c>
      <c r="E275" s="3">
        <f t="shared" si="49"/>
        <v>-1.77563234801975</v>
      </c>
      <c r="F275" s="3">
        <f t="shared" si="50"/>
        <v>-1.25888187342441</v>
      </c>
      <c r="G275" s="3">
        <f t="shared" si="51"/>
        <v>-3.03451422144416</v>
      </c>
      <c r="H275" s="6">
        <v>90.1</v>
      </c>
      <c r="I275" s="6">
        <v>97.9</v>
      </c>
      <c r="J275" s="6">
        <v>100.5</v>
      </c>
      <c r="K275" s="3">
        <f t="shared" si="52"/>
        <v>-0.600000000000009</v>
      </c>
      <c r="L275" s="3">
        <f t="shared" si="53"/>
        <v>0</v>
      </c>
      <c r="M275" s="3">
        <f t="shared" si="54"/>
        <v>-1.2</v>
      </c>
      <c r="N275" s="3">
        <v>97.6</v>
      </c>
      <c r="O275" s="3">
        <v>6.9</v>
      </c>
      <c r="P275" s="3">
        <v>1.8</v>
      </c>
      <c r="Q275" s="5">
        <f t="shared" si="45"/>
        <v>1</v>
      </c>
      <c r="R275" s="5">
        <f t="shared" si="46"/>
        <v>1</v>
      </c>
      <c r="S275" s="5">
        <f t="shared" si="47"/>
        <v>1</v>
      </c>
      <c r="T275" s="5">
        <f t="shared" si="48"/>
        <v>1</v>
      </c>
    </row>
    <row r="276" spans="1:20">
      <c r="A276" t="s">
        <v>327</v>
      </c>
      <c r="B276" s="3">
        <v>42.69</v>
      </c>
      <c r="C276" s="3">
        <v>6.6029</v>
      </c>
      <c r="D276" s="3">
        <f t="shared" si="44"/>
        <v>281.877801</v>
      </c>
      <c r="E276" s="3">
        <f t="shared" si="49"/>
        <v>6.03464923087609</v>
      </c>
      <c r="F276" s="3">
        <f t="shared" si="50"/>
        <v>-1.83824568064426</v>
      </c>
      <c r="G276" s="3">
        <f t="shared" si="51"/>
        <v>4.19640355023183</v>
      </c>
      <c r="H276" s="6">
        <v>91.6</v>
      </c>
      <c r="I276" s="6">
        <v>98.5</v>
      </c>
      <c r="J276" s="6">
        <v>99.5</v>
      </c>
      <c r="K276" s="3">
        <f t="shared" si="52"/>
        <v>1.5</v>
      </c>
      <c r="L276" s="3">
        <f t="shared" si="53"/>
        <v>0.599999999999994</v>
      </c>
      <c r="M276" s="3">
        <f t="shared" si="54"/>
        <v>-1</v>
      </c>
      <c r="N276" s="3">
        <v>98.4</v>
      </c>
      <c r="O276" s="3">
        <v>7</v>
      </c>
      <c r="P276" s="3">
        <v>2.3</v>
      </c>
      <c r="Q276" s="5">
        <f t="shared" si="45"/>
        <v>1</v>
      </c>
      <c r="R276" s="5">
        <f t="shared" si="46"/>
        <v>1</v>
      </c>
      <c r="S276" s="5">
        <f t="shared" si="47"/>
        <v>1</v>
      </c>
      <c r="T276" s="5">
        <f t="shared" si="48"/>
        <v>1</v>
      </c>
    </row>
    <row r="277" spans="1:20">
      <c r="A277" t="s">
        <v>328</v>
      </c>
      <c r="B277" s="3">
        <v>49.99</v>
      </c>
      <c r="C277" s="3">
        <v>6.5393</v>
      </c>
      <c r="D277" s="3">
        <f t="shared" si="44"/>
        <v>326.899607</v>
      </c>
      <c r="E277" s="3">
        <f t="shared" si="49"/>
        <v>15.7858284655608</v>
      </c>
      <c r="F277" s="3">
        <f t="shared" si="50"/>
        <v>-0.967882036507015</v>
      </c>
      <c r="G277" s="3">
        <f t="shared" si="51"/>
        <v>14.8179464290538</v>
      </c>
      <c r="H277" s="6">
        <v>93.4</v>
      </c>
      <c r="I277" s="6">
        <v>99.6</v>
      </c>
      <c r="J277" s="6">
        <v>100.2</v>
      </c>
      <c r="K277" s="3">
        <f t="shared" si="52"/>
        <v>1.80000000000001</v>
      </c>
      <c r="L277" s="3">
        <f t="shared" si="53"/>
        <v>1.09999999999999</v>
      </c>
      <c r="M277" s="3">
        <f t="shared" si="54"/>
        <v>0.700000000000003</v>
      </c>
      <c r="N277" s="3">
        <v>100</v>
      </c>
      <c r="O277" s="3">
        <v>7.3</v>
      </c>
      <c r="P277" s="3">
        <v>2.8</v>
      </c>
      <c r="Q277" s="5">
        <f t="shared" si="45"/>
        <v>1</v>
      </c>
      <c r="R277" s="5">
        <f t="shared" si="46"/>
        <v>1</v>
      </c>
      <c r="S277" s="5">
        <f t="shared" si="47"/>
        <v>1</v>
      </c>
      <c r="T277" s="5">
        <f t="shared" si="48"/>
        <v>1</v>
      </c>
    </row>
    <row r="278" spans="1:20">
      <c r="A278" t="s">
        <v>329</v>
      </c>
      <c r="B278" s="3">
        <v>54.77</v>
      </c>
      <c r="C278" s="3">
        <v>6.4672</v>
      </c>
      <c r="D278" s="3">
        <f t="shared" si="44"/>
        <v>354.208544</v>
      </c>
      <c r="E278" s="3">
        <f t="shared" si="49"/>
        <v>9.1319613370151</v>
      </c>
      <c r="F278" s="3">
        <f t="shared" si="50"/>
        <v>-1.108687787429</v>
      </c>
      <c r="G278" s="3">
        <f t="shared" si="51"/>
        <v>8.02327354958609</v>
      </c>
      <c r="H278" s="6">
        <v>95.2</v>
      </c>
      <c r="I278" s="6">
        <v>100.3</v>
      </c>
      <c r="J278" s="6">
        <v>99.7</v>
      </c>
      <c r="K278" s="3">
        <f t="shared" si="52"/>
        <v>1.8</v>
      </c>
      <c r="L278" s="3">
        <f t="shared" si="53"/>
        <v>0.700000000000003</v>
      </c>
      <c r="M278" s="3">
        <f t="shared" si="54"/>
        <v>-0.5</v>
      </c>
      <c r="N278" s="3">
        <v>100.9</v>
      </c>
      <c r="O278" s="3"/>
      <c r="P278" s="3"/>
      <c r="Q278" s="5">
        <f t="shared" si="45"/>
        <v>1</v>
      </c>
      <c r="R278" s="5">
        <f t="shared" si="46"/>
        <v>1</v>
      </c>
      <c r="S278" s="5">
        <f t="shared" si="47"/>
        <v>1</v>
      </c>
      <c r="T278" s="5">
        <f t="shared" si="48"/>
        <v>1</v>
      </c>
    </row>
    <row r="279" spans="1:20">
      <c r="A279" t="s">
        <v>330</v>
      </c>
      <c r="B279" s="3">
        <v>62.28</v>
      </c>
      <c r="C279" s="3">
        <v>6.4601</v>
      </c>
      <c r="D279" s="3">
        <f t="shared" si="44"/>
        <v>402.335028</v>
      </c>
      <c r="E279" s="3">
        <f t="shared" si="49"/>
        <v>12.8497748170168</v>
      </c>
      <c r="F279" s="3">
        <f t="shared" si="50"/>
        <v>-0.109845067630541</v>
      </c>
      <c r="G279" s="3">
        <f t="shared" si="51"/>
        <v>12.7399297493862</v>
      </c>
      <c r="H279" s="6">
        <v>99</v>
      </c>
      <c r="I279" s="6">
        <v>101.7</v>
      </c>
      <c r="J279" s="6">
        <v>99.8</v>
      </c>
      <c r="K279" s="3">
        <f t="shared" si="52"/>
        <v>3.8</v>
      </c>
      <c r="L279" s="3">
        <f t="shared" si="53"/>
        <v>1.40000000000001</v>
      </c>
      <c r="M279" s="3">
        <f t="shared" si="54"/>
        <v>0.0999999999999943</v>
      </c>
      <c r="N279" s="3">
        <v>102.4</v>
      </c>
      <c r="O279" s="3"/>
      <c r="P279" s="3">
        <v>35.1</v>
      </c>
      <c r="Q279" s="5">
        <f t="shared" si="45"/>
        <v>1</v>
      </c>
      <c r="R279" s="5">
        <f t="shared" si="46"/>
        <v>1</v>
      </c>
      <c r="S279" s="5">
        <f t="shared" si="47"/>
        <v>1</v>
      </c>
      <c r="T279" s="5">
        <f t="shared" si="48"/>
        <v>1</v>
      </c>
    </row>
    <row r="280" spans="1:20">
      <c r="A280" t="s">
        <v>331</v>
      </c>
      <c r="B280" s="3">
        <v>65.41</v>
      </c>
      <c r="C280" s="3">
        <v>6.5109</v>
      </c>
      <c r="D280" s="3">
        <f t="shared" si="44"/>
        <v>425.877969</v>
      </c>
      <c r="E280" s="3">
        <f t="shared" si="49"/>
        <v>4.90348050073238</v>
      </c>
      <c r="F280" s="3">
        <f t="shared" si="50"/>
        <v>0.783289796205354</v>
      </c>
      <c r="G280" s="3">
        <f t="shared" si="51"/>
        <v>5.68677029693774</v>
      </c>
      <c r="H280" s="6">
        <v>102.7</v>
      </c>
      <c r="I280" s="6">
        <v>104.4</v>
      </c>
      <c r="J280" s="6">
        <v>100.4</v>
      </c>
      <c r="K280" s="3">
        <f t="shared" si="52"/>
        <v>3.7</v>
      </c>
      <c r="L280" s="3">
        <f t="shared" si="53"/>
        <v>2.7</v>
      </c>
      <c r="M280" s="3">
        <f t="shared" si="54"/>
        <v>0.600000000000009</v>
      </c>
      <c r="N280" s="3">
        <v>105.2</v>
      </c>
      <c r="O280" s="3">
        <v>14.1</v>
      </c>
      <c r="P280" s="3">
        <v>24.5</v>
      </c>
      <c r="Q280" s="5">
        <f t="shared" si="45"/>
        <v>1</v>
      </c>
      <c r="R280" s="5">
        <f t="shared" si="46"/>
        <v>1</v>
      </c>
      <c r="S280" s="5">
        <f t="shared" si="47"/>
        <v>1</v>
      </c>
      <c r="T280" s="5">
        <f t="shared" si="48"/>
        <v>1</v>
      </c>
    </row>
    <row r="281" spans="1:20">
      <c r="A281" t="s">
        <v>332</v>
      </c>
      <c r="B281" s="3">
        <v>64.81</v>
      </c>
      <c r="C281" s="3">
        <v>6.5186</v>
      </c>
      <c r="D281" s="3">
        <f t="shared" si="44"/>
        <v>422.470466</v>
      </c>
      <c r="E281" s="3">
        <f t="shared" si="49"/>
        <v>-0.921523953349669</v>
      </c>
      <c r="F281" s="3">
        <f t="shared" si="50"/>
        <v>0.11819334427854</v>
      </c>
      <c r="G281" s="3">
        <f t="shared" si="51"/>
        <v>-0.803330609071117</v>
      </c>
      <c r="H281" s="6">
        <v>112.1</v>
      </c>
      <c r="I281" s="6">
        <v>106.8</v>
      </c>
      <c r="J281" s="6">
        <v>100.9</v>
      </c>
      <c r="K281" s="3">
        <f t="shared" si="52"/>
        <v>9.39999999999999</v>
      </c>
      <c r="L281" s="3">
        <f t="shared" si="53"/>
        <v>2.39999999999999</v>
      </c>
      <c r="M281" s="3">
        <f t="shared" si="54"/>
        <v>0.5</v>
      </c>
      <c r="N281" s="3">
        <v>109</v>
      </c>
      <c r="O281" s="3">
        <v>9.8</v>
      </c>
      <c r="P281" s="3">
        <v>20.3</v>
      </c>
      <c r="Q281" s="5">
        <f t="shared" si="45"/>
        <v>1</v>
      </c>
      <c r="R281" s="5">
        <f t="shared" si="46"/>
        <v>1</v>
      </c>
      <c r="S281" s="5">
        <f t="shared" si="47"/>
        <v>1</v>
      </c>
      <c r="T281" s="5">
        <f t="shared" si="48"/>
        <v>1</v>
      </c>
    </row>
    <row r="282" spans="1:20">
      <c r="A282" t="s">
        <v>333</v>
      </c>
      <c r="B282" s="3">
        <v>68.53</v>
      </c>
      <c r="C282" s="3">
        <v>6.4321</v>
      </c>
      <c r="D282" s="3">
        <f t="shared" si="44"/>
        <v>440.791813</v>
      </c>
      <c r="E282" s="3">
        <f t="shared" si="49"/>
        <v>5.58116931581076</v>
      </c>
      <c r="F282" s="3">
        <f t="shared" si="50"/>
        <v>-1.3358549936209</v>
      </c>
      <c r="G282" s="3">
        <f t="shared" si="51"/>
        <v>4.24531432218987</v>
      </c>
      <c r="H282" s="6">
        <v>120.7</v>
      </c>
      <c r="I282" s="6">
        <v>109</v>
      </c>
      <c r="J282" s="6">
        <v>101.3</v>
      </c>
      <c r="K282" s="3">
        <f t="shared" si="52"/>
        <v>8.60000000000001</v>
      </c>
      <c r="L282" s="3">
        <f t="shared" si="53"/>
        <v>2.2</v>
      </c>
      <c r="M282" s="3">
        <f t="shared" si="54"/>
        <v>0.399999999999991</v>
      </c>
      <c r="N282" s="3">
        <v>112.5</v>
      </c>
      <c r="O282" s="3">
        <v>8.8</v>
      </c>
      <c r="P282" s="3">
        <v>17.8</v>
      </c>
      <c r="Q282" s="5">
        <f t="shared" si="45"/>
        <v>1</v>
      </c>
      <c r="R282" s="5">
        <f t="shared" si="46"/>
        <v>1</v>
      </c>
      <c r="S282" s="5">
        <f t="shared" si="47"/>
        <v>1</v>
      </c>
      <c r="T282" s="5">
        <f t="shared" si="48"/>
        <v>1</v>
      </c>
    </row>
    <row r="283" spans="1:20">
      <c r="A283" t="s">
        <v>334</v>
      </c>
      <c r="B283" s="3">
        <v>73.16</v>
      </c>
      <c r="C283" s="3">
        <v>6.425</v>
      </c>
      <c r="D283" s="3">
        <f t="shared" si="44"/>
        <v>470.053</v>
      </c>
      <c r="E283" s="3">
        <f t="shared" si="49"/>
        <v>6.53772179249326</v>
      </c>
      <c r="F283" s="3">
        <f t="shared" si="50"/>
        <v>-0.110444823820596</v>
      </c>
      <c r="G283" s="3">
        <f t="shared" si="51"/>
        <v>6.42727696867266</v>
      </c>
      <c r="H283" s="6">
        <v>122.8</v>
      </c>
      <c r="I283" s="6">
        <v>108.8</v>
      </c>
      <c r="J283" s="6">
        <v>101.1</v>
      </c>
      <c r="K283" s="3">
        <f t="shared" si="52"/>
        <v>2.09999999999999</v>
      </c>
      <c r="L283" s="3">
        <f t="shared" si="53"/>
        <v>-0.200000000000003</v>
      </c>
      <c r="M283" s="3">
        <f t="shared" si="54"/>
        <v>-0.200000000000003</v>
      </c>
      <c r="N283" s="3">
        <v>113.1</v>
      </c>
      <c r="O283" s="3">
        <v>8.3</v>
      </c>
      <c r="P283" s="3">
        <v>15.9</v>
      </c>
      <c r="Q283" s="5">
        <f t="shared" si="45"/>
        <v>1</v>
      </c>
      <c r="R283" s="5">
        <f t="shared" si="46"/>
        <v>1</v>
      </c>
      <c r="S283" s="5">
        <f t="shared" si="47"/>
        <v>1</v>
      </c>
      <c r="T283" s="5">
        <f t="shared" si="48"/>
        <v>1</v>
      </c>
    </row>
    <row r="284" spans="1:20">
      <c r="A284" t="s">
        <v>335</v>
      </c>
      <c r="B284" s="3">
        <v>75.17</v>
      </c>
      <c r="C284" s="3">
        <v>6.4763</v>
      </c>
      <c r="D284" s="3">
        <f t="shared" si="44"/>
        <v>486.823471</v>
      </c>
      <c r="E284" s="3">
        <f t="shared" si="49"/>
        <v>2.71033916667126</v>
      </c>
      <c r="F284" s="3">
        <f t="shared" si="50"/>
        <v>0.795272885304925</v>
      </c>
      <c r="G284" s="3">
        <f t="shared" si="51"/>
        <v>3.5056120519762</v>
      </c>
      <c r="H284" s="6">
        <v>123.3</v>
      </c>
      <c r="I284" s="6">
        <v>109</v>
      </c>
      <c r="J284" s="6">
        <v>101</v>
      </c>
      <c r="K284" s="3">
        <f t="shared" si="52"/>
        <v>0.5</v>
      </c>
      <c r="L284" s="3">
        <f t="shared" si="53"/>
        <v>0.200000000000003</v>
      </c>
      <c r="M284" s="3">
        <f t="shared" si="54"/>
        <v>-0.0999999999999943</v>
      </c>
      <c r="N284" s="3">
        <v>113.1</v>
      </c>
      <c r="O284" s="3">
        <v>6.4</v>
      </c>
      <c r="P284" s="3">
        <v>14.4</v>
      </c>
      <c r="Q284" s="5">
        <f t="shared" si="45"/>
        <v>1</v>
      </c>
      <c r="R284" s="5">
        <f t="shared" si="46"/>
        <v>1</v>
      </c>
      <c r="S284" s="5">
        <f t="shared" si="47"/>
        <v>1</v>
      </c>
      <c r="T284" s="5">
        <f t="shared" si="48"/>
        <v>1</v>
      </c>
    </row>
    <row r="285" spans="1:20">
      <c r="A285" t="s">
        <v>336</v>
      </c>
      <c r="B285" s="3">
        <v>70.75</v>
      </c>
      <c r="C285" s="3">
        <v>6.4768</v>
      </c>
      <c r="D285" s="3">
        <f t="shared" si="44"/>
        <v>458.2336</v>
      </c>
      <c r="E285" s="3">
        <f t="shared" si="49"/>
        <v>-6.05996786660305</v>
      </c>
      <c r="F285" s="3">
        <f t="shared" si="50"/>
        <v>0.00772015965673051</v>
      </c>
      <c r="G285" s="3">
        <f t="shared" si="51"/>
        <v>-6.05224770694633</v>
      </c>
      <c r="H285" s="6">
        <v>126.2</v>
      </c>
      <c r="I285" s="6">
        <v>109.5</v>
      </c>
      <c r="J285" s="6">
        <v>100.8</v>
      </c>
      <c r="K285" s="3">
        <f t="shared" si="52"/>
        <v>2.90000000000001</v>
      </c>
      <c r="L285" s="3">
        <f t="shared" si="53"/>
        <v>0.5</v>
      </c>
      <c r="M285" s="3">
        <f t="shared" si="54"/>
        <v>-0.200000000000003</v>
      </c>
      <c r="N285" s="3">
        <v>113.6</v>
      </c>
      <c r="O285" s="3">
        <v>5.3</v>
      </c>
      <c r="P285" s="3">
        <v>13.1</v>
      </c>
      <c r="Q285" s="5">
        <f t="shared" si="45"/>
        <v>1</v>
      </c>
      <c r="R285" s="5">
        <f t="shared" si="46"/>
        <v>1</v>
      </c>
      <c r="S285" s="5">
        <f t="shared" si="47"/>
        <v>1</v>
      </c>
      <c r="T285" s="5">
        <f t="shared" si="48"/>
        <v>1</v>
      </c>
    </row>
    <row r="286" spans="1:20">
      <c r="A286" t="s">
        <v>337</v>
      </c>
      <c r="B286" s="3">
        <v>74.49</v>
      </c>
      <c r="C286" s="3">
        <v>6.4563</v>
      </c>
      <c r="D286" s="3">
        <f t="shared" si="44"/>
        <v>480.929787</v>
      </c>
      <c r="E286" s="3">
        <f t="shared" si="49"/>
        <v>5.15123516648378</v>
      </c>
      <c r="F286" s="3">
        <f t="shared" si="50"/>
        <v>-0.317016294138807</v>
      </c>
      <c r="G286" s="3">
        <f t="shared" si="51"/>
        <v>4.83421887234498</v>
      </c>
      <c r="H286" s="6">
        <v>130.3</v>
      </c>
      <c r="I286" s="6">
        <v>110.7</v>
      </c>
      <c r="J286" s="6">
        <v>100.7</v>
      </c>
      <c r="K286" s="3">
        <f t="shared" si="52"/>
        <v>4.10000000000001</v>
      </c>
      <c r="L286" s="3">
        <f t="shared" si="53"/>
        <v>1.2</v>
      </c>
      <c r="M286" s="3">
        <f t="shared" si="54"/>
        <v>-0.0999999999999943</v>
      </c>
      <c r="N286" s="3">
        <v>114.3</v>
      </c>
      <c r="O286" s="3">
        <v>3.1</v>
      </c>
      <c r="P286" s="3">
        <v>11.8</v>
      </c>
      <c r="Q286" s="5">
        <f t="shared" si="45"/>
        <v>1</v>
      </c>
      <c r="R286" s="5">
        <f t="shared" si="46"/>
        <v>1</v>
      </c>
      <c r="S286" s="5">
        <f t="shared" si="47"/>
        <v>1</v>
      </c>
      <c r="T286" s="5">
        <f t="shared" si="48"/>
        <v>1</v>
      </c>
    </row>
    <row r="287" spans="1:20">
      <c r="A287" t="s">
        <v>338</v>
      </c>
      <c r="B287" s="3">
        <v>83.54</v>
      </c>
      <c r="C287" s="3">
        <v>6.4172</v>
      </c>
      <c r="D287" s="3">
        <f t="shared" si="44"/>
        <v>536.092888</v>
      </c>
      <c r="E287" s="3">
        <f t="shared" si="49"/>
        <v>11.4660670880844</v>
      </c>
      <c r="F287" s="3">
        <f t="shared" si="50"/>
        <v>-0.607451279472819</v>
      </c>
      <c r="G287" s="3">
        <f t="shared" si="51"/>
        <v>10.8586158086116</v>
      </c>
      <c r="H287" s="6">
        <v>140.7</v>
      </c>
      <c r="I287" s="6">
        <v>113.5</v>
      </c>
      <c r="J287" s="6">
        <v>101.5</v>
      </c>
      <c r="K287" s="3">
        <f t="shared" si="52"/>
        <v>10.4</v>
      </c>
      <c r="L287" s="3">
        <f t="shared" si="53"/>
        <v>2.8</v>
      </c>
      <c r="M287" s="3">
        <f t="shared" si="54"/>
        <v>0.799999999999997</v>
      </c>
      <c r="N287" s="3">
        <v>117.1</v>
      </c>
      <c r="O287" s="3">
        <v>3.5</v>
      </c>
      <c r="P287" s="3">
        <v>10.9</v>
      </c>
      <c r="Q287" s="5">
        <f t="shared" si="45"/>
        <v>1</v>
      </c>
      <c r="R287" s="5">
        <f t="shared" si="46"/>
        <v>1</v>
      </c>
      <c r="S287" s="5">
        <f t="shared" si="47"/>
        <v>1</v>
      </c>
      <c r="T287" s="5">
        <f t="shared" si="48"/>
        <v>1</v>
      </c>
    </row>
    <row r="288" spans="1:20">
      <c r="A288" t="s">
        <v>339</v>
      </c>
      <c r="B288" s="3">
        <v>81.05</v>
      </c>
      <c r="C288" s="3">
        <v>6.3889</v>
      </c>
      <c r="D288" s="3">
        <f t="shared" si="44"/>
        <v>517.820345</v>
      </c>
      <c r="E288" s="3">
        <f t="shared" si="49"/>
        <v>-3.02593108873443</v>
      </c>
      <c r="F288" s="3">
        <f t="shared" si="50"/>
        <v>-0.441977589877586</v>
      </c>
      <c r="G288" s="3">
        <f t="shared" si="51"/>
        <v>-3.46790867861201</v>
      </c>
      <c r="H288" s="6">
        <v>143.8</v>
      </c>
      <c r="I288" s="6">
        <v>112.9</v>
      </c>
      <c r="J288" s="6">
        <v>102.3</v>
      </c>
      <c r="K288" s="3">
        <f t="shared" si="52"/>
        <v>3.10000000000002</v>
      </c>
      <c r="L288" s="3">
        <f t="shared" si="53"/>
        <v>-0.599999999999994</v>
      </c>
      <c r="M288" s="3">
        <f t="shared" si="54"/>
        <v>0.799999999999997</v>
      </c>
      <c r="N288" s="3">
        <v>117.4</v>
      </c>
      <c r="O288" s="3">
        <v>3.8</v>
      </c>
      <c r="P288" s="3">
        <v>10.1</v>
      </c>
      <c r="Q288" s="5">
        <f t="shared" si="45"/>
        <v>1</v>
      </c>
      <c r="R288" s="5">
        <f t="shared" si="46"/>
        <v>1</v>
      </c>
      <c r="S288" s="5">
        <f t="shared" si="47"/>
        <v>1</v>
      </c>
      <c r="T288" s="5">
        <f t="shared" si="48"/>
        <v>1</v>
      </c>
    </row>
    <row r="289" spans="1:20">
      <c r="A289" t="s">
        <v>340</v>
      </c>
      <c r="B289" s="3">
        <v>74.17</v>
      </c>
      <c r="C289" s="3">
        <v>6.3693</v>
      </c>
      <c r="D289" s="3">
        <f t="shared" si="44"/>
        <v>472.410981</v>
      </c>
      <c r="E289" s="3">
        <f t="shared" si="49"/>
        <v>-8.87064924332183</v>
      </c>
      <c r="F289" s="3">
        <f t="shared" si="50"/>
        <v>-0.307253616018646</v>
      </c>
      <c r="G289" s="3">
        <f t="shared" si="51"/>
        <v>-9.17790285934049</v>
      </c>
      <c r="H289" s="6">
        <v>135.5</v>
      </c>
      <c r="I289" s="6">
        <v>110.3</v>
      </c>
      <c r="J289" s="6">
        <v>101.5</v>
      </c>
      <c r="K289" s="3">
        <f t="shared" si="52"/>
        <v>-8.30000000000001</v>
      </c>
      <c r="L289" s="3">
        <f t="shared" si="53"/>
        <v>-2.60000000000001</v>
      </c>
      <c r="M289" s="3">
        <f t="shared" si="54"/>
        <v>-0.799999999999997</v>
      </c>
      <c r="N289" s="3">
        <v>114.2</v>
      </c>
      <c r="O289" s="3">
        <v>4.3</v>
      </c>
      <c r="P289" s="3">
        <v>9.6</v>
      </c>
      <c r="Q289" s="5">
        <f t="shared" si="45"/>
        <v>1</v>
      </c>
      <c r="R289" s="5">
        <f t="shared" si="46"/>
        <v>1</v>
      </c>
      <c r="S289" s="5">
        <f t="shared" si="47"/>
        <v>1</v>
      </c>
      <c r="T289" s="5">
        <f t="shared" si="48"/>
        <v>1</v>
      </c>
    </row>
    <row r="290" spans="1:20">
      <c r="A290" t="s">
        <v>341</v>
      </c>
      <c r="B290" s="3">
        <v>86.51</v>
      </c>
      <c r="C290" s="3">
        <v>6.3556</v>
      </c>
      <c r="D290" s="3">
        <f t="shared" si="44"/>
        <v>549.822956</v>
      </c>
      <c r="E290" s="3">
        <f t="shared" si="49"/>
        <v>15.3900258443816</v>
      </c>
      <c r="F290" s="3">
        <f t="shared" si="50"/>
        <v>-0.215325940374652</v>
      </c>
      <c r="G290" s="3">
        <f t="shared" si="51"/>
        <v>15.174699904007</v>
      </c>
      <c r="H290" s="6">
        <v>130</v>
      </c>
      <c r="I290" s="6">
        <v>109.1</v>
      </c>
      <c r="J290" s="6">
        <v>100.9</v>
      </c>
      <c r="K290" s="3">
        <f t="shared" si="52"/>
        <v>-5.5</v>
      </c>
      <c r="L290" s="3">
        <f t="shared" si="53"/>
        <v>-1.2</v>
      </c>
      <c r="M290" s="3">
        <f t="shared" si="54"/>
        <v>-0.599999999999994</v>
      </c>
      <c r="N290" s="3">
        <v>112.1</v>
      </c>
      <c r="O290" s="3"/>
      <c r="P290" s="3"/>
      <c r="Q290" s="5">
        <f t="shared" si="45"/>
        <v>1</v>
      </c>
      <c r="R290" s="5">
        <f t="shared" si="46"/>
        <v>1</v>
      </c>
      <c r="S290" s="5">
        <f t="shared" si="47"/>
        <v>1</v>
      </c>
      <c r="T290" s="5">
        <f t="shared" si="48"/>
        <v>1</v>
      </c>
    </row>
    <row r="291" spans="1:20">
      <c r="A291" t="s">
        <v>342</v>
      </c>
      <c r="B291" s="3">
        <v>97.13</v>
      </c>
      <c r="C291" s="3">
        <v>6.3436</v>
      </c>
      <c r="D291" s="3">
        <f t="shared" si="44"/>
        <v>616.153868</v>
      </c>
      <c r="E291" s="3">
        <f t="shared" si="49"/>
        <v>11.5790273221956</v>
      </c>
      <c r="F291" s="3">
        <f t="shared" si="50"/>
        <v>-0.188988338976602</v>
      </c>
      <c r="G291" s="3">
        <f t="shared" si="51"/>
        <v>11.390038983219</v>
      </c>
      <c r="H291" s="6">
        <v>127.6</v>
      </c>
      <c r="I291" s="6">
        <v>108.8</v>
      </c>
      <c r="J291" s="6">
        <v>100.9</v>
      </c>
      <c r="K291" s="3">
        <f t="shared" si="52"/>
        <v>-2.40000000000001</v>
      </c>
      <c r="L291" s="3">
        <f t="shared" si="53"/>
        <v>-0.299999999999997</v>
      </c>
      <c r="M291" s="3">
        <f t="shared" si="54"/>
        <v>0</v>
      </c>
      <c r="N291" s="3">
        <v>111.2</v>
      </c>
      <c r="O291" s="3"/>
      <c r="P291" s="3">
        <v>7.5</v>
      </c>
      <c r="Q291" s="5">
        <f t="shared" si="45"/>
        <v>1</v>
      </c>
      <c r="R291" s="5">
        <f t="shared" si="46"/>
        <v>1</v>
      </c>
      <c r="S291" s="5">
        <f t="shared" si="47"/>
        <v>1</v>
      </c>
      <c r="T291" s="5">
        <f t="shared" si="48"/>
        <v>1</v>
      </c>
    </row>
    <row r="292" spans="1:20">
      <c r="A292" t="s">
        <v>343</v>
      </c>
      <c r="B292" s="3">
        <v>117.25</v>
      </c>
      <c r="C292" s="3">
        <v>6.3446</v>
      </c>
      <c r="D292" s="3">
        <f t="shared" si="44"/>
        <v>743.90435</v>
      </c>
      <c r="E292" s="3">
        <f t="shared" si="49"/>
        <v>18.825811991215</v>
      </c>
      <c r="F292" s="3">
        <f t="shared" si="50"/>
        <v>0.0157626771657119</v>
      </c>
      <c r="G292" s="3">
        <f t="shared" si="51"/>
        <v>18.8415746683807</v>
      </c>
      <c r="H292" s="6">
        <v>130.9</v>
      </c>
      <c r="I292" s="6">
        <v>108.3</v>
      </c>
      <c r="J292" s="6">
        <v>101.5</v>
      </c>
      <c r="K292" s="3">
        <f t="shared" si="52"/>
        <v>3.30000000000001</v>
      </c>
      <c r="L292" s="3">
        <f t="shared" si="53"/>
        <v>-0.5</v>
      </c>
      <c r="M292" s="3">
        <f t="shared" si="54"/>
        <v>0.599999999999994</v>
      </c>
      <c r="N292" s="3">
        <v>110.7</v>
      </c>
      <c r="O292" s="3">
        <v>5</v>
      </c>
      <c r="P292" s="3">
        <v>6.5</v>
      </c>
      <c r="Q292" s="5">
        <f t="shared" si="45"/>
        <v>1</v>
      </c>
      <c r="R292" s="5">
        <f t="shared" si="46"/>
        <v>1</v>
      </c>
      <c r="S292" s="5">
        <f t="shared" si="47"/>
        <v>1</v>
      </c>
      <c r="T292" s="5">
        <f t="shared" si="48"/>
        <v>1</v>
      </c>
    </row>
    <row r="293" spans="1:20">
      <c r="A293" t="s">
        <v>344</v>
      </c>
      <c r="B293" s="3">
        <v>104.58</v>
      </c>
      <c r="C293" s="3">
        <v>6.431</v>
      </c>
      <c r="D293" s="3">
        <f t="shared" si="44"/>
        <v>672.55398</v>
      </c>
      <c r="E293" s="3">
        <f t="shared" si="49"/>
        <v>-11.4356078566404</v>
      </c>
      <c r="F293" s="3">
        <f t="shared" si="50"/>
        <v>1.35259897387602</v>
      </c>
      <c r="G293" s="3">
        <f t="shared" si="51"/>
        <v>-10.0830088827644</v>
      </c>
      <c r="H293" s="6">
        <v>134.8</v>
      </c>
      <c r="I293" s="6">
        <v>108</v>
      </c>
      <c r="J293" s="6">
        <v>102.1</v>
      </c>
      <c r="K293" s="3">
        <f t="shared" si="52"/>
        <v>3.90000000000001</v>
      </c>
      <c r="L293" s="3">
        <f t="shared" si="53"/>
        <v>-0.299999999999997</v>
      </c>
      <c r="M293" s="3">
        <f t="shared" si="54"/>
        <v>0.599999999999994</v>
      </c>
      <c r="N293" s="3">
        <v>110.8</v>
      </c>
      <c r="O293" s="3">
        <v>-2.9</v>
      </c>
      <c r="P293" s="3">
        <v>4</v>
      </c>
      <c r="Q293" s="5">
        <f t="shared" si="45"/>
        <v>1</v>
      </c>
      <c r="R293" s="5">
        <f t="shared" si="46"/>
        <v>1</v>
      </c>
      <c r="S293" s="5">
        <f t="shared" si="47"/>
        <v>1</v>
      </c>
      <c r="T293" s="5">
        <f t="shared" si="48"/>
        <v>1</v>
      </c>
    </row>
    <row r="294" spans="1:20">
      <c r="A294" t="s">
        <v>345</v>
      </c>
      <c r="B294" s="3">
        <v>113.34</v>
      </c>
      <c r="C294" s="3">
        <v>6.699</v>
      </c>
      <c r="D294" s="3">
        <f t="shared" si="44"/>
        <v>759.26466</v>
      </c>
      <c r="E294" s="3">
        <f t="shared" si="49"/>
        <v>8.04398219814887</v>
      </c>
      <c r="F294" s="3">
        <f t="shared" si="50"/>
        <v>4.08282143734043</v>
      </c>
      <c r="G294" s="3">
        <f t="shared" si="51"/>
        <v>12.1268036354893</v>
      </c>
      <c r="H294" s="6">
        <v>131.6</v>
      </c>
      <c r="I294" s="6">
        <v>106.4</v>
      </c>
      <c r="J294" s="6">
        <v>102.1</v>
      </c>
      <c r="K294" s="3">
        <f t="shared" si="52"/>
        <v>-3.20000000000002</v>
      </c>
      <c r="L294" s="3">
        <f t="shared" si="53"/>
        <v>-1.59999999999999</v>
      </c>
      <c r="M294" s="3">
        <f t="shared" si="54"/>
        <v>0</v>
      </c>
      <c r="N294" s="3">
        <v>109.1</v>
      </c>
      <c r="O294" s="3">
        <v>0.7</v>
      </c>
      <c r="P294" s="3">
        <v>3.3</v>
      </c>
      <c r="Q294" s="5">
        <f t="shared" si="45"/>
        <v>1</v>
      </c>
      <c r="R294" s="5">
        <f t="shared" si="46"/>
        <v>1</v>
      </c>
      <c r="S294" s="5">
        <f t="shared" si="47"/>
        <v>1</v>
      </c>
      <c r="T294" s="5">
        <f t="shared" si="48"/>
        <v>1</v>
      </c>
    </row>
    <row r="295" spans="1:20">
      <c r="A295" t="s">
        <v>346</v>
      </c>
      <c r="B295" s="3">
        <v>122.71</v>
      </c>
      <c r="C295" s="3">
        <v>6.6952</v>
      </c>
      <c r="D295" s="3">
        <f t="shared" si="44"/>
        <v>821.567992</v>
      </c>
      <c r="E295" s="3">
        <f t="shared" si="49"/>
        <v>7.94316972469833</v>
      </c>
      <c r="F295" s="3">
        <f t="shared" si="50"/>
        <v>-0.0567409789603237</v>
      </c>
      <c r="G295" s="3">
        <f t="shared" si="51"/>
        <v>7.88642874573797</v>
      </c>
      <c r="H295" s="6">
        <v>129.4</v>
      </c>
      <c r="I295" s="6">
        <v>106.1</v>
      </c>
      <c r="J295" s="6">
        <v>102.5</v>
      </c>
      <c r="K295" s="3">
        <f t="shared" si="52"/>
        <v>-2.19999999999999</v>
      </c>
      <c r="L295" s="3">
        <f t="shared" si="53"/>
        <v>-0.300000000000011</v>
      </c>
      <c r="M295" s="3">
        <f t="shared" si="54"/>
        <v>0.400000000000006</v>
      </c>
      <c r="N295" s="3">
        <v>108.5</v>
      </c>
      <c r="O295" s="3">
        <v>3.9</v>
      </c>
      <c r="P295" s="3">
        <v>3.4</v>
      </c>
      <c r="Q295" s="5">
        <f t="shared" si="45"/>
        <v>1</v>
      </c>
      <c r="R295" s="5">
        <f t="shared" si="46"/>
        <v>1</v>
      </c>
      <c r="S295" s="5">
        <f t="shared" si="47"/>
        <v>1</v>
      </c>
      <c r="T295" s="5">
        <f t="shared" si="48"/>
        <v>1</v>
      </c>
    </row>
    <row r="296" spans="1:20">
      <c r="A296" t="s">
        <v>347</v>
      </c>
      <c r="B296" s="3">
        <v>111.93</v>
      </c>
      <c r="C296" s="3">
        <v>6.7352</v>
      </c>
      <c r="D296" s="3">
        <f t="shared" si="44"/>
        <v>753.870936</v>
      </c>
      <c r="E296" s="3">
        <f t="shared" si="49"/>
        <v>-9.19501720872801</v>
      </c>
      <c r="F296" s="3">
        <f t="shared" si="50"/>
        <v>0.595665330478998</v>
      </c>
      <c r="G296" s="3">
        <f t="shared" si="51"/>
        <v>-8.59935187824902</v>
      </c>
      <c r="H296" s="6">
        <v>125.1</v>
      </c>
      <c r="I296" s="6">
        <v>104.2</v>
      </c>
      <c r="J296" s="6">
        <v>102.7</v>
      </c>
      <c r="K296" s="3">
        <f t="shared" si="52"/>
        <v>-4.30000000000001</v>
      </c>
      <c r="L296" s="3">
        <f t="shared" si="53"/>
        <v>-1.89999999999999</v>
      </c>
      <c r="M296" s="3">
        <f t="shared" si="54"/>
        <v>0.200000000000003</v>
      </c>
      <c r="N296" s="3">
        <v>106.5</v>
      </c>
      <c r="O296" s="3">
        <v>3.8</v>
      </c>
      <c r="P296" s="3">
        <v>3.5</v>
      </c>
      <c r="Q296" s="5">
        <f t="shared" si="45"/>
        <v>1</v>
      </c>
      <c r="R296" s="5">
        <f t="shared" si="46"/>
        <v>1</v>
      </c>
      <c r="S296" s="5">
        <f t="shared" si="47"/>
        <v>1</v>
      </c>
      <c r="T296" s="5">
        <f t="shared" si="48"/>
        <v>1</v>
      </c>
    </row>
    <row r="297" spans="1:20">
      <c r="A297" t="s">
        <v>348</v>
      </c>
      <c r="B297" s="3">
        <v>100.45</v>
      </c>
      <c r="C297" s="3">
        <v>6.8007</v>
      </c>
      <c r="D297" s="3">
        <f t="shared" si="44"/>
        <v>683.130315</v>
      </c>
      <c r="E297" s="3">
        <f t="shared" si="49"/>
        <v>-10.8213584640233</v>
      </c>
      <c r="F297" s="3">
        <f t="shared" si="50"/>
        <v>0.967804301913503</v>
      </c>
      <c r="G297" s="3">
        <f t="shared" si="51"/>
        <v>-9.85355416210977</v>
      </c>
      <c r="H297" s="6">
        <v>119.5</v>
      </c>
      <c r="I297" s="6">
        <v>102.3</v>
      </c>
      <c r="J297" s="6">
        <v>102.5</v>
      </c>
      <c r="K297" s="3">
        <f t="shared" si="52"/>
        <v>-5.59999999999999</v>
      </c>
      <c r="L297" s="3">
        <f t="shared" si="53"/>
        <v>-1.90000000000001</v>
      </c>
      <c r="M297" s="3">
        <f t="shared" si="54"/>
        <v>-0.200000000000003</v>
      </c>
      <c r="N297" s="3">
        <v>104.2</v>
      </c>
      <c r="O297" s="3">
        <v>4.2</v>
      </c>
      <c r="P297" s="3">
        <v>3.6</v>
      </c>
      <c r="Q297" s="5">
        <f t="shared" si="45"/>
        <v>1</v>
      </c>
      <c r="R297" s="5">
        <f t="shared" si="46"/>
        <v>1</v>
      </c>
      <c r="S297" s="5">
        <f t="shared" si="47"/>
        <v>1</v>
      </c>
      <c r="T297" s="5">
        <f t="shared" si="48"/>
        <v>1</v>
      </c>
    </row>
    <row r="298" spans="1:20">
      <c r="A298" t="s">
        <v>349</v>
      </c>
      <c r="B298" s="3">
        <v>89.76</v>
      </c>
      <c r="C298" s="3">
        <v>7.0195</v>
      </c>
      <c r="D298" s="3">
        <f t="shared" si="44"/>
        <v>630.07032</v>
      </c>
      <c r="E298" s="3">
        <f t="shared" si="49"/>
        <v>-11.2520649486557</v>
      </c>
      <c r="F298" s="3">
        <f t="shared" si="50"/>
        <v>3.16664423694165</v>
      </c>
      <c r="G298" s="3">
        <f t="shared" si="51"/>
        <v>-8.08542071171406</v>
      </c>
      <c r="H298" s="6">
        <v>114.3</v>
      </c>
      <c r="I298" s="6">
        <v>100.9</v>
      </c>
      <c r="J298" s="6">
        <v>102.8</v>
      </c>
      <c r="K298" s="3">
        <f t="shared" si="52"/>
        <v>-5.2</v>
      </c>
      <c r="L298" s="3">
        <f t="shared" si="53"/>
        <v>-1.39999999999999</v>
      </c>
      <c r="M298" s="3">
        <f t="shared" si="54"/>
        <v>0.299999999999997</v>
      </c>
      <c r="N298" s="3">
        <v>102.6</v>
      </c>
      <c r="O298" s="3">
        <v>6.3</v>
      </c>
      <c r="P298" s="3">
        <v>3.9</v>
      </c>
      <c r="Q298" s="5">
        <f t="shared" si="45"/>
        <v>1</v>
      </c>
      <c r="R298" s="5">
        <f t="shared" si="46"/>
        <v>1</v>
      </c>
      <c r="S298" s="5">
        <f t="shared" si="47"/>
        <v>1</v>
      </c>
      <c r="T298" s="5">
        <f t="shared" si="48"/>
        <v>1</v>
      </c>
    </row>
    <row r="299" spans="1:20">
      <c r="A299" t="s">
        <v>350</v>
      </c>
      <c r="B299" s="3">
        <v>93.33</v>
      </c>
      <c r="C299" s="3">
        <v>7.1902</v>
      </c>
      <c r="D299" s="3">
        <f t="shared" si="44"/>
        <v>671.061366</v>
      </c>
      <c r="E299" s="3">
        <f t="shared" si="49"/>
        <v>3.90021578032692</v>
      </c>
      <c r="F299" s="3">
        <f t="shared" si="50"/>
        <v>2.40269973279003</v>
      </c>
      <c r="G299" s="3">
        <f t="shared" si="51"/>
        <v>6.30291551311692</v>
      </c>
      <c r="H299" s="6">
        <v>107.3</v>
      </c>
      <c r="I299" s="6">
        <v>98.7</v>
      </c>
      <c r="J299" s="6">
        <v>102.1</v>
      </c>
      <c r="K299" s="3">
        <f t="shared" si="52"/>
        <v>-7</v>
      </c>
      <c r="L299" s="3">
        <f t="shared" si="53"/>
        <v>-2.2</v>
      </c>
      <c r="M299" s="3">
        <f t="shared" si="54"/>
        <v>-0.700000000000003</v>
      </c>
      <c r="N299" s="3">
        <v>100.3</v>
      </c>
      <c r="O299" s="3">
        <v>5</v>
      </c>
      <c r="P299" s="3">
        <v>4</v>
      </c>
      <c r="Q299" s="5">
        <f t="shared" si="45"/>
        <v>1</v>
      </c>
      <c r="R299" s="5">
        <f t="shared" si="46"/>
        <v>1</v>
      </c>
      <c r="S299" s="5">
        <f t="shared" si="47"/>
        <v>1</v>
      </c>
      <c r="T299" s="5">
        <f t="shared" si="48"/>
        <v>1</v>
      </c>
    </row>
    <row r="300" spans="1:20">
      <c r="A300" t="s">
        <v>351</v>
      </c>
      <c r="B300" s="3">
        <v>91.42</v>
      </c>
      <c r="C300" s="3">
        <v>7.1812</v>
      </c>
      <c r="D300" s="3">
        <f t="shared" si="44"/>
        <v>656.505304</v>
      </c>
      <c r="E300" s="3">
        <f t="shared" si="49"/>
        <v>-2.0677326674057</v>
      </c>
      <c r="F300" s="3">
        <f t="shared" si="50"/>
        <v>-0.12524877432323</v>
      </c>
      <c r="G300" s="3">
        <f t="shared" si="51"/>
        <v>-2.19298144172893</v>
      </c>
      <c r="H300" s="6">
        <v>104.3</v>
      </c>
      <c r="I300" s="6">
        <v>98.7</v>
      </c>
      <c r="J300" s="6">
        <v>101.6</v>
      </c>
      <c r="K300" s="3">
        <f t="shared" si="52"/>
        <v>-3</v>
      </c>
      <c r="L300" s="3">
        <f t="shared" si="53"/>
        <v>0</v>
      </c>
      <c r="M300" s="3">
        <f t="shared" si="54"/>
        <v>-0.5</v>
      </c>
      <c r="N300" s="3">
        <v>99.4</v>
      </c>
      <c r="O300" s="3">
        <v>2.2</v>
      </c>
      <c r="P300" s="3">
        <v>3.8</v>
      </c>
      <c r="Q300" s="5">
        <f t="shared" si="45"/>
        <v>1</v>
      </c>
      <c r="R300" s="5">
        <f t="shared" si="46"/>
        <v>1</v>
      </c>
      <c r="S300" s="5">
        <f t="shared" si="47"/>
        <v>1</v>
      </c>
      <c r="T300" s="5">
        <f t="shared" si="48"/>
        <v>1</v>
      </c>
    </row>
    <row r="301" spans="1:20">
      <c r="A301" t="s">
        <v>352</v>
      </c>
      <c r="B301" s="3">
        <v>80.92</v>
      </c>
      <c r="C301" s="3">
        <v>6.9717</v>
      </c>
      <c r="D301" s="3">
        <f t="shared" si="44"/>
        <v>564.149964</v>
      </c>
      <c r="E301" s="3">
        <f t="shared" si="49"/>
        <v>-12.2003260604054</v>
      </c>
      <c r="F301" s="3">
        <f t="shared" si="50"/>
        <v>-2.9607402542444</v>
      </c>
      <c r="G301" s="3">
        <f t="shared" si="51"/>
        <v>-15.1610663146498</v>
      </c>
      <c r="H301" s="6">
        <v>107.6</v>
      </c>
      <c r="I301" s="6">
        <v>99.3</v>
      </c>
      <c r="J301" s="6">
        <v>101.8</v>
      </c>
      <c r="K301" s="3">
        <f t="shared" si="52"/>
        <v>3.3</v>
      </c>
      <c r="L301" s="3">
        <f t="shared" si="53"/>
        <v>0.599999999999994</v>
      </c>
      <c r="M301" s="3">
        <f t="shared" si="54"/>
        <v>0.200000000000003</v>
      </c>
      <c r="N301" s="3">
        <v>100.3</v>
      </c>
      <c r="O301" s="3">
        <v>1.3</v>
      </c>
      <c r="P301" s="3">
        <v>3.6</v>
      </c>
      <c r="Q301" s="5">
        <f t="shared" si="45"/>
        <v>1</v>
      </c>
      <c r="R301" s="5">
        <f t="shared" si="46"/>
        <v>1</v>
      </c>
      <c r="S301" s="5">
        <f t="shared" si="47"/>
        <v>1</v>
      </c>
      <c r="T301" s="5">
        <f t="shared" si="48"/>
        <v>1</v>
      </c>
    </row>
    <row r="302" spans="1:20">
      <c r="A302" t="s">
        <v>353</v>
      </c>
      <c r="B302" s="3">
        <v>82.5</v>
      </c>
      <c r="C302" s="3">
        <v>6.7904</v>
      </c>
      <c r="D302" s="3">
        <f t="shared" si="44"/>
        <v>560.208</v>
      </c>
      <c r="E302" s="3">
        <f t="shared" si="49"/>
        <v>1.93372810410906</v>
      </c>
      <c r="F302" s="3">
        <f t="shared" si="50"/>
        <v>-2.63492474746203</v>
      </c>
      <c r="G302" s="3">
        <f t="shared" si="51"/>
        <v>-0.701196643352998</v>
      </c>
      <c r="H302" s="6">
        <v>107.2</v>
      </c>
      <c r="I302" s="6">
        <v>99.2</v>
      </c>
      <c r="J302" s="6">
        <v>102.1</v>
      </c>
      <c r="K302" s="3">
        <f t="shared" si="52"/>
        <v>-0.399999999999991</v>
      </c>
      <c r="L302" s="3">
        <f t="shared" si="53"/>
        <v>-0.0999999999999943</v>
      </c>
      <c r="M302" s="3">
        <f t="shared" si="54"/>
        <v>0.299999999999997</v>
      </c>
      <c r="N302" s="3">
        <v>100.1</v>
      </c>
      <c r="O302" s="3"/>
      <c r="P302" s="3"/>
      <c r="Q302" s="5">
        <f t="shared" si="45"/>
        <v>1</v>
      </c>
      <c r="R302" s="5">
        <f t="shared" si="46"/>
        <v>1</v>
      </c>
      <c r="S302" s="5">
        <f t="shared" si="47"/>
        <v>1</v>
      </c>
      <c r="T302" s="5">
        <f t="shared" si="48"/>
        <v>1</v>
      </c>
    </row>
    <row r="303" spans="1:20">
      <c r="A303" t="s">
        <v>354</v>
      </c>
      <c r="B303" s="3">
        <v>82.59</v>
      </c>
      <c r="C303" s="3">
        <v>6.838</v>
      </c>
      <c r="D303" s="3">
        <f t="shared" si="44"/>
        <v>564.75042</v>
      </c>
      <c r="E303" s="3">
        <f t="shared" si="49"/>
        <v>0.109031448199028</v>
      </c>
      <c r="F303" s="3">
        <f t="shared" si="50"/>
        <v>0.69854412196373</v>
      </c>
      <c r="G303" s="3">
        <f t="shared" si="51"/>
        <v>0.80757557016278</v>
      </c>
      <c r="H303" s="6">
        <v>105.2</v>
      </c>
      <c r="I303" s="6">
        <v>98.6</v>
      </c>
      <c r="J303" s="6">
        <v>101</v>
      </c>
      <c r="K303" s="3">
        <f t="shared" si="52"/>
        <v>-2</v>
      </c>
      <c r="L303" s="3">
        <f t="shared" si="53"/>
        <v>-0.600000000000009</v>
      </c>
      <c r="M303" s="3">
        <f t="shared" si="54"/>
        <v>-1.09999999999999</v>
      </c>
      <c r="N303" s="3">
        <v>99.5</v>
      </c>
      <c r="O303" s="3"/>
      <c r="P303" s="3">
        <v>2.4</v>
      </c>
      <c r="Q303" s="5">
        <f t="shared" si="45"/>
        <v>1</v>
      </c>
      <c r="R303" s="5">
        <f t="shared" si="46"/>
        <v>1</v>
      </c>
      <c r="S303" s="5">
        <f t="shared" si="47"/>
        <v>1</v>
      </c>
      <c r="T303" s="5">
        <f t="shared" si="48"/>
        <v>1</v>
      </c>
    </row>
    <row r="304" spans="1:20">
      <c r="A304" t="s">
        <v>355</v>
      </c>
      <c r="B304" s="3">
        <v>78.43</v>
      </c>
      <c r="C304" s="3">
        <v>6.8909</v>
      </c>
      <c r="D304" s="3">
        <f t="shared" si="44"/>
        <v>540.453287</v>
      </c>
      <c r="E304" s="3">
        <f t="shared" si="49"/>
        <v>-5.16821005980505</v>
      </c>
      <c r="F304" s="3">
        <f t="shared" si="50"/>
        <v>0.770640937076198</v>
      </c>
      <c r="G304" s="3">
        <f t="shared" si="51"/>
        <v>-4.39756912272886</v>
      </c>
      <c r="H304" s="6">
        <v>100.1</v>
      </c>
      <c r="I304" s="6">
        <v>97.5</v>
      </c>
      <c r="J304" s="6">
        <v>100.7</v>
      </c>
      <c r="K304" s="3">
        <f t="shared" si="52"/>
        <v>-5.10000000000001</v>
      </c>
      <c r="L304" s="3">
        <f t="shared" si="53"/>
        <v>-1.09999999999999</v>
      </c>
      <c r="M304" s="3">
        <f t="shared" si="54"/>
        <v>-0.299999999999997</v>
      </c>
      <c r="N304" s="3">
        <v>98.2</v>
      </c>
      <c r="O304" s="3">
        <v>3.9</v>
      </c>
      <c r="P304" s="3">
        <v>3</v>
      </c>
      <c r="Q304" s="5">
        <f t="shared" si="45"/>
        <v>1</v>
      </c>
      <c r="R304" s="5">
        <f t="shared" si="46"/>
        <v>1</v>
      </c>
      <c r="S304" s="5">
        <f t="shared" si="47"/>
        <v>1</v>
      </c>
      <c r="T304" s="5">
        <f t="shared" si="48"/>
        <v>1</v>
      </c>
    </row>
    <row r="305" spans="1:20">
      <c r="A305" t="s">
        <v>356</v>
      </c>
      <c r="B305" s="3">
        <v>84.64</v>
      </c>
      <c r="C305" s="3">
        <v>6.8876</v>
      </c>
      <c r="D305" s="3">
        <f t="shared" si="44"/>
        <v>582.966464</v>
      </c>
      <c r="E305" s="3">
        <f t="shared" si="49"/>
        <v>7.62004608854141</v>
      </c>
      <c r="F305" s="3">
        <f t="shared" si="50"/>
        <v>-0.0479007157977795</v>
      </c>
      <c r="G305" s="3">
        <f t="shared" si="51"/>
        <v>7.57214537274362</v>
      </c>
      <c r="H305" s="6">
        <v>94.7</v>
      </c>
      <c r="I305" s="6">
        <v>96.4</v>
      </c>
      <c r="J305" s="6">
        <v>100.1</v>
      </c>
      <c r="K305" s="3">
        <f t="shared" si="52"/>
        <v>-5.39999999999999</v>
      </c>
      <c r="L305" s="3">
        <f t="shared" si="53"/>
        <v>-1.09999999999999</v>
      </c>
      <c r="M305" s="3">
        <f t="shared" si="54"/>
        <v>-0.600000000000009</v>
      </c>
      <c r="N305" s="3">
        <v>96.2</v>
      </c>
      <c r="O305" s="3">
        <v>5.6</v>
      </c>
      <c r="P305" s="3">
        <v>3.6</v>
      </c>
      <c r="Q305" s="5">
        <f t="shared" si="45"/>
        <v>1</v>
      </c>
      <c r="R305" s="5">
        <f t="shared" si="46"/>
        <v>1</v>
      </c>
      <c r="S305" s="5">
        <f t="shared" si="47"/>
        <v>1</v>
      </c>
      <c r="T305" s="5">
        <f t="shared" si="48"/>
        <v>1</v>
      </c>
    </row>
    <row r="306" spans="1:20">
      <c r="A306" t="s">
        <v>357</v>
      </c>
      <c r="B306" s="3">
        <v>75.47</v>
      </c>
      <c r="C306" s="3">
        <v>6.9854</v>
      </c>
      <c r="D306" s="3">
        <f t="shared" si="44"/>
        <v>527.188138</v>
      </c>
      <c r="E306" s="3">
        <f t="shared" si="49"/>
        <v>-11.4671741813212</v>
      </c>
      <c r="F306" s="3">
        <f t="shared" si="50"/>
        <v>1.40995632084978</v>
      </c>
      <c r="G306" s="3">
        <f t="shared" si="51"/>
        <v>-10.0572178604714</v>
      </c>
      <c r="H306" s="6">
        <v>92.4</v>
      </c>
      <c r="I306" s="6">
        <v>95.4</v>
      </c>
      <c r="J306" s="6">
        <v>100.2</v>
      </c>
      <c r="K306" s="3">
        <f t="shared" si="52"/>
        <v>-2.3</v>
      </c>
      <c r="L306" s="3">
        <f t="shared" si="53"/>
        <v>-1</v>
      </c>
      <c r="M306" s="3">
        <f t="shared" si="54"/>
        <v>0.100000000000009</v>
      </c>
      <c r="N306" s="3">
        <v>94.7</v>
      </c>
      <c r="O306" s="3">
        <v>3.5</v>
      </c>
      <c r="P306" s="3">
        <v>3.6</v>
      </c>
      <c r="Q306" s="5">
        <f t="shared" si="45"/>
        <v>1</v>
      </c>
      <c r="R306" s="5">
        <f t="shared" si="46"/>
        <v>1</v>
      </c>
      <c r="S306" s="5">
        <f t="shared" si="47"/>
        <v>1</v>
      </c>
      <c r="T306" s="5">
        <f t="shared" si="48"/>
        <v>1</v>
      </c>
    </row>
    <row r="307" spans="1:20">
      <c r="A307" t="s">
        <v>358</v>
      </c>
      <c r="B307" s="3">
        <v>74.84</v>
      </c>
      <c r="C307" s="3">
        <v>7.1614</v>
      </c>
      <c r="D307" s="3">
        <f t="shared" si="44"/>
        <v>535.959176</v>
      </c>
      <c r="E307" s="3">
        <f t="shared" si="49"/>
        <v>-0.838272489088806</v>
      </c>
      <c r="F307" s="3">
        <f t="shared" si="50"/>
        <v>2.48832359467787</v>
      </c>
      <c r="G307" s="3">
        <f t="shared" si="51"/>
        <v>1.65005110558906</v>
      </c>
      <c r="H307" s="6">
        <v>88.9</v>
      </c>
      <c r="I307" s="6">
        <v>94.6</v>
      </c>
      <c r="J307" s="6">
        <v>100</v>
      </c>
      <c r="K307" s="3">
        <f t="shared" si="52"/>
        <v>-3.5</v>
      </c>
      <c r="L307" s="3">
        <f t="shared" si="53"/>
        <v>-0.800000000000011</v>
      </c>
      <c r="M307" s="3">
        <f t="shared" si="54"/>
        <v>-0.200000000000003</v>
      </c>
      <c r="N307" s="3">
        <v>93.5</v>
      </c>
      <c r="O307" s="3">
        <v>4.4</v>
      </c>
      <c r="P307" s="3">
        <v>3.8</v>
      </c>
      <c r="Q307" s="5">
        <f t="shared" si="45"/>
        <v>1</v>
      </c>
      <c r="R307" s="5">
        <f t="shared" si="46"/>
        <v>1</v>
      </c>
      <c r="S307" s="5">
        <f t="shared" si="47"/>
        <v>1</v>
      </c>
      <c r="T307" s="5">
        <f t="shared" si="48"/>
        <v>1</v>
      </c>
    </row>
    <row r="308" spans="1:20">
      <c r="A308" t="s">
        <v>359</v>
      </c>
      <c r="B308" s="3">
        <v>80.11</v>
      </c>
      <c r="C308" s="3">
        <v>7.1863</v>
      </c>
      <c r="D308" s="3">
        <f t="shared" si="44"/>
        <v>575.694493</v>
      </c>
      <c r="E308" s="3">
        <f t="shared" si="49"/>
        <v>6.80481888211366</v>
      </c>
      <c r="F308" s="3">
        <f t="shared" si="50"/>
        <v>0.347094307776794</v>
      </c>
      <c r="G308" s="3">
        <f t="shared" si="51"/>
        <v>7.15191318989042</v>
      </c>
      <c r="H308" s="6">
        <v>87.8</v>
      </c>
      <c r="I308" s="6">
        <v>95.6</v>
      </c>
      <c r="J308" s="6">
        <v>99.7</v>
      </c>
      <c r="K308" s="3">
        <f t="shared" si="52"/>
        <v>-1.10000000000001</v>
      </c>
      <c r="L308" s="3">
        <f t="shared" si="53"/>
        <v>1</v>
      </c>
      <c r="M308" s="3">
        <f t="shared" si="54"/>
        <v>-0.299999999999997</v>
      </c>
      <c r="N308" s="3">
        <v>93.9</v>
      </c>
      <c r="O308" s="3">
        <v>3.7</v>
      </c>
      <c r="P308" s="3">
        <v>3.8</v>
      </c>
      <c r="Q308" s="5">
        <f t="shared" si="45"/>
        <v>1</v>
      </c>
      <c r="R308" s="5">
        <f t="shared" si="46"/>
        <v>1</v>
      </c>
      <c r="S308" s="5">
        <f t="shared" si="47"/>
        <v>1</v>
      </c>
      <c r="T308" s="5">
        <f t="shared" si="48"/>
        <v>1</v>
      </c>
    </row>
    <row r="309" spans="1:20">
      <c r="A309" t="s">
        <v>360</v>
      </c>
      <c r="B309" s="3">
        <v>86.15</v>
      </c>
      <c r="C309" s="3">
        <v>7.2486</v>
      </c>
      <c r="D309" s="3">
        <f t="shared" si="44"/>
        <v>624.46689</v>
      </c>
      <c r="E309" s="3">
        <f t="shared" si="49"/>
        <v>7.26892727469133</v>
      </c>
      <c r="F309" s="3">
        <f t="shared" si="50"/>
        <v>0.863191110849783</v>
      </c>
      <c r="G309" s="3">
        <f t="shared" si="51"/>
        <v>8.13211838554112</v>
      </c>
      <c r="H309" s="6">
        <v>90.9</v>
      </c>
      <c r="I309" s="6">
        <v>97</v>
      </c>
      <c r="J309" s="6">
        <v>100.1</v>
      </c>
      <c r="K309" s="3">
        <f t="shared" si="52"/>
        <v>3.10000000000001</v>
      </c>
      <c r="L309" s="3">
        <f t="shared" si="53"/>
        <v>1.40000000000001</v>
      </c>
      <c r="M309" s="3">
        <f t="shared" si="54"/>
        <v>0.399999999999991</v>
      </c>
      <c r="N309" s="3">
        <v>95.4</v>
      </c>
      <c r="O309" s="3">
        <v>4.5</v>
      </c>
      <c r="P309" s="3">
        <v>3.9</v>
      </c>
      <c r="Q309" s="5">
        <f t="shared" si="45"/>
        <v>1</v>
      </c>
      <c r="R309" s="5">
        <f t="shared" si="46"/>
        <v>1</v>
      </c>
      <c r="S309" s="5">
        <f t="shared" si="47"/>
        <v>1</v>
      </c>
      <c r="T309" s="5">
        <f t="shared" si="48"/>
        <v>1</v>
      </c>
    </row>
    <row r="310" spans="1:20">
      <c r="A310" t="s">
        <v>361</v>
      </c>
      <c r="B310" s="3">
        <v>93.72</v>
      </c>
      <c r="C310" s="3">
        <v>7.2979</v>
      </c>
      <c r="D310" s="3">
        <f t="shared" si="44"/>
        <v>683.959188</v>
      </c>
      <c r="E310" s="3">
        <f t="shared" si="49"/>
        <v>8.42216506656562</v>
      </c>
      <c r="F310" s="3">
        <f t="shared" si="50"/>
        <v>0.677828876472648</v>
      </c>
      <c r="G310" s="3">
        <f t="shared" si="51"/>
        <v>9.09999394303827</v>
      </c>
      <c r="H310" s="6">
        <v>93</v>
      </c>
      <c r="I310" s="6">
        <v>97.5</v>
      </c>
      <c r="J310" s="6">
        <v>100</v>
      </c>
      <c r="K310" s="3">
        <f t="shared" si="52"/>
        <v>2.09999999999999</v>
      </c>
      <c r="L310" s="3">
        <f t="shared" si="53"/>
        <v>0.5</v>
      </c>
      <c r="M310" s="3">
        <f t="shared" si="54"/>
        <v>-0.0999999999999943</v>
      </c>
      <c r="N310" s="3">
        <v>96.4</v>
      </c>
      <c r="O310" s="3">
        <v>4.5</v>
      </c>
      <c r="P310" s="3">
        <v>4</v>
      </c>
      <c r="Q310" s="5">
        <f t="shared" si="45"/>
        <v>1</v>
      </c>
      <c r="R310" s="5">
        <f t="shared" si="46"/>
        <v>1</v>
      </c>
      <c r="S310" s="5">
        <f t="shared" si="47"/>
        <v>1</v>
      </c>
      <c r="T310" s="5">
        <f t="shared" si="48"/>
        <v>1</v>
      </c>
    </row>
    <row r="311" spans="1:20">
      <c r="A311" t="s">
        <v>362</v>
      </c>
      <c r="B311" s="3">
        <v>90.6</v>
      </c>
      <c r="C311" s="3">
        <v>7.3071</v>
      </c>
      <c r="D311" s="3">
        <f t="shared" si="44"/>
        <v>662.02326</v>
      </c>
      <c r="E311" s="3">
        <f t="shared" si="49"/>
        <v>-3.38574005906613</v>
      </c>
      <c r="F311" s="3">
        <f t="shared" si="50"/>
        <v>0.125984268632051</v>
      </c>
      <c r="G311" s="3">
        <f t="shared" si="51"/>
        <v>-3.25975579043408</v>
      </c>
      <c r="H311" s="6">
        <v>93.3</v>
      </c>
      <c r="I311" s="6">
        <v>97.4</v>
      </c>
      <c r="J311" s="6">
        <v>99.8</v>
      </c>
      <c r="K311" s="3">
        <f t="shared" si="52"/>
        <v>0.299999999999997</v>
      </c>
      <c r="L311" s="3">
        <f t="shared" si="53"/>
        <v>-0.0999999999999943</v>
      </c>
      <c r="M311" s="3">
        <f t="shared" si="54"/>
        <v>-0.200000000000003</v>
      </c>
      <c r="N311" s="3">
        <v>96.3</v>
      </c>
      <c r="O311" s="3">
        <v>4.6</v>
      </c>
      <c r="P311" s="3">
        <v>4.1</v>
      </c>
      <c r="Q311" s="5">
        <f t="shared" si="45"/>
        <v>1</v>
      </c>
      <c r="R311" s="5">
        <f t="shared" si="46"/>
        <v>1</v>
      </c>
      <c r="S311" s="5">
        <f t="shared" si="47"/>
        <v>1</v>
      </c>
      <c r="T311" s="5">
        <f t="shared" si="48"/>
        <v>1</v>
      </c>
    </row>
    <row r="312" spans="1:20">
      <c r="A312" t="s">
        <v>363</v>
      </c>
      <c r="B312" s="3">
        <v>82.94</v>
      </c>
      <c r="C312" s="3">
        <v>7.2226</v>
      </c>
      <c r="D312" s="3">
        <f t="shared" si="44"/>
        <v>599.042444</v>
      </c>
      <c r="E312" s="3">
        <f t="shared" si="49"/>
        <v>-8.83367582306984</v>
      </c>
      <c r="F312" s="3">
        <f t="shared" si="50"/>
        <v>-1.16314793387574</v>
      </c>
      <c r="G312" s="3">
        <f t="shared" si="51"/>
        <v>-9.99682375694557</v>
      </c>
      <c r="H312" s="6">
        <v>92.6</v>
      </c>
      <c r="I312" s="6">
        <v>97</v>
      </c>
      <c r="J312" s="6">
        <v>99.5</v>
      </c>
      <c r="K312" s="3">
        <f t="shared" si="52"/>
        <v>-0.700000000000003</v>
      </c>
      <c r="L312" s="3">
        <f t="shared" si="53"/>
        <v>-0.400000000000006</v>
      </c>
      <c r="M312" s="3">
        <f t="shared" si="54"/>
        <v>-0.299999999999997</v>
      </c>
      <c r="N312" s="3">
        <v>96</v>
      </c>
      <c r="O312" s="3">
        <v>6.6</v>
      </c>
      <c r="P312" s="3">
        <v>4.3</v>
      </c>
      <c r="Q312" s="5">
        <f t="shared" si="45"/>
        <v>1</v>
      </c>
      <c r="R312" s="5">
        <f t="shared" si="46"/>
        <v>1</v>
      </c>
      <c r="S312" s="5">
        <f t="shared" si="47"/>
        <v>1</v>
      </c>
      <c r="T312" s="5">
        <f t="shared" si="48"/>
        <v>1</v>
      </c>
    </row>
    <row r="313" spans="1:20">
      <c r="A313" t="s">
        <v>364</v>
      </c>
      <c r="B313" s="3">
        <v>77.63</v>
      </c>
      <c r="C313" s="3">
        <v>7.1402</v>
      </c>
      <c r="D313" s="3">
        <f t="shared" si="44"/>
        <v>554.293726</v>
      </c>
      <c r="E313" s="3">
        <f t="shared" si="49"/>
        <v>-6.61635044006464</v>
      </c>
      <c r="F313" s="3">
        <f t="shared" si="50"/>
        <v>-1.14742117200574</v>
      </c>
      <c r="G313" s="3">
        <f t="shared" si="51"/>
        <v>-7.76377161207036</v>
      </c>
      <c r="H313" s="6">
        <v>92.8</v>
      </c>
      <c r="I313" s="6">
        <v>97.3</v>
      </c>
      <c r="J313" s="6">
        <v>99.7</v>
      </c>
      <c r="K313" s="3">
        <f t="shared" si="52"/>
        <v>0.200000000000003</v>
      </c>
      <c r="L313" s="3">
        <f t="shared" si="53"/>
        <v>0.299999999999997</v>
      </c>
      <c r="M313" s="3">
        <f t="shared" si="54"/>
        <v>0.200000000000003</v>
      </c>
      <c r="N313" s="3">
        <v>96.2</v>
      </c>
      <c r="O313" s="3">
        <v>6.8</v>
      </c>
      <c r="P313" s="3">
        <v>4.6</v>
      </c>
      <c r="Q313" s="5">
        <f t="shared" si="45"/>
        <v>1</v>
      </c>
      <c r="R313" s="5">
        <f t="shared" si="46"/>
        <v>1</v>
      </c>
      <c r="S313" s="5">
        <f t="shared" si="47"/>
        <v>1</v>
      </c>
      <c r="T313" s="5">
        <f t="shared" si="48"/>
        <v>1</v>
      </c>
    </row>
    <row r="314" spans="1:20">
      <c r="A314" t="s">
        <v>365</v>
      </c>
      <c r="B314" s="3">
        <v>80.12</v>
      </c>
      <c r="C314" s="3">
        <v>7.1707</v>
      </c>
      <c r="D314" s="3">
        <f t="shared" si="44"/>
        <v>574.516484</v>
      </c>
      <c r="E314" s="3">
        <f t="shared" si="49"/>
        <v>3.15715603800287</v>
      </c>
      <c r="F314" s="3">
        <f t="shared" si="50"/>
        <v>0.426249169222192</v>
      </c>
      <c r="G314" s="3">
        <f t="shared" si="51"/>
        <v>3.58340520722504</v>
      </c>
      <c r="H314" s="6">
        <v>93.3</v>
      </c>
      <c r="I314" s="6">
        <v>97.5</v>
      </c>
      <c r="J314" s="6">
        <v>99.2</v>
      </c>
      <c r="K314" s="3">
        <f t="shared" si="52"/>
        <v>0.5</v>
      </c>
      <c r="L314" s="3">
        <f t="shared" si="53"/>
        <v>0.200000000000003</v>
      </c>
      <c r="M314" s="3">
        <f t="shared" si="54"/>
        <v>-0.5</v>
      </c>
      <c r="N314" s="3">
        <v>96.6</v>
      </c>
      <c r="O314" s="3"/>
      <c r="P314" s="3"/>
      <c r="Q314" s="5">
        <f t="shared" si="45"/>
        <v>1</v>
      </c>
      <c r="R314" s="5">
        <f t="shared" si="46"/>
        <v>1</v>
      </c>
      <c r="S314" s="5">
        <f t="shared" si="47"/>
        <v>1</v>
      </c>
      <c r="T314" s="5">
        <f t="shared" si="48"/>
        <v>1</v>
      </c>
    </row>
    <row r="315" spans="1:20">
      <c r="A315" t="s">
        <v>366</v>
      </c>
      <c r="B315" s="3">
        <v>83.48</v>
      </c>
      <c r="C315" s="3">
        <v>7.1935</v>
      </c>
      <c r="D315" s="3">
        <f t="shared" si="44"/>
        <v>600.51338</v>
      </c>
      <c r="E315" s="3">
        <f t="shared" si="49"/>
        <v>4.10815714113825</v>
      </c>
      <c r="F315" s="3">
        <f t="shared" si="50"/>
        <v>0.317456163906044</v>
      </c>
      <c r="G315" s="3">
        <f t="shared" si="51"/>
        <v>4.42561330504431</v>
      </c>
      <c r="H315" s="6">
        <v>93.4</v>
      </c>
      <c r="I315" s="6">
        <v>97.3</v>
      </c>
      <c r="J315" s="6">
        <v>100.7</v>
      </c>
      <c r="K315" s="3">
        <f t="shared" si="52"/>
        <v>0.100000000000009</v>
      </c>
      <c r="L315" s="3">
        <f t="shared" si="53"/>
        <v>-0.200000000000003</v>
      </c>
      <c r="M315" s="3">
        <f t="shared" si="54"/>
        <v>1.5</v>
      </c>
      <c r="N315" s="3">
        <v>96.6</v>
      </c>
      <c r="O315" s="3"/>
      <c r="P315" s="3">
        <v>7</v>
      </c>
      <c r="Q315" s="5">
        <f t="shared" si="45"/>
        <v>1</v>
      </c>
      <c r="R315" s="5">
        <f t="shared" si="46"/>
        <v>1</v>
      </c>
      <c r="S315" s="5">
        <f t="shared" si="47"/>
        <v>1</v>
      </c>
      <c r="T315" s="5">
        <f t="shared" si="48"/>
        <v>1</v>
      </c>
    </row>
    <row r="316" spans="1:20">
      <c r="A316" t="s">
        <v>367</v>
      </c>
      <c r="B316" s="3">
        <v>85.41</v>
      </c>
      <c r="C316" s="3">
        <v>7.2015</v>
      </c>
      <c r="D316" s="3">
        <f t="shared" si="44"/>
        <v>615.080115</v>
      </c>
      <c r="E316" s="3">
        <f t="shared" si="49"/>
        <v>2.28561077490557</v>
      </c>
      <c r="F316" s="3">
        <f t="shared" si="50"/>
        <v>0.111149716201703</v>
      </c>
      <c r="G316" s="3">
        <f t="shared" si="51"/>
        <v>2.39676049110728</v>
      </c>
      <c r="H316" s="6">
        <v>95.1</v>
      </c>
      <c r="I316" s="6">
        <v>97.2</v>
      </c>
      <c r="J316" s="6">
        <v>100.1</v>
      </c>
      <c r="K316" s="3">
        <f t="shared" si="52"/>
        <v>1.69999999999999</v>
      </c>
      <c r="L316" s="3">
        <f t="shared" si="53"/>
        <v>-0.0999999999999943</v>
      </c>
      <c r="M316" s="3">
        <f t="shared" si="54"/>
        <v>-0.600000000000009</v>
      </c>
      <c r="N316" s="3">
        <v>96.5</v>
      </c>
      <c r="O316" s="3">
        <v>4.5</v>
      </c>
      <c r="P316" s="3">
        <v>6.1</v>
      </c>
      <c r="Q316" s="5">
        <f t="shared" si="45"/>
        <v>1</v>
      </c>
      <c r="R316" s="5">
        <f t="shared" si="46"/>
        <v>1</v>
      </c>
      <c r="S316" s="5">
        <f t="shared" si="47"/>
        <v>1</v>
      </c>
      <c r="T316" s="5">
        <f t="shared" si="48"/>
        <v>1</v>
      </c>
    </row>
    <row r="317" spans="1:20">
      <c r="A317" t="s">
        <v>368</v>
      </c>
      <c r="B317" s="3">
        <v>89.94</v>
      </c>
      <c r="C317" s="3">
        <v>7.2374</v>
      </c>
      <c r="D317" s="3">
        <f t="shared" si="44"/>
        <v>650.931756</v>
      </c>
      <c r="E317" s="3">
        <f t="shared" si="49"/>
        <v>5.16795913845055</v>
      </c>
      <c r="F317" s="3">
        <f t="shared" si="50"/>
        <v>0.497268822095737</v>
      </c>
      <c r="G317" s="3">
        <f t="shared" si="51"/>
        <v>5.66522796054628</v>
      </c>
      <c r="H317" s="6">
        <v>95.7</v>
      </c>
      <c r="I317" s="6">
        <v>97.5</v>
      </c>
      <c r="J317" s="6">
        <v>100.3</v>
      </c>
      <c r="K317" s="3">
        <f t="shared" si="52"/>
        <v>0.600000000000009</v>
      </c>
      <c r="L317" s="3">
        <f t="shared" si="53"/>
        <v>0.299999999999997</v>
      </c>
      <c r="M317" s="3">
        <f t="shared" si="54"/>
        <v>0.200000000000003</v>
      </c>
      <c r="N317" s="3">
        <v>97</v>
      </c>
      <c r="O317" s="3">
        <v>6.7</v>
      </c>
      <c r="P317" s="3">
        <v>6.3</v>
      </c>
      <c r="Q317" s="5">
        <f t="shared" si="45"/>
        <v>1</v>
      </c>
      <c r="R317" s="5">
        <f t="shared" si="46"/>
        <v>1</v>
      </c>
      <c r="S317" s="5">
        <f t="shared" si="47"/>
        <v>1</v>
      </c>
      <c r="T317" s="5">
        <f t="shared" si="48"/>
        <v>1</v>
      </c>
    </row>
    <row r="318" spans="1:20">
      <c r="A318" t="s">
        <v>369</v>
      </c>
      <c r="B318" s="3">
        <v>81.75</v>
      </c>
      <c r="C318" s="3">
        <v>7.2327</v>
      </c>
      <c r="D318" s="3">
        <f t="shared" si="44"/>
        <v>591.273225</v>
      </c>
      <c r="E318" s="3">
        <f t="shared" si="49"/>
        <v>-9.54769715651985</v>
      </c>
      <c r="F318" s="3">
        <f t="shared" si="50"/>
        <v>-0.064961543669815</v>
      </c>
      <c r="G318" s="3">
        <f t="shared" si="51"/>
        <v>-9.61265870018967</v>
      </c>
      <c r="H318" s="6">
        <v>97.9</v>
      </c>
      <c r="I318" s="6">
        <v>98.6</v>
      </c>
      <c r="J318" s="6">
        <v>100.3</v>
      </c>
      <c r="K318" s="3">
        <f t="shared" si="52"/>
        <v>2.2</v>
      </c>
      <c r="L318" s="3">
        <f t="shared" si="53"/>
        <v>1.09999999999999</v>
      </c>
      <c r="M318" s="3">
        <f t="shared" si="54"/>
        <v>0</v>
      </c>
      <c r="N318" s="3">
        <v>98.3</v>
      </c>
      <c r="O318" s="3">
        <v>5.6</v>
      </c>
      <c r="P318" s="3">
        <v>6.2</v>
      </c>
      <c r="Q318" s="5">
        <f t="shared" si="45"/>
        <v>1</v>
      </c>
      <c r="R318" s="5">
        <f t="shared" si="46"/>
        <v>1</v>
      </c>
      <c r="S318" s="5">
        <f t="shared" si="47"/>
        <v>1</v>
      </c>
      <c r="T318" s="5">
        <f t="shared" si="48"/>
        <v>1</v>
      </c>
    </row>
    <row r="319" spans="1:20">
      <c r="A319" t="s">
        <v>370</v>
      </c>
      <c r="B319" s="3">
        <v>82.25</v>
      </c>
      <c r="C319" s="3">
        <v>7.2547</v>
      </c>
      <c r="D319" s="3">
        <f t="shared" si="44"/>
        <v>596.699075</v>
      </c>
      <c r="E319" s="3">
        <f t="shared" si="49"/>
        <v>0.609757986811854</v>
      </c>
      <c r="F319" s="3">
        <f t="shared" si="50"/>
        <v>0.303712424739985</v>
      </c>
      <c r="G319" s="3">
        <f t="shared" si="51"/>
        <v>0.913470411551829</v>
      </c>
      <c r="H319" s="6">
        <v>99.4</v>
      </c>
      <c r="I319" s="6">
        <v>99.2</v>
      </c>
      <c r="J319" s="6">
        <v>100.2</v>
      </c>
      <c r="K319" s="3">
        <f t="shared" si="52"/>
        <v>1.5</v>
      </c>
      <c r="L319" s="3">
        <f t="shared" si="53"/>
        <v>0.600000000000009</v>
      </c>
      <c r="M319" s="3">
        <f t="shared" si="54"/>
        <v>-0.0999999999999943</v>
      </c>
      <c r="N319" s="3">
        <v>99.5</v>
      </c>
      <c r="O319" s="3">
        <v>5.3</v>
      </c>
      <c r="P319" s="3">
        <v>6</v>
      </c>
      <c r="Q319" s="5">
        <f t="shared" si="45"/>
        <v>1</v>
      </c>
      <c r="R319" s="5">
        <f t="shared" si="46"/>
        <v>1</v>
      </c>
      <c r="S319" s="5">
        <f t="shared" si="47"/>
        <v>1</v>
      </c>
      <c r="T319" s="5">
        <f t="shared" si="48"/>
        <v>1</v>
      </c>
    </row>
    <row r="320" spans="1:20">
      <c r="A320" t="s">
        <v>371</v>
      </c>
      <c r="B320" s="3">
        <v>85.15</v>
      </c>
      <c r="C320" s="3">
        <v>7.2609</v>
      </c>
      <c r="D320" s="3">
        <f t="shared" si="44"/>
        <v>618.265635</v>
      </c>
      <c r="E320" s="3">
        <f t="shared" si="49"/>
        <v>3.46510174632161</v>
      </c>
      <c r="F320" s="3">
        <f t="shared" si="50"/>
        <v>0.085425340696038</v>
      </c>
      <c r="G320" s="3">
        <f t="shared" si="51"/>
        <v>3.55052708701766</v>
      </c>
      <c r="H320" s="6">
        <v>100.5</v>
      </c>
      <c r="I320" s="6">
        <v>99.2</v>
      </c>
      <c r="J320" s="6">
        <v>100.5</v>
      </c>
      <c r="K320" s="3">
        <f t="shared" si="52"/>
        <v>1.09999999999999</v>
      </c>
      <c r="L320" s="3">
        <f t="shared" si="53"/>
        <v>0</v>
      </c>
      <c r="M320" s="3">
        <f t="shared" si="54"/>
        <v>0.299999999999997</v>
      </c>
      <c r="N320" s="3">
        <v>99.9</v>
      </c>
      <c r="O320" s="3">
        <v>5.1</v>
      </c>
      <c r="P320" s="3">
        <v>5.9</v>
      </c>
      <c r="Q320" s="5">
        <f t="shared" si="45"/>
        <v>1</v>
      </c>
      <c r="R320" s="5">
        <f t="shared" si="46"/>
        <v>1</v>
      </c>
      <c r="S320" s="5">
        <f t="shared" si="47"/>
        <v>1</v>
      </c>
      <c r="T320" s="5">
        <f t="shared" si="48"/>
        <v>1</v>
      </c>
    </row>
    <row r="321" spans="1:20">
      <c r="A321" t="s">
        <v>372</v>
      </c>
      <c r="B321" s="3">
        <v>80.36</v>
      </c>
      <c r="C321" s="3">
        <v>7.1475</v>
      </c>
      <c r="D321" s="3">
        <f t="shared" si="44"/>
        <v>574.3731</v>
      </c>
      <c r="E321" s="3">
        <f t="shared" si="49"/>
        <v>-5.78978671619637</v>
      </c>
      <c r="F321" s="3">
        <f t="shared" si="50"/>
        <v>-1.57411428812573</v>
      </c>
      <c r="G321" s="3">
        <f t="shared" si="51"/>
        <v>-7.3639010043221</v>
      </c>
      <c r="H321" s="6">
        <v>99</v>
      </c>
      <c r="I321" s="6">
        <v>98.2</v>
      </c>
      <c r="J321" s="6">
        <v>100.6</v>
      </c>
      <c r="K321" s="3">
        <f t="shared" si="52"/>
        <v>-1.5</v>
      </c>
      <c r="L321" s="3">
        <f t="shared" si="53"/>
        <v>-1</v>
      </c>
      <c r="M321" s="3">
        <f t="shared" si="54"/>
        <v>0.0999999999999943</v>
      </c>
      <c r="N321" s="3">
        <v>99.2</v>
      </c>
      <c r="O321" s="3">
        <v>4.5</v>
      </c>
      <c r="P321" s="3">
        <v>5.8</v>
      </c>
      <c r="Q321" s="5">
        <f t="shared" si="45"/>
        <v>1</v>
      </c>
      <c r="R321" s="5">
        <f t="shared" si="46"/>
        <v>1</v>
      </c>
      <c r="S321" s="5">
        <f t="shared" si="47"/>
        <v>1</v>
      </c>
      <c r="T321" s="5">
        <f t="shared" si="48"/>
        <v>1</v>
      </c>
    </row>
    <row r="322" spans="1:20">
      <c r="A322" t="s">
        <v>373</v>
      </c>
      <c r="B322" s="3">
        <v>74.02</v>
      </c>
      <c r="C322" s="3">
        <v>7.076</v>
      </c>
      <c r="D322" s="3">
        <f t="shared" ref="D322:D339" si="55" xml:space="preserve">B322*C322</f>
        <v>523.76552</v>
      </c>
      <c r="E322" s="3">
        <f t="shared" si="49"/>
        <v>-8.21812129887238</v>
      </c>
      <c r="F322" s="3">
        <f t="shared" si="50"/>
        <v>-1.0053868916791</v>
      </c>
      <c r="G322" s="3">
        <f t="shared" si="51"/>
        <v>-9.22350819055149</v>
      </c>
      <c r="H322" s="6">
        <v>95.9</v>
      </c>
      <c r="I322" s="6">
        <v>97.2</v>
      </c>
      <c r="J322" s="6">
        <v>100.4</v>
      </c>
      <c r="K322" s="3">
        <f t="shared" si="52"/>
        <v>-3.09999999999999</v>
      </c>
      <c r="L322" s="3">
        <f t="shared" si="53"/>
        <v>-1</v>
      </c>
      <c r="M322" s="3">
        <f t="shared" si="54"/>
        <v>-0.199999999999989</v>
      </c>
      <c r="N322" s="3">
        <v>97.8</v>
      </c>
      <c r="O322" s="3">
        <v>5.4</v>
      </c>
      <c r="P322" s="3">
        <v>5.8</v>
      </c>
      <c r="Q322" s="5">
        <f t="shared" ref="Q322:Q339" si="56" xml:space="preserve">IF(ROW()&gt;=5,1,0)</f>
        <v>1</v>
      </c>
      <c r="R322" s="5">
        <f t="shared" ref="R322:R339" si="57" xml:space="preserve">IF(AND(ROW()&gt;=5,ROW()+3&lt;=339),1,0)</f>
        <v>1</v>
      </c>
      <c r="S322" s="5">
        <f t="shared" ref="S322:S339" si="58" xml:space="preserve">IF(AND(ROW()&gt;=5,ROW()+6&lt;=339),1,0)</f>
        <v>1</v>
      </c>
      <c r="T322" s="5">
        <f t="shared" ref="T322:T339" si="59" xml:space="preserve">IF(AND(ROW()&gt;=5,ROW()+12&lt;=339),1,0)</f>
        <v>1</v>
      </c>
    </row>
    <row r="323" spans="1:20">
      <c r="A323" t="s">
        <v>374</v>
      </c>
      <c r="B323" s="3">
        <v>75.63</v>
      </c>
      <c r="C323" s="3">
        <v>7.0881</v>
      </c>
      <c r="D323" s="3">
        <f t="shared" si="55"/>
        <v>536.073003</v>
      </c>
      <c r="E323" s="3">
        <f t="shared" ref="E323:E339" si="60" xml:space="preserve">100*LN(B323/B322)</f>
        <v>2.15177029099282</v>
      </c>
      <c r="F323" s="3">
        <f t="shared" ref="F323:F339" si="61" xml:space="preserve">100*LN(C323/C322)</f>
        <v>0.170854525786369</v>
      </c>
      <c r="G323" s="3">
        <f t="shared" ref="G323:G339" si="62" xml:space="preserve">100*LN(D323/D322)</f>
        <v>2.32262481677918</v>
      </c>
      <c r="H323" s="6">
        <v>93.8</v>
      </c>
      <c r="I323" s="6">
        <v>97.1</v>
      </c>
      <c r="J323" s="6">
        <v>100.3</v>
      </c>
      <c r="K323" s="3">
        <f t="shared" ref="K323:K339" si="63" xml:space="preserve">H323-H322</f>
        <v>-2.10000000000001</v>
      </c>
      <c r="L323" s="3">
        <f t="shared" ref="L323:L339" si="64" xml:space="preserve">I323-I322</f>
        <v>-0.100000000000009</v>
      </c>
      <c r="M323" s="3">
        <f t="shared" ref="M323:M339" si="65" xml:space="preserve">J323-J322</f>
        <v>-0.100000000000009</v>
      </c>
      <c r="N323" s="3">
        <v>97.3</v>
      </c>
      <c r="O323" s="3">
        <v>5.3</v>
      </c>
      <c r="P323" s="3">
        <v>5.8</v>
      </c>
      <c r="Q323" s="5">
        <f t="shared" si="56"/>
        <v>1</v>
      </c>
      <c r="R323" s="5">
        <f t="shared" si="57"/>
        <v>1</v>
      </c>
      <c r="S323" s="5">
        <f t="shared" si="58"/>
        <v>1</v>
      </c>
      <c r="T323" s="5">
        <f t="shared" si="59"/>
        <v>1</v>
      </c>
    </row>
    <row r="324" spans="1:20">
      <c r="A324" t="s">
        <v>375</v>
      </c>
      <c r="B324" s="3">
        <v>74.35</v>
      </c>
      <c r="C324" s="3">
        <v>7.2063</v>
      </c>
      <c r="D324" s="3">
        <f t="shared" si="55"/>
        <v>535.788405</v>
      </c>
      <c r="E324" s="3">
        <f t="shared" si="60"/>
        <v>-1.70693569617741</v>
      </c>
      <c r="F324" s="3">
        <f t="shared" si="61"/>
        <v>1.65383218772681</v>
      </c>
      <c r="G324" s="3">
        <f t="shared" si="62"/>
        <v>-0.053103508450611</v>
      </c>
      <c r="H324" s="6">
        <v>93.5</v>
      </c>
      <c r="I324" s="6">
        <v>97.5</v>
      </c>
      <c r="J324" s="6">
        <v>100.2</v>
      </c>
      <c r="K324" s="3">
        <f t="shared" si="63"/>
        <v>-0.299999999999997</v>
      </c>
      <c r="L324" s="3">
        <f t="shared" si="64"/>
        <v>0.400000000000006</v>
      </c>
      <c r="M324" s="3">
        <f t="shared" si="65"/>
        <v>-0.0999999999999943</v>
      </c>
      <c r="N324" s="3">
        <v>97.5</v>
      </c>
      <c r="O324" s="3">
        <v>5.4</v>
      </c>
      <c r="P324" s="3">
        <v>5.8</v>
      </c>
      <c r="Q324" s="5">
        <f t="shared" si="56"/>
        <v>1</v>
      </c>
      <c r="R324" s="5">
        <f t="shared" si="57"/>
        <v>1</v>
      </c>
      <c r="S324" s="5">
        <f t="shared" si="58"/>
        <v>1</v>
      </c>
      <c r="T324" s="5">
        <f t="shared" si="59"/>
        <v>1</v>
      </c>
    </row>
    <row r="325" spans="1:20">
      <c r="A325" t="s">
        <v>376</v>
      </c>
      <c r="B325" s="3">
        <v>73.86</v>
      </c>
      <c r="C325" s="3">
        <v>7.2807</v>
      </c>
      <c r="D325" s="3">
        <f t="shared" si="55"/>
        <v>537.752502</v>
      </c>
      <c r="E325" s="3">
        <f t="shared" si="60"/>
        <v>-0.661226348174689</v>
      </c>
      <c r="F325" s="3">
        <f t="shared" si="61"/>
        <v>1.02713679995934</v>
      </c>
      <c r="G325" s="3">
        <f t="shared" si="62"/>
        <v>0.365910451784646</v>
      </c>
      <c r="H325" s="6">
        <v>94.1</v>
      </c>
      <c r="I325" s="6">
        <v>97.7</v>
      </c>
      <c r="J325" s="6">
        <v>100.1</v>
      </c>
      <c r="K325" s="3">
        <f t="shared" si="63"/>
        <v>0.599999999999994</v>
      </c>
      <c r="L325" s="3">
        <f t="shared" si="64"/>
        <v>0.200000000000003</v>
      </c>
      <c r="M325" s="3">
        <f t="shared" si="65"/>
        <v>-0.100000000000009</v>
      </c>
      <c r="N325" s="3">
        <v>97.7</v>
      </c>
      <c r="O325" s="3">
        <v>6.2</v>
      </c>
      <c r="P325" s="3">
        <v>5.8</v>
      </c>
      <c r="Q325" s="5">
        <f t="shared" si="56"/>
        <v>1</v>
      </c>
      <c r="R325" s="5">
        <f t="shared" si="57"/>
        <v>1</v>
      </c>
      <c r="S325" s="5">
        <f t="shared" si="58"/>
        <v>1</v>
      </c>
      <c r="T325" s="5">
        <f t="shared" si="59"/>
        <v>1</v>
      </c>
    </row>
    <row r="326" spans="1:20">
      <c r="A326" t="s">
        <v>377</v>
      </c>
      <c r="B326" s="3">
        <v>79.27</v>
      </c>
      <c r="C326" s="3">
        <v>7.2957</v>
      </c>
      <c r="D326" s="3">
        <f t="shared" si="55"/>
        <v>578.330139</v>
      </c>
      <c r="E326" s="3">
        <f t="shared" si="60"/>
        <v>7.06883374246472</v>
      </c>
      <c r="F326" s="3">
        <f t="shared" si="61"/>
        <v>0.205812207332838</v>
      </c>
      <c r="G326" s="3">
        <f t="shared" si="62"/>
        <v>7.27464594979759</v>
      </c>
      <c r="H326" s="6">
        <v>94.8</v>
      </c>
      <c r="I326" s="6">
        <v>97.7</v>
      </c>
      <c r="J326" s="6">
        <v>100.5</v>
      </c>
      <c r="K326" s="3">
        <f t="shared" si="63"/>
        <v>0.700000000000003</v>
      </c>
      <c r="L326" s="3">
        <f t="shared" si="64"/>
        <v>0</v>
      </c>
      <c r="M326" s="3">
        <f t="shared" si="65"/>
        <v>0.400000000000006</v>
      </c>
      <c r="N326" s="3">
        <v>97.7</v>
      </c>
      <c r="O326" s="3"/>
      <c r="P326" s="3"/>
      <c r="Q326" s="5">
        <f t="shared" si="56"/>
        <v>1</v>
      </c>
      <c r="R326" s="5">
        <f t="shared" si="57"/>
        <v>1</v>
      </c>
      <c r="S326" s="5">
        <f t="shared" si="58"/>
        <v>1</v>
      </c>
      <c r="T326" s="5">
        <f t="shared" si="59"/>
        <v>1</v>
      </c>
    </row>
    <row r="327" spans="1:20">
      <c r="A327" t="s">
        <v>378</v>
      </c>
      <c r="B327" s="3">
        <v>75.44</v>
      </c>
      <c r="C327" s="3">
        <v>7.2734</v>
      </c>
      <c r="D327" s="3">
        <f t="shared" si="55"/>
        <v>548.705296</v>
      </c>
      <c r="E327" s="3">
        <f t="shared" si="60"/>
        <v>-4.95221085238624</v>
      </c>
      <c r="F327" s="3">
        <f t="shared" si="61"/>
        <v>-0.306127590794237</v>
      </c>
      <c r="G327" s="3">
        <f t="shared" si="62"/>
        <v>-5.25833844318049</v>
      </c>
      <c r="H327" s="6">
        <v>95</v>
      </c>
      <c r="I327" s="6">
        <v>97.8</v>
      </c>
      <c r="J327" s="6">
        <v>99.3</v>
      </c>
      <c r="K327" s="3">
        <f t="shared" si="63"/>
        <v>0.200000000000003</v>
      </c>
      <c r="L327" s="3">
        <f t="shared" si="64"/>
        <v>0.0999999999999943</v>
      </c>
      <c r="M327" s="3">
        <f t="shared" si="65"/>
        <v>-1.2</v>
      </c>
      <c r="N327" s="3">
        <v>97.7</v>
      </c>
      <c r="O327" s="3"/>
      <c r="P327" s="3">
        <v>5.9</v>
      </c>
      <c r="Q327" s="5">
        <f t="shared" si="56"/>
        <v>1</v>
      </c>
      <c r="R327" s="5">
        <f t="shared" si="57"/>
        <v>1</v>
      </c>
      <c r="S327" s="5">
        <f t="shared" si="58"/>
        <v>1</v>
      </c>
      <c r="T327" s="5">
        <f t="shared" si="59"/>
        <v>1</v>
      </c>
    </row>
    <row r="328" spans="1:20">
      <c r="A328" t="s">
        <v>379</v>
      </c>
      <c r="B328" s="3">
        <v>72.73</v>
      </c>
      <c r="C328" s="3">
        <v>7.2493</v>
      </c>
      <c r="D328" s="3">
        <f t="shared" si="55"/>
        <v>527.241589</v>
      </c>
      <c r="E328" s="3">
        <f t="shared" si="60"/>
        <v>-3.65836841587527</v>
      </c>
      <c r="F328" s="3">
        <f t="shared" si="61"/>
        <v>-0.331894511662217</v>
      </c>
      <c r="G328" s="3">
        <f t="shared" si="62"/>
        <v>-3.99026292753748</v>
      </c>
      <c r="H328" s="6">
        <v>93.2</v>
      </c>
      <c r="I328" s="6">
        <v>97.5</v>
      </c>
      <c r="J328" s="6">
        <v>99.9</v>
      </c>
      <c r="K328" s="3">
        <f t="shared" si="63"/>
        <v>-1.8</v>
      </c>
      <c r="L328" s="3">
        <f t="shared" si="64"/>
        <v>-0.299999999999997</v>
      </c>
      <c r="M328" s="3">
        <f t="shared" si="65"/>
        <v>0.600000000000009</v>
      </c>
      <c r="N328" s="3">
        <v>97.6</v>
      </c>
      <c r="O328" s="3">
        <v>7.7</v>
      </c>
      <c r="P328" s="3">
        <v>6.5</v>
      </c>
      <c r="Q328" s="5">
        <f t="shared" si="56"/>
        <v>1</v>
      </c>
      <c r="R328" s="5">
        <f t="shared" si="57"/>
        <v>1</v>
      </c>
      <c r="S328" s="5">
        <f t="shared" si="58"/>
        <v>1</v>
      </c>
      <c r="T328" s="5">
        <f t="shared" si="59"/>
        <v>0</v>
      </c>
    </row>
    <row r="329" spans="1:20">
      <c r="A329" t="s">
        <v>380</v>
      </c>
      <c r="B329" s="3">
        <v>68.13</v>
      </c>
      <c r="C329" s="3">
        <v>7.2968</v>
      </c>
      <c r="D329" s="3">
        <f t="shared" si="55"/>
        <v>497.130984</v>
      </c>
      <c r="E329" s="3">
        <f t="shared" si="60"/>
        <v>-6.53363093808727</v>
      </c>
      <c r="F329" s="3">
        <f t="shared" si="61"/>
        <v>0.653098340278401</v>
      </c>
      <c r="G329" s="3">
        <f t="shared" si="62"/>
        <v>-5.88053259780887</v>
      </c>
      <c r="H329" s="6">
        <v>92.3</v>
      </c>
      <c r="I329" s="6">
        <v>97.3</v>
      </c>
      <c r="J329" s="6">
        <v>99.9</v>
      </c>
      <c r="K329" s="3">
        <f t="shared" si="63"/>
        <v>-0.900000000000006</v>
      </c>
      <c r="L329" s="3">
        <f t="shared" si="64"/>
        <v>-0.200000000000003</v>
      </c>
      <c r="M329" s="3">
        <f t="shared" si="65"/>
        <v>0</v>
      </c>
      <c r="N329" s="3">
        <v>97.3</v>
      </c>
      <c r="O329" s="3">
        <v>6.1</v>
      </c>
      <c r="P329" s="3">
        <v>6.4</v>
      </c>
      <c r="Q329" s="5">
        <f t="shared" si="56"/>
        <v>1</v>
      </c>
      <c r="R329" s="5">
        <f t="shared" si="57"/>
        <v>1</v>
      </c>
      <c r="S329" s="5">
        <f t="shared" si="58"/>
        <v>1</v>
      </c>
      <c r="T329" s="5">
        <f t="shared" si="59"/>
        <v>0</v>
      </c>
    </row>
    <row r="330" spans="1:20">
      <c r="A330" t="s">
        <v>381</v>
      </c>
      <c r="B330" s="3">
        <v>64.45</v>
      </c>
      <c r="C330" s="3">
        <v>7.2166</v>
      </c>
      <c r="D330" s="3">
        <f t="shared" si="55"/>
        <v>465.10987</v>
      </c>
      <c r="E330" s="3">
        <f t="shared" si="60"/>
        <v>-5.55279154003802</v>
      </c>
      <c r="F330" s="3">
        <f t="shared" si="61"/>
        <v>-1.10519680213806</v>
      </c>
      <c r="G330" s="3">
        <f t="shared" si="62"/>
        <v>-6.65798834217609</v>
      </c>
      <c r="H330" s="6">
        <v>90.2</v>
      </c>
      <c r="I330" s="6">
        <v>96.7</v>
      </c>
      <c r="J330" s="6">
        <v>99.9</v>
      </c>
      <c r="K330" s="3">
        <f t="shared" si="63"/>
        <v>-2.09999999999999</v>
      </c>
      <c r="L330" s="3">
        <f t="shared" si="64"/>
        <v>-0.599999999999994</v>
      </c>
      <c r="M330" s="3">
        <f t="shared" si="65"/>
        <v>0</v>
      </c>
      <c r="N330" s="3">
        <v>96.4</v>
      </c>
      <c r="O330" s="3">
        <v>5.8</v>
      </c>
      <c r="P330" s="3">
        <v>6.3</v>
      </c>
      <c r="Q330" s="5">
        <f t="shared" si="56"/>
        <v>1</v>
      </c>
      <c r="R330" s="5">
        <f t="shared" si="57"/>
        <v>1</v>
      </c>
      <c r="S330" s="5">
        <f t="shared" si="58"/>
        <v>1</v>
      </c>
      <c r="T330" s="5">
        <f t="shared" si="59"/>
        <v>0</v>
      </c>
    </row>
    <row r="331" spans="1:20">
      <c r="A331" t="s">
        <v>382</v>
      </c>
      <c r="B331" s="3">
        <v>71.44</v>
      </c>
      <c r="C331" s="3">
        <v>7.1804</v>
      </c>
      <c r="D331" s="3">
        <f t="shared" si="55"/>
        <v>512.967776</v>
      </c>
      <c r="E331" s="3">
        <f t="shared" si="60"/>
        <v>10.2968207183047</v>
      </c>
      <c r="F331" s="3">
        <f t="shared" si="61"/>
        <v>-0.502883604765302</v>
      </c>
      <c r="G331" s="3">
        <f t="shared" si="62"/>
        <v>9.79393711353941</v>
      </c>
      <c r="H331" s="6">
        <v>89.6</v>
      </c>
      <c r="I331" s="6">
        <v>96.4</v>
      </c>
      <c r="J331" s="6">
        <v>100.1</v>
      </c>
      <c r="K331" s="3">
        <f t="shared" si="63"/>
        <v>-0.600000000000009</v>
      </c>
      <c r="L331" s="3">
        <f t="shared" si="64"/>
        <v>-0.299999999999997</v>
      </c>
      <c r="M331" s="3">
        <f t="shared" si="65"/>
        <v>0.199999999999989</v>
      </c>
      <c r="N331" s="3">
        <v>95.7</v>
      </c>
      <c r="O331" s="3">
        <v>6.8</v>
      </c>
      <c r="P331" s="3">
        <v>6.4</v>
      </c>
      <c r="Q331" s="5">
        <f t="shared" si="56"/>
        <v>1</v>
      </c>
      <c r="R331" s="5">
        <f t="shared" si="57"/>
        <v>1</v>
      </c>
      <c r="S331" s="5">
        <f t="shared" si="58"/>
        <v>1</v>
      </c>
      <c r="T331" s="5">
        <f t="shared" si="59"/>
        <v>0</v>
      </c>
    </row>
    <row r="332" spans="1:20">
      <c r="A332" t="s">
        <v>383</v>
      </c>
      <c r="B332" s="3">
        <v>71.04</v>
      </c>
      <c r="C332" s="3">
        <v>7.1741</v>
      </c>
      <c r="D332" s="3">
        <f t="shared" si="55"/>
        <v>509.648064</v>
      </c>
      <c r="E332" s="3">
        <f t="shared" si="60"/>
        <v>-0.561483788432889</v>
      </c>
      <c r="F332" s="3">
        <f t="shared" si="61"/>
        <v>-0.0877773576858082</v>
      </c>
      <c r="G332" s="3">
        <f t="shared" si="62"/>
        <v>-0.649261146118697</v>
      </c>
      <c r="H332" s="6">
        <v>89.2</v>
      </c>
      <c r="I332" s="6">
        <v>96.4</v>
      </c>
      <c r="J332" s="6">
        <v>100</v>
      </c>
      <c r="K332" s="3">
        <f t="shared" si="63"/>
        <v>-0.399999999999991</v>
      </c>
      <c r="L332" s="3">
        <f t="shared" si="64"/>
        <v>0</v>
      </c>
      <c r="M332" s="3">
        <f t="shared" si="65"/>
        <v>-0.0999999999999943</v>
      </c>
      <c r="N332" s="3">
        <v>95.5</v>
      </c>
      <c r="O332" s="3">
        <v>5.7</v>
      </c>
      <c r="P332" s="3">
        <v>6.3</v>
      </c>
      <c r="Q332" s="5">
        <f t="shared" si="56"/>
        <v>1</v>
      </c>
      <c r="R332" s="5">
        <f t="shared" si="57"/>
        <v>1</v>
      </c>
      <c r="S332" s="5">
        <f t="shared" si="58"/>
        <v>1</v>
      </c>
      <c r="T332" s="5">
        <f t="shared" si="59"/>
        <v>0</v>
      </c>
    </row>
    <row r="333" spans="1:20">
      <c r="A333" t="s">
        <v>384</v>
      </c>
      <c r="B333" s="3">
        <v>67.87</v>
      </c>
      <c r="C333" s="3">
        <v>7.1727</v>
      </c>
      <c r="D333" s="3">
        <f t="shared" si="55"/>
        <v>486.811149</v>
      </c>
      <c r="E333" s="3">
        <f t="shared" si="60"/>
        <v>-4.56489879682477</v>
      </c>
      <c r="F333" s="3">
        <f t="shared" si="61"/>
        <v>-0.0195165473059382</v>
      </c>
      <c r="G333" s="3">
        <f t="shared" si="62"/>
        <v>-4.5844153441307</v>
      </c>
      <c r="H333" s="6">
        <v>90.3</v>
      </c>
      <c r="I333" s="6">
        <v>97.1</v>
      </c>
      <c r="J333" s="6">
        <v>99.6</v>
      </c>
      <c r="K333" s="3">
        <f t="shared" si="63"/>
        <v>1.09999999999999</v>
      </c>
      <c r="L333" s="3">
        <f t="shared" si="64"/>
        <v>0.699999999999989</v>
      </c>
      <c r="M333" s="3">
        <f t="shared" si="65"/>
        <v>-0.400000000000006</v>
      </c>
      <c r="N333" s="3">
        <v>96</v>
      </c>
      <c r="O333" s="3">
        <v>5.2</v>
      </c>
      <c r="P333" s="3">
        <v>6.2</v>
      </c>
      <c r="Q333" s="5">
        <f t="shared" si="56"/>
        <v>1</v>
      </c>
      <c r="R333" s="5">
        <f t="shared" si="57"/>
        <v>1</v>
      </c>
      <c r="S333" s="5">
        <f t="shared" si="58"/>
        <v>1</v>
      </c>
      <c r="T333" s="5">
        <f t="shared" si="59"/>
        <v>0</v>
      </c>
    </row>
    <row r="334" spans="1:20">
      <c r="A334" t="s">
        <v>385</v>
      </c>
      <c r="B334" s="3">
        <v>67.99</v>
      </c>
      <c r="C334" s="3">
        <v>7.1235</v>
      </c>
      <c r="D334" s="3">
        <f t="shared" si="55"/>
        <v>484.326765</v>
      </c>
      <c r="E334" s="3">
        <f t="shared" si="60"/>
        <v>0.176652482270108</v>
      </c>
      <c r="F334" s="3">
        <f t="shared" si="61"/>
        <v>-0.68829750897113</v>
      </c>
      <c r="G334" s="3">
        <f t="shared" si="62"/>
        <v>-0.511645026701013</v>
      </c>
      <c r="H334" s="6">
        <v>91.9</v>
      </c>
      <c r="I334" s="6">
        <v>97.7</v>
      </c>
      <c r="J334" s="6">
        <v>99.7</v>
      </c>
      <c r="K334" s="3">
        <f t="shared" si="63"/>
        <v>1.60000000000001</v>
      </c>
      <c r="L334" s="3">
        <f t="shared" si="64"/>
        <v>0.600000000000009</v>
      </c>
      <c r="M334" s="3">
        <f t="shared" si="65"/>
        <v>0.100000000000009</v>
      </c>
      <c r="N334" s="3">
        <v>96.9</v>
      </c>
      <c r="O334" s="3">
        <v>6.5</v>
      </c>
      <c r="P334" s="3">
        <v>6.2</v>
      </c>
      <c r="Q334" s="5">
        <f t="shared" si="56"/>
        <v>1</v>
      </c>
      <c r="R334" s="5">
        <f t="shared" si="57"/>
        <v>1</v>
      </c>
      <c r="S334" s="5">
        <f t="shared" si="58"/>
        <v>0</v>
      </c>
      <c r="T334" s="5">
        <f t="shared" si="59"/>
        <v>0</v>
      </c>
    </row>
    <row r="335" spans="1:20">
      <c r="A335" t="s">
        <v>386</v>
      </c>
      <c r="B335" s="3">
        <v>64.54</v>
      </c>
      <c r="C335" s="3">
        <v>7.12</v>
      </c>
      <c r="D335" s="3">
        <f t="shared" si="55"/>
        <v>459.5248</v>
      </c>
      <c r="E335" s="3">
        <f t="shared" si="60"/>
        <v>-5.20754489145523</v>
      </c>
      <c r="F335" s="3">
        <f t="shared" si="61"/>
        <v>-0.04914522512648</v>
      </c>
      <c r="G335" s="3">
        <f t="shared" si="62"/>
        <v>-5.25669011658171</v>
      </c>
      <c r="H335" s="6">
        <v>92.6</v>
      </c>
      <c r="I335" s="6">
        <v>97.9</v>
      </c>
      <c r="J335" s="6">
        <v>100.2</v>
      </c>
      <c r="K335" s="3">
        <f t="shared" si="63"/>
        <v>0.699999999999989</v>
      </c>
      <c r="L335" s="3">
        <f t="shared" si="64"/>
        <v>0.200000000000003</v>
      </c>
      <c r="M335" s="3">
        <f t="shared" si="65"/>
        <v>0.5</v>
      </c>
      <c r="N335" s="3">
        <v>97.3</v>
      </c>
      <c r="O335" s="3">
        <v>4.9</v>
      </c>
      <c r="P335" s="3">
        <v>6.1</v>
      </c>
      <c r="Q335" s="5">
        <f t="shared" si="56"/>
        <v>1</v>
      </c>
      <c r="R335" s="5">
        <f t="shared" si="57"/>
        <v>1</v>
      </c>
      <c r="S335" s="5">
        <f t="shared" si="58"/>
        <v>0</v>
      </c>
      <c r="T335" s="5">
        <f t="shared" si="59"/>
        <v>0</v>
      </c>
    </row>
    <row r="336" spans="1:20">
      <c r="A336" t="s">
        <v>387</v>
      </c>
      <c r="B336" s="3">
        <v>63.8</v>
      </c>
      <c r="C336" s="3">
        <v>7.1069</v>
      </c>
      <c r="D336" s="3">
        <f t="shared" si="55"/>
        <v>453.42022</v>
      </c>
      <c r="E336" s="3">
        <f t="shared" si="60"/>
        <v>-1.15319962730717</v>
      </c>
      <c r="F336" s="3">
        <f t="shared" si="61"/>
        <v>-0.184158231270419</v>
      </c>
      <c r="G336" s="3">
        <f t="shared" si="62"/>
        <v>-1.33735785857758</v>
      </c>
      <c r="H336" s="6">
        <v>93.1</v>
      </c>
      <c r="I336" s="6">
        <v>97.8</v>
      </c>
      <c r="J336" s="6">
        <v>100.7</v>
      </c>
      <c r="K336" s="3">
        <f t="shared" si="63"/>
        <v>0.5</v>
      </c>
      <c r="L336" s="3">
        <f t="shared" si="64"/>
        <v>-0.100000000000009</v>
      </c>
      <c r="M336" s="3">
        <f t="shared" si="65"/>
        <v>0.5</v>
      </c>
      <c r="N336" s="3">
        <v>97.5</v>
      </c>
      <c r="O336" s="3">
        <v>4.8</v>
      </c>
      <c r="P336" s="3">
        <v>6</v>
      </c>
      <c r="Q336" s="5">
        <f t="shared" si="56"/>
        <v>1</v>
      </c>
      <c r="R336" s="5">
        <f t="shared" si="57"/>
        <v>1</v>
      </c>
      <c r="S336" s="5">
        <f t="shared" si="58"/>
        <v>0</v>
      </c>
      <c r="T336" s="5">
        <f t="shared" si="59"/>
        <v>0</v>
      </c>
    </row>
    <row r="337" spans="1:20">
      <c r="A337" t="s">
        <v>388</v>
      </c>
      <c r="B337" s="3">
        <v>62.54</v>
      </c>
      <c r="C337" s="3">
        <v>7.0432</v>
      </c>
      <c r="D337" s="3">
        <f t="shared" si="55"/>
        <v>440.481728</v>
      </c>
      <c r="E337" s="3">
        <f t="shared" si="60"/>
        <v>-1.99468383210489</v>
      </c>
      <c r="F337" s="3">
        <f t="shared" si="61"/>
        <v>-0.90035307611748</v>
      </c>
      <c r="G337" s="3">
        <f t="shared" si="62"/>
        <v>-2.89503690822238</v>
      </c>
      <c r="H337" s="6">
        <v>94.3</v>
      </c>
      <c r="I337" s="6">
        <v>98.1</v>
      </c>
      <c r="J337" s="6">
        <v>100.8</v>
      </c>
      <c r="K337" s="3">
        <f t="shared" si="63"/>
        <v>1.2</v>
      </c>
      <c r="L337" s="3">
        <f t="shared" si="64"/>
        <v>0.299999999999997</v>
      </c>
      <c r="M337" s="3">
        <f t="shared" si="65"/>
        <v>0.0999999999999943</v>
      </c>
      <c r="N337" s="3">
        <v>97.9</v>
      </c>
      <c r="O337" s="3">
        <v>5.2</v>
      </c>
      <c r="P337" s="3">
        <v>5.9</v>
      </c>
      <c r="Q337" s="5">
        <f t="shared" si="56"/>
        <v>1</v>
      </c>
      <c r="R337" s="5">
        <f t="shared" si="57"/>
        <v>0</v>
      </c>
      <c r="S337" s="5">
        <f t="shared" si="58"/>
        <v>0</v>
      </c>
      <c r="T337" s="5">
        <f t="shared" si="59"/>
        <v>0</v>
      </c>
    </row>
    <row r="338" spans="1:20">
      <c r="A338" t="s">
        <v>389</v>
      </c>
      <c r="B338" s="3">
        <v>66.6</v>
      </c>
      <c r="C338" s="3">
        <v>6.9692</v>
      </c>
      <c r="D338" s="3">
        <f t="shared" si="55"/>
        <v>464.14872</v>
      </c>
      <c r="E338" s="3">
        <f t="shared" si="60"/>
        <v>6.28982255166481</v>
      </c>
      <c r="F338" s="3">
        <f t="shared" si="61"/>
        <v>-1.05621717833923</v>
      </c>
      <c r="G338" s="3">
        <f t="shared" si="62"/>
        <v>5.23360537332559</v>
      </c>
      <c r="H338" s="6">
        <v>92.9</v>
      </c>
      <c r="I338" s="6">
        <v>98.6</v>
      </c>
      <c r="J338" s="6">
        <v>100.2</v>
      </c>
      <c r="K338" s="3">
        <f t="shared" si="63"/>
        <v>-1.39999999999999</v>
      </c>
      <c r="L338" s="3">
        <f t="shared" si="64"/>
        <v>0.5</v>
      </c>
      <c r="M338" s="3">
        <f t="shared" si="65"/>
        <v>-0.599999999999994</v>
      </c>
      <c r="N338" s="3">
        <v>98.6</v>
      </c>
      <c r="O338" s="3"/>
      <c r="P338" s="3"/>
      <c r="Q338" s="5">
        <f t="shared" si="56"/>
        <v>1</v>
      </c>
      <c r="R338" s="5">
        <f t="shared" si="57"/>
        <v>0</v>
      </c>
      <c r="S338" s="5">
        <f t="shared" si="58"/>
        <v>0</v>
      </c>
      <c r="T338" s="5">
        <f t="shared" si="59"/>
        <v>0</v>
      </c>
    </row>
    <row r="339" spans="1:20">
      <c r="A339" t="s">
        <v>390</v>
      </c>
      <c r="B339" s="3">
        <v>70.89</v>
      </c>
      <c r="C339" s="3">
        <v>6.9064</v>
      </c>
      <c r="D339" s="3">
        <f t="shared" si="55"/>
        <v>489.594696</v>
      </c>
      <c r="E339" s="3">
        <f t="shared" si="60"/>
        <v>6.24248023205828</v>
      </c>
      <c r="F339" s="3">
        <f t="shared" si="61"/>
        <v>-0.90519226274374</v>
      </c>
      <c r="G339" s="3">
        <f t="shared" si="62"/>
        <v>5.33728796931455</v>
      </c>
      <c r="H339" s="6">
        <v>91.6</v>
      </c>
      <c r="I339" s="6">
        <v>99.1</v>
      </c>
      <c r="J339" s="6">
        <v>101.3</v>
      </c>
      <c r="K339" s="3">
        <f t="shared" si="63"/>
        <v>-1.30000000000001</v>
      </c>
      <c r="L339" s="3">
        <f t="shared" si="64"/>
        <v>0.5</v>
      </c>
      <c r="M339" s="3">
        <f t="shared" si="65"/>
        <v>1.09999999999999</v>
      </c>
      <c r="N339" s="3">
        <v>99.3</v>
      </c>
      <c r="O339" s="3"/>
      <c r="P339" s="3">
        <v>6.3</v>
      </c>
      <c r="Q339" s="5">
        <f t="shared" si="56"/>
        <v>1</v>
      </c>
      <c r="R339" s="5">
        <f t="shared" si="57"/>
        <v>0</v>
      </c>
      <c r="S339" s="5">
        <f t="shared" si="58"/>
        <v>0</v>
      </c>
      <c r="T339" s="5">
        <f t="shared" si="59"/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13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4" customWidth="1"/>
    <col min="2" max="2" width="13" customWidth="1"/>
    <col min="3" max="4" width="22" customWidth="1"/>
    <col min="5" max="5" width="24" customWidth="1"/>
    <col min="6" max="6" width="23" customWidth="1"/>
    <col min="7" max="7" width="24" customWidth="1"/>
    <col min="8" max="8" width="17" customWidth="1"/>
    <col min="9" max="9" width="15" customWidth="1"/>
  </cols>
  <sheetData>
    <row r="1" ht="28" customHeight="1" spans="1:9">
      <c r="A1" s="1" t="s">
        <v>33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</v>
      </c>
      <c r="I1" s="1" t="s">
        <v>397</v>
      </c>
    </row>
    <row r="2" spans="1:9">
      <c r="A2" t="s">
        <v>257</v>
      </c>
      <c r="B2" t="s">
        <v>398</v>
      </c>
      <c r="C2" s="4">
        <v>27978648204</v>
      </c>
      <c r="D2" s="4">
        <v>79981726350</v>
      </c>
      <c r="E2" s="3">
        <f t="shared" ref="E2:E65" si="0" xml:space="preserve">D2/C2</f>
        <v>2.85867014613541</v>
      </c>
      <c r="F2" s="3" t="str">
        <f xml:space="preserve">""</f>
        <v/>
      </c>
      <c r="G2" s="3" t="str">
        <f xml:space="preserve">""</f>
        <v/>
      </c>
      <c r="H2" s="3">
        <f xml:space="preserve">Monthly_338!G206</f>
        <v>-26.1659301278003</v>
      </c>
      <c r="I2" s="5">
        <f t="shared" ref="I2:I65" si="1" xml:space="preserve">IF(ROW()&gt;=6,1,0)</f>
        <v>0</v>
      </c>
    </row>
    <row r="3" spans="1:9">
      <c r="A3" t="s">
        <v>258</v>
      </c>
      <c r="B3" t="s">
        <v>398</v>
      </c>
      <c r="C3" s="4">
        <v>25557194316</v>
      </c>
      <c r="D3" s="4">
        <v>59902470834</v>
      </c>
      <c r="E3" s="3">
        <f t="shared" si="0"/>
        <v>2.34385942734325</v>
      </c>
      <c r="F3" s="3">
        <f t="shared" ref="F3:F66" si="2" xml:space="preserve">100*LN(C3/C2)</f>
        <v>-9.05228001926893</v>
      </c>
      <c r="G3" s="3">
        <f t="shared" ref="G3:G66" si="3" xml:space="preserve">100*LN(E3/E2)</f>
        <v>-19.8557634178028</v>
      </c>
      <c r="H3" s="3">
        <f xml:space="preserve">Monthly_338!G207</f>
        <v>20.1382223208958</v>
      </c>
      <c r="I3" s="5">
        <f t="shared" si="1"/>
        <v>0</v>
      </c>
    </row>
    <row r="4" spans="1:9">
      <c r="A4" t="s">
        <v>259</v>
      </c>
      <c r="B4" t="s">
        <v>398</v>
      </c>
      <c r="C4" s="4">
        <v>26809943375</v>
      </c>
      <c r="D4" s="4">
        <v>66890312271</v>
      </c>
      <c r="E4" s="3">
        <f t="shared" si="0"/>
        <v>2.4949814826306</v>
      </c>
      <c r="F4" s="3">
        <f t="shared" si="2"/>
        <v>4.78539852208691</v>
      </c>
      <c r="G4" s="3">
        <f t="shared" si="3"/>
        <v>6.24824087381245</v>
      </c>
      <c r="H4" s="3">
        <f xml:space="preserve">Monthly_338!G208</f>
        <v>-4.08938146257922</v>
      </c>
      <c r="I4" s="5">
        <f t="shared" si="1"/>
        <v>0</v>
      </c>
    </row>
    <row r="5" spans="1:9">
      <c r="A5" t="s">
        <v>260</v>
      </c>
      <c r="B5" t="s">
        <v>398</v>
      </c>
      <c r="C5" s="4">
        <v>30286800453</v>
      </c>
      <c r="D5" s="4">
        <v>75787075883</v>
      </c>
      <c r="E5" s="3">
        <f t="shared" si="0"/>
        <v>2.50231370595282</v>
      </c>
      <c r="F5" s="3">
        <f t="shared" si="2"/>
        <v>12.1939148827157</v>
      </c>
      <c r="G5" s="3">
        <f t="shared" si="3"/>
        <v>0.293447887591302</v>
      </c>
      <c r="H5" s="3">
        <f xml:space="preserve">Monthly_338!G209</f>
        <v>5.68816883762331</v>
      </c>
      <c r="I5" s="5">
        <f t="shared" si="1"/>
        <v>0</v>
      </c>
    </row>
    <row r="6" spans="1:9">
      <c r="A6" t="s">
        <v>261</v>
      </c>
      <c r="B6" t="s">
        <v>398</v>
      </c>
      <c r="C6" s="4">
        <v>23249324628</v>
      </c>
      <c r="D6" s="4">
        <v>61590313859</v>
      </c>
      <c r="E6" s="3">
        <f t="shared" si="0"/>
        <v>2.64912270977646</v>
      </c>
      <c r="F6" s="3">
        <f t="shared" si="2"/>
        <v>-26.443590563436</v>
      </c>
      <c r="G6" s="3">
        <f t="shared" si="3"/>
        <v>5.70127460129632</v>
      </c>
      <c r="H6" s="3">
        <f xml:space="preserve">Monthly_338!G210</f>
        <v>7.42229917683156</v>
      </c>
      <c r="I6" s="5">
        <f t="shared" si="1"/>
        <v>1</v>
      </c>
    </row>
    <row r="7" spans="1:9">
      <c r="A7" t="s">
        <v>262</v>
      </c>
      <c r="B7" t="s">
        <v>398</v>
      </c>
      <c r="C7" s="4">
        <v>29493441442</v>
      </c>
      <c r="D7" s="4">
        <v>81871167033</v>
      </c>
      <c r="E7" s="3">
        <f t="shared" si="0"/>
        <v>2.77591094935472</v>
      </c>
      <c r="F7" s="3">
        <f t="shared" si="2"/>
        <v>23.7891831274738</v>
      </c>
      <c r="G7" s="3">
        <f t="shared" si="3"/>
        <v>4.67504310938388</v>
      </c>
      <c r="H7" s="3">
        <f xml:space="preserve">Monthly_338!G211</f>
        <v>-4.1146382782459</v>
      </c>
      <c r="I7" s="5">
        <f t="shared" si="1"/>
        <v>1</v>
      </c>
    </row>
    <row r="8" spans="1:9">
      <c r="A8" t="s">
        <v>263</v>
      </c>
      <c r="B8" t="s">
        <v>398</v>
      </c>
      <c r="C8" s="4">
        <v>30706239392</v>
      </c>
      <c r="D8" s="4">
        <v>84697996577</v>
      </c>
      <c r="E8" s="3">
        <f t="shared" si="0"/>
        <v>2.75833180011834</v>
      </c>
      <c r="F8" s="3">
        <f t="shared" si="2"/>
        <v>4.02979568395037</v>
      </c>
      <c r="G8" s="3">
        <f t="shared" si="3"/>
        <v>-0.635288662078789</v>
      </c>
      <c r="H8" s="3">
        <f xml:space="preserve">Monthly_338!G212</f>
        <v>-8.28782264153569</v>
      </c>
      <c r="I8" s="5">
        <f t="shared" si="1"/>
        <v>1</v>
      </c>
    </row>
    <row r="9" spans="1:9">
      <c r="A9" t="s">
        <v>264</v>
      </c>
      <c r="B9" t="s">
        <v>398</v>
      </c>
      <c r="C9" s="4">
        <v>26587571237</v>
      </c>
      <c r="D9" s="4">
        <v>68739421967</v>
      </c>
      <c r="E9" s="3">
        <f t="shared" si="0"/>
        <v>2.5853968139572</v>
      </c>
      <c r="F9" s="3">
        <f t="shared" si="2"/>
        <v>-14.4022011603072</v>
      </c>
      <c r="G9" s="3">
        <f t="shared" si="3"/>
        <v>-6.4747074200607</v>
      </c>
      <c r="H9" s="3">
        <f xml:space="preserve">Monthly_338!G213</f>
        <v>-17.4728421120376</v>
      </c>
      <c r="I9" s="5">
        <f t="shared" si="1"/>
        <v>1</v>
      </c>
    </row>
    <row r="10" spans="1:9">
      <c r="A10" t="s">
        <v>265</v>
      </c>
      <c r="B10" t="s">
        <v>398</v>
      </c>
      <c r="C10" s="4">
        <v>27949501844</v>
      </c>
      <c r="D10" s="4">
        <v>65648379952</v>
      </c>
      <c r="E10" s="3">
        <f t="shared" si="0"/>
        <v>2.34882111024433</v>
      </c>
      <c r="F10" s="3">
        <f t="shared" si="2"/>
        <v>4.99555164650113</v>
      </c>
      <c r="G10" s="3">
        <f t="shared" si="3"/>
        <v>-9.59654554761058</v>
      </c>
      <c r="H10" s="3">
        <f xml:space="preserve">Monthly_338!G214</f>
        <v>2.798255221486</v>
      </c>
      <c r="I10" s="5">
        <f t="shared" si="1"/>
        <v>1</v>
      </c>
    </row>
    <row r="11" spans="1:9">
      <c r="A11" t="s">
        <v>266</v>
      </c>
      <c r="B11" t="s">
        <v>398</v>
      </c>
      <c r="C11" s="4">
        <v>26352357942</v>
      </c>
      <c r="D11" s="4">
        <v>59420349169</v>
      </c>
      <c r="E11" s="3">
        <f t="shared" si="0"/>
        <v>2.25483993879336</v>
      </c>
      <c r="F11" s="3">
        <f t="shared" si="2"/>
        <v>-5.88416198808917</v>
      </c>
      <c r="G11" s="3">
        <f t="shared" si="3"/>
        <v>-4.08345572138531</v>
      </c>
      <c r="H11" s="3">
        <f xml:space="preserve">Monthly_338!G215</f>
        <v>1.41775328198142</v>
      </c>
      <c r="I11" s="5">
        <f t="shared" si="1"/>
        <v>1</v>
      </c>
    </row>
    <row r="12" spans="1:9">
      <c r="A12" t="s">
        <v>267</v>
      </c>
      <c r="B12" t="s">
        <v>398</v>
      </c>
      <c r="C12" s="4">
        <v>27340925460</v>
      </c>
      <c r="D12" s="4">
        <v>61147166049</v>
      </c>
      <c r="E12" s="3">
        <f t="shared" si="0"/>
        <v>2.23647023720754</v>
      </c>
      <c r="F12" s="3">
        <f t="shared" si="2"/>
        <v>3.68269243107987</v>
      </c>
      <c r="G12" s="3">
        <f t="shared" si="3"/>
        <v>-0.818015380802684</v>
      </c>
      <c r="H12" s="3">
        <f xml:space="preserve">Monthly_338!G216</f>
        <v>-8.76886491577847</v>
      </c>
      <c r="I12" s="5">
        <f t="shared" si="1"/>
        <v>1</v>
      </c>
    </row>
    <row r="13" spans="1:9">
      <c r="A13" t="s">
        <v>268</v>
      </c>
      <c r="B13" t="s">
        <v>398</v>
      </c>
      <c r="C13" s="4">
        <v>33170862438</v>
      </c>
      <c r="D13" s="4">
        <v>66921003539</v>
      </c>
      <c r="E13" s="3">
        <f t="shared" si="0"/>
        <v>2.01746347910256</v>
      </c>
      <c r="F13" s="3">
        <f t="shared" si="2"/>
        <v>19.3287172404131</v>
      </c>
      <c r="G13" s="3">
        <f t="shared" si="3"/>
        <v>-10.3057817105542</v>
      </c>
      <c r="H13" s="3">
        <f xml:space="preserve">Monthly_338!G217</f>
        <v>-13.917448803037</v>
      </c>
      <c r="I13" s="5">
        <f t="shared" si="1"/>
        <v>1</v>
      </c>
    </row>
    <row r="14" spans="1:9">
      <c r="A14" t="s">
        <v>269</v>
      </c>
      <c r="B14" t="s">
        <v>398</v>
      </c>
      <c r="C14" s="4">
        <v>26683027055</v>
      </c>
      <c r="D14" s="4">
        <v>48095137382</v>
      </c>
      <c r="E14" s="3">
        <f t="shared" si="0"/>
        <v>1.80246181525299</v>
      </c>
      <c r="F14" s="3">
        <f t="shared" si="2"/>
        <v>-21.7644180718459</v>
      </c>
      <c r="G14" s="3">
        <f t="shared" si="3"/>
        <v>-11.2687613315479</v>
      </c>
      <c r="H14" s="3">
        <f xml:space="preserve">Monthly_338!G218</f>
        <v>-19.4617722179302</v>
      </c>
      <c r="I14" s="5">
        <f t="shared" si="1"/>
        <v>1</v>
      </c>
    </row>
    <row r="15" spans="1:9">
      <c r="A15" t="s">
        <v>270</v>
      </c>
      <c r="B15" t="s">
        <v>398</v>
      </c>
      <c r="C15" s="4">
        <v>31800671687</v>
      </c>
      <c r="D15" s="4">
        <v>49249141405</v>
      </c>
      <c r="E15" s="3">
        <f t="shared" si="0"/>
        <v>1.54868242689141</v>
      </c>
      <c r="F15" s="3">
        <f t="shared" si="2"/>
        <v>17.5459739350611</v>
      </c>
      <c r="G15" s="3">
        <f t="shared" si="3"/>
        <v>-15.1748883357558</v>
      </c>
      <c r="H15" s="3">
        <f xml:space="preserve">Monthly_338!G219</f>
        <v>4.36533112605104</v>
      </c>
      <c r="I15" s="5">
        <f t="shared" si="1"/>
        <v>1</v>
      </c>
    </row>
    <row r="16" spans="1:9">
      <c r="A16" t="s">
        <v>271</v>
      </c>
      <c r="B16" t="s">
        <v>398</v>
      </c>
      <c r="C16" s="4">
        <v>32605469823</v>
      </c>
      <c r="D16" s="4">
        <v>51320127189</v>
      </c>
      <c r="E16" s="3">
        <f t="shared" si="0"/>
        <v>1.57397293974272</v>
      </c>
      <c r="F16" s="3">
        <f t="shared" si="2"/>
        <v>2.49926484839993</v>
      </c>
      <c r="G16" s="3">
        <f t="shared" si="3"/>
        <v>1.61984355467661</v>
      </c>
      <c r="H16" s="3">
        <f xml:space="preserve">Monthly_338!G220</f>
        <v>16.4489278457051</v>
      </c>
      <c r="I16" s="5">
        <f t="shared" si="1"/>
        <v>1</v>
      </c>
    </row>
    <row r="17" spans="1:9">
      <c r="A17" t="s">
        <v>272</v>
      </c>
      <c r="B17" t="s">
        <v>398</v>
      </c>
      <c r="C17" s="4">
        <v>32581145356</v>
      </c>
      <c r="D17" s="4">
        <v>58806976505</v>
      </c>
      <c r="E17" s="3">
        <f t="shared" si="0"/>
        <v>1.80493889525496</v>
      </c>
      <c r="F17" s="3">
        <f t="shared" si="2"/>
        <v>-0.0746302536562163</v>
      </c>
      <c r="G17" s="3">
        <f t="shared" si="3"/>
        <v>13.6923780351354</v>
      </c>
      <c r="H17" s="3">
        <f xml:space="preserve">Monthly_338!G221</f>
        <v>8.03149274417033</v>
      </c>
      <c r="I17" s="5">
        <f t="shared" si="1"/>
        <v>1</v>
      </c>
    </row>
    <row r="18" spans="1:9">
      <c r="A18" t="s">
        <v>273</v>
      </c>
      <c r="B18" t="s">
        <v>398</v>
      </c>
      <c r="C18" s="4">
        <v>32230801070</v>
      </c>
      <c r="D18" s="4">
        <v>62040188703</v>
      </c>
      <c r="E18" s="3">
        <f t="shared" si="0"/>
        <v>1.92487268834116</v>
      </c>
      <c r="F18" s="3">
        <f t="shared" si="2"/>
        <v>-1.08112074310597</v>
      </c>
      <c r="G18" s="3">
        <f t="shared" si="3"/>
        <v>6.4333091458525</v>
      </c>
      <c r="H18" s="3">
        <f xml:space="preserve">Monthly_338!G222</f>
        <v>12.4749539673159</v>
      </c>
      <c r="I18" s="5">
        <f t="shared" si="1"/>
        <v>1</v>
      </c>
    </row>
    <row r="19" spans="1:9">
      <c r="A19" t="s">
        <v>274</v>
      </c>
      <c r="B19" t="s">
        <v>398</v>
      </c>
      <c r="C19" s="4">
        <v>30622851822</v>
      </c>
      <c r="D19" s="4">
        <v>64376030028</v>
      </c>
      <c r="E19" s="3">
        <f t="shared" si="0"/>
        <v>2.10222190938308</v>
      </c>
      <c r="F19" s="3">
        <f t="shared" si="2"/>
        <v>-5.11760284952524</v>
      </c>
      <c r="G19" s="3">
        <f t="shared" si="3"/>
        <v>8.81350078479568</v>
      </c>
      <c r="H19" s="3">
        <f xml:space="preserve">Monthly_338!G223</f>
        <v>4.14485690333437</v>
      </c>
      <c r="I19" s="5">
        <f t="shared" si="1"/>
        <v>1</v>
      </c>
    </row>
    <row r="20" spans="1:9">
      <c r="A20" t="s">
        <v>275</v>
      </c>
      <c r="B20" t="s">
        <v>398</v>
      </c>
      <c r="C20" s="4">
        <v>31071818403</v>
      </c>
      <c r="D20" s="4">
        <v>70229118975</v>
      </c>
      <c r="E20" s="3">
        <f t="shared" si="0"/>
        <v>2.26021914984607</v>
      </c>
      <c r="F20" s="3">
        <f t="shared" si="2"/>
        <v>1.45547258812803</v>
      </c>
      <c r="G20" s="3">
        <f t="shared" si="3"/>
        <v>7.24669400674884</v>
      </c>
      <c r="H20" s="3">
        <f xml:space="preserve">Monthly_338!G224</f>
        <v>-5.75932504084932</v>
      </c>
      <c r="I20" s="5">
        <f t="shared" si="1"/>
        <v>1</v>
      </c>
    </row>
    <row r="21" spans="1:9">
      <c r="A21" t="s">
        <v>276</v>
      </c>
      <c r="B21" t="s">
        <v>398</v>
      </c>
      <c r="C21" s="4">
        <v>32852965395</v>
      </c>
      <c r="D21" s="4">
        <v>72210176903</v>
      </c>
      <c r="E21" s="3">
        <f t="shared" si="0"/>
        <v>2.19798048775195</v>
      </c>
      <c r="F21" s="3">
        <f t="shared" si="2"/>
        <v>5.57407639345444</v>
      </c>
      <c r="G21" s="3">
        <f t="shared" si="3"/>
        <v>-2.79227988733273</v>
      </c>
      <c r="H21" s="3">
        <f xml:space="preserve">Monthly_338!G225</f>
        <v>1.50279956643025</v>
      </c>
      <c r="I21" s="5">
        <f t="shared" si="1"/>
        <v>1</v>
      </c>
    </row>
    <row r="22" spans="1:9">
      <c r="A22" t="s">
        <v>277</v>
      </c>
      <c r="B22" t="s">
        <v>398</v>
      </c>
      <c r="C22" s="4">
        <v>33044724917</v>
      </c>
      <c r="D22" s="4">
        <v>70296171074</v>
      </c>
      <c r="E22" s="3">
        <f t="shared" si="0"/>
        <v>2.12730386621666</v>
      </c>
      <c r="F22" s="3">
        <f t="shared" si="2"/>
        <v>0.581993275815535</v>
      </c>
      <c r="G22" s="3">
        <f t="shared" si="3"/>
        <v>-3.26835912448714</v>
      </c>
      <c r="H22" s="3">
        <f xml:space="preserve">Monthly_338!G226</f>
        <v>1.93438833482787</v>
      </c>
      <c r="I22" s="5">
        <f t="shared" si="1"/>
        <v>1</v>
      </c>
    </row>
    <row r="23" spans="1:9">
      <c r="A23" t="s">
        <v>278</v>
      </c>
      <c r="B23" t="s">
        <v>398</v>
      </c>
      <c r="C23" s="4">
        <v>28788192274</v>
      </c>
      <c r="D23" s="4">
        <v>63100110652</v>
      </c>
      <c r="E23" s="3">
        <f t="shared" si="0"/>
        <v>2.19187471208426</v>
      </c>
      <c r="F23" s="3">
        <f t="shared" si="2"/>
        <v>-13.7896631804159</v>
      </c>
      <c r="G23" s="3">
        <f t="shared" si="3"/>
        <v>2.99018231331372</v>
      </c>
      <c r="H23" s="3">
        <f xml:space="preserve">Monthly_338!G227</f>
        <v>7.03899460827317</v>
      </c>
      <c r="I23" s="5">
        <f t="shared" si="1"/>
        <v>1</v>
      </c>
    </row>
    <row r="24" spans="1:9">
      <c r="A24" t="s">
        <v>279</v>
      </c>
      <c r="B24" t="s">
        <v>398</v>
      </c>
      <c r="C24" s="4">
        <v>32347172813</v>
      </c>
      <c r="D24" s="4">
        <v>76344019058</v>
      </c>
      <c r="E24" s="3">
        <f t="shared" si="0"/>
        <v>2.36014502718204</v>
      </c>
      <c r="F24" s="3">
        <f t="shared" si="2"/>
        <v>11.6561310816261</v>
      </c>
      <c r="G24" s="3">
        <f t="shared" si="3"/>
        <v>7.39658587888054</v>
      </c>
      <c r="H24" s="3">
        <f xml:space="preserve">Monthly_338!G228</f>
        <v>-8.55349591446806</v>
      </c>
      <c r="I24" s="5">
        <f t="shared" si="1"/>
        <v>1</v>
      </c>
    </row>
    <row r="25" spans="1:9">
      <c r="A25" t="s">
        <v>280</v>
      </c>
      <c r="B25" t="s">
        <v>398</v>
      </c>
      <c r="C25" s="4">
        <v>36378107352</v>
      </c>
      <c r="D25" s="4">
        <v>85054591795</v>
      </c>
      <c r="E25" s="3">
        <f t="shared" si="0"/>
        <v>2.33807083397712</v>
      </c>
      <c r="F25" s="3">
        <f t="shared" si="2"/>
        <v>11.7440523924672</v>
      </c>
      <c r="G25" s="3">
        <f t="shared" si="3"/>
        <v>-0.939690992913458</v>
      </c>
      <c r="H25" s="3">
        <f xml:space="preserve">Monthly_338!G229</f>
        <v>18.7049409894656</v>
      </c>
      <c r="I25" s="5">
        <f t="shared" si="1"/>
        <v>1</v>
      </c>
    </row>
    <row r="26" spans="1:9">
      <c r="A26" t="s">
        <v>281</v>
      </c>
      <c r="B26" t="s">
        <v>398</v>
      </c>
      <c r="C26" s="4">
        <v>33992941722</v>
      </c>
      <c r="D26" s="4">
        <v>91149547800</v>
      </c>
      <c r="E26" s="3">
        <f t="shared" si="0"/>
        <v>2.68142570729642</v>
      </c>
      <c r="F26" s="3">
        <f t="shared" si="2"/>
        <v>-6.78142406743648</v>
      </c>
      <c r="G26" s="3">
        <f t="shared" si="3"/>
        <v>13.7022473989824</v>
      </c>
      <c r="H26" s="3">
        <f xml:space="preserve">Monthly_338!G230</f>
        <v>1.93293933493932</v>
      </c>
      <c r="I26" s="5">
        <f t="shared" si="1"/>
        <v>1</v>
      </c>
    </row>
    <row r="27" spans="1:9">
      <c r="A27" t="s">
        <v>282</v>
      </c>
      <c r="B27" t="s">
        <v>398</v>
      </c>
      <c r="C27" s="4">
        <v>31781720323</v>
      </c>
      <c r="D27" s="4">
        <v>86514502735</v>
      </c>
      <c r="E27" s="3">
        <f t="shared" si="0"/>
        <v>2.72214662566238</v>
      </c>
      <c r="F27" s="3">
        <f t="shared" si="2"/>
        <v>-6.72616147568172</v>
      </c>
      <c r="G27" s="3">
        <f t="shared" si="3"/>
        <v>1.50721362581464</v>
      </c>
      <c r="H27" s="3">
        <f xml:space="preserve">Monthly_338!G231</f>
        <v>0.220332558469463</v>
      </c>
      <c r="I27" s="5">
        <f t="shared" si="1"/>
        <v>1</v>
      </c>
    </row>
    <row r="28" spans="1:9">
      <c r="A28" t="s">
        <v>283</v>
      </c>
      <c r="B28" t="s">
        <v>398</v>
      </c>
      <c r="C28" s="4">
        <v>38949846790</v>
      </c>
      <c r="D28" s="4">
        <v>106414428318</v>
      </c>
      <c r="E28" s="3">
        <f t="shared" si="0"/>
        <v>2.73208849553988</v>
      </c>
      <c r="F28" s="3">
        <f t="shared" si="2"/>
        <v>20.3383546908066</v>
      </c>
      <c r="G28" s="3">
        <f t="shared" si="3"/>
        <v>0.36455637380147</v>
      </c>
      <c r="H28" s="3">
        <f xml:space="preserve">Monthly_338!G232</f>
        <v>-5.80641938953363</v>
      </c>
      <c r="I28" s="5">
        <f t="shared" si="1"/>
        <v>1</v>
      </c>
    </row>
    <row r="29" spans="1:9">
      <c r="A29" t="s">
        <v>284</v>
      </c>
      <c r="B29" t="s">
        <v>398</v>
      </c>
      <c r="C29" s="4">
        <v>34383852835</v>
      </c>
      <c r="D29" s="4">
        <v>91015982813</v>
      </c>
      <c r="E29" s="3">
        <f t="shared" si="0"/>
        <v>2.64705596693204</v>
      </c>
      <c r="F29" s="3">
        <f t="shared" si="2"/>
        <v>-12.4687778956576</v>
      </c>
      <c r="G29" s="3">
        <f t="shared" si="3"/>
        <v>-3.16182668475236</v>
      </c>
      <c r="H29" s="3">
        <f xml:space="preserve">Monthly_338!G233</f>
        <v>1.29309274611812</v>
      </c>
      <c r="I29" s="5">
        <f t="shared" si="1"/>
        <v>1</v>
      </c>
    </row>
    <row r="30" spans="1:9">
      <c r="A30" t="s">
        <v>285</v>
      </c>
      <c r="B30" t="s">
        <v>398</v>
      </c>
      <c r="C30" s="4">
        <v>37195782597</v>
      </c>
      <c r="D30" s="4">
        <v>97495081944</v>
      </c>
      <c r="E30" s="3">
        <f t="shared" si="0"/>
        <v>2.62113269669082</v>
      </c>
      <c r="F30" s="3">
        <f t="shared" si="2"/>
        <v>7.86083239557788</v>
      </c>
      <c r="G30" s="3">
        <f t="shared" si="3"/>
        <v>-0.984151522666508</v>
      </c>
      <c r="H30" s="3">
        <f xml:space="preserve">Monthly_338!G234</f>
        <v>-3.90654733100506</v>
      </c>
      <c r="I30" s="5">
        <f t="shared" si="1"/>
        <v>1</v>
      </c>
    </row>
    <row r="31" spans="1:9">
      <c r="A31" t="s">
        <v>286</v>
      </c>
      <c r="B31" t="s">
        <v>398</v>
      </c>
      <c r="C31" s="4">
        <v>36102328773</v>
      </c>
      <c r="D31" s="4">
        <v>90875500436</v>
      </c>
      <c r="E31" s="3">
        <f t="shared" si="0"/>
        <v>2.51716450225126</v>
      </c>
      <c r="F31" s="3">
        <f t="shared" si="2"/>
        <v>-2.98380115981398</v>
      </c>
      <c r="G31" s="3">
        <f t="shared" si="3"/>
        <v>-4.04734808338479</v>
      </c>
      <c r="H31" s="3">
        <f xml:space="preserve">Monthly_338!G235</f>
        <v>-9.32993493978431</v>
      </c>
      <c r="I31" s="5">
        <f t="shared" si="1"/>
        <v>1</v>
      </c>
    </row>
    <row r="32" spans="1:9">
      <c r="A32" t="s">
        <v>287</v>
      </c>
      <c r="B32" t="s">
        <v>398</v>
      </c>
      <c r="C32" s="4">
        <v>34683473554</v>
      </c>
      <c r="D32" s="4">
        <v>82885518103</v>
      </c>
      <c r="E32" s="3">
        <f t="shared" si="0"/>
        <v>2.38976981281741</v>
      </c>
      <c r="F32" s="3">
        <f t="shared" si="2"/>
        <v>-4.00940651590005</v>
      </c>
      <c r="G32" s="3">
        <f t="shared" si="3"/>
        <v>-5.19360218176431</v>
      </c>
      <c r="H32" s="3">
        <f xml:space="preserve">Monthly_338!G236</f>
        <v>3.90183703607141</v>
      </c>
      <c r="I32" s="5">
        <f t="shared" si="1"/>
        <v>1</v>
      </c>
    </row>
    <row r="33" spans="1:9">
      <c r="A33" t="s">
        <v>288</v>
      </c>
      <c r="B33" t="s">
        <v>398</v>
      </c>
      <c r="C33" s="4">
        <v>33819610849</v>
      </c>
      <c r="D33" s="4">
        <v>82142545681</v>
      </c>
      <c r="E33" s="3">
        <f t="shared" si="0"/>
        <v>2.4288436093412</v>
      </c>
      <c r="F33" s="3">
        <f t="shared" si="2"/>
        <v>-2.52224701769519</v>
      </c>
      <c r="G33" s="3">
        <f t="shared" si="3"/>
        <v>1.62182144792853</v>
      </c>
      <c r="H33" s="3">
        <f xml:space="preserve">Monthly_338!G237</f>
        <v>4.90639666850725</v>
      </c>
      <c r="I33" s="5">
        <f t="shared" si="1"/>
        <v>1</v>
      </c>
    </row>
    <row r="34" spans="1:9">
      <c r="A34" t="s">
        <v>289</v>
      </c>
      <c r="B34" t="s">
        <v>398</v>
      </c>
      <c r="C34" s="4">
        <v>36889589913</v>
      </c>
      <c r="D34" s="4">
        <v>94130914214</v>
      </c>
      <c r="E34" s="3">
        <f t="shared" si="0"/>
        <v>2.55169315885585</v>
      </c>
      <c r="F34" s="3">
        <f t="shared" si="2"/>
        <v>8.68885581957258</v>
      </c>
      <c r="G34" s="3">
        <f t="shared" si="3"/>
        <v>4.93418595399735</v>
      </c>
      <c r="H34" s="3">
        <f xml:space="preserve">Monthly_338!G238</f>
        <v>6.77605299444818</v>
      </c>
      <c r="I34" s="5">
        <f t="shared" si="1"/>
        <v>1</v>
      </c>
    </row>
    <row r="35" spans="1:9">
      <c r="A35" t="s">
        <v>290</v>
      </c>
      <c r="B35" t="s">
        <v>398</v>
      </c>
      <c r="C35" s="4">
        <v>31028693482</v>
      </c>
      <c r="D35" s="4">
        <v>82690140959</v>
      </c>
      <c r="E35" s="3">
        <f t="shared" si="0"/>
        <v>2.66495722763736</v>
      </c>
      <c r="F35" s="3">
        <f t="shared" si="2"/>
        <v>-17.3017022486682</v>
      </c>
      <c r="G35" s="3">
        <f t="shared" si="3"/>
        <v>4.34308851263589</v>
      </c>
      <c r="H35" s="3">
        <f xml:space="preserve">Monthly_338!G239</f>
        <v>3.24812980390118</v>
      </c>
      <c r="I35" s="5">
        <f t="shared" si="1"/>
        <v>1</v>
      </c>
    </row>
    <row r="36" spans="1:9">
      <c r="A36" t="s">
        <v>291</v>
      </c>
      <c r="B36" t="s">
        <v>398</v>
      </c>
      <c r="C36" s="4">
        <v>36960128327</v>
      </c>
      <c r="D36" s="4">
        <v>103818820091</v>
      </c>
      <c r="E36" s="3">
        <f t="shared" si="0"/>
        <v>2.80894100725182</v>
      </c>
      <c r="F36" s="3">
        <f t="shared" si="2"/>
        <v>17.4927346239639</v>
      </c>
      <c r="G36" s="3">
        <f t="shared" si="3"/>
        <v>5.26195387452526</v>
      </c>
      <c r="H36" s="3">
        <f xml:space="preserve">Monthly_338!G240</f>
        <v>8.57467013700464</v>
      </c>
      <c r="I36" s="5">
        <f t="shared" si="1"/>
        <v>1</v>
      </c>
    </row>
    <row r="37" spans="1:9">
      <c r="A37" t="s">
        <v>292</v>
      </c>
      <c r="B37" t="s">
        <v>398</v>
      </c>
      <c r="C37" s="4">
        <v>33674294650</v>
      </c>
      <c r="D37" s="4">
        <v>101077366082</v>
      </c>
      <c r="E37" s="3">
        <f t="shared" si="0"/>
        <v>3.00161791457152</v>
      </c>
      <c r="F37" s="3">
        <f t="shared" si="2"/>
        <v>-9.31049425467541</v>
      </c>
      <c r="G37" s="3">
        <f t="shared" si="3"/>
        <v>6.63439015854544</v>
      </c>
      <c r="H37" s="3">
        <f xml:space="preserve">Monthly_338!G241</f>
        <v>2.20702064357422</v>
      </c>
      <c r="I37" s="5">
        <f t="shared" si="1"/>
        <v>1</v>
      </c>
    </row>
    <row r="38" spans="1:9">
      <c r="A38" t="s">
        <v>293</v>
      </c>
      <c r="B38" t="s">
        <v>398</v>
      </c>
      <c r="C38" s="4">
        <v>40535091645</v>
      </c>
      <c r="D38" s="4">
        <v>126477471984</v>
      </c>
      <c r="E38" s="3">
        <f t="shared" si="0"/>
        <v>3.12019701575292</v>
      </c>
      <c r="F38" s="3">
        <f t="shared" si="2"/>
        <v>18.5433283051201</v>
      </c>
      <c r="G38" s="3">
        <f t="shared" si="3"/>
        <v>3.87446977497304</v>
      </c>
      <c r="H38" s="3">
        <f xml:space="preserve">Monthly_338!G242</f>
        <v>4.45107566699933</v>
      </c>
      <c r="I38" s="5">
        <f t="shared" si="1"/>
        <v>1</v>
      </c>
    </row>
    <row r="39" spans="1:9">
      <c r="A39" t="s">
        <v>294</v>
      </c>
      <c r="B39" t="s">
        <v>398</v>
      </c>
      <c r="C39" s="4">
        <v>32254474571</v>
      </c>
      <c r="D39" s="4">
        <v>103015111101</v>
      </c>
      <c r="E39" s="3">
        <f t="shared" si="0"/>
        <v>3.19382387935784</v>
      </c>
      <c r="F39" s="3">
        <f t="shared" si="2"/>
        <v>-22.8511279317781</v>
      </c>
      <c r="G39" s="3">
        <f t="shared" si="3"/>
        <v>2.33227612798611</v>
      </c>
      <c r="H39" s="3">
        <f xml:space="preserve">Monthly_338!G243</f>
        <v>-7.24488048739074</v>
      </c>
      <c r="I39" s="5">
        <f t="shared" si="1"/>
        <v>1</v>
      </c>
    </row>
    <row r="40" spans="1:9">
      <c r="A40" t="s">
        <v>295</v>
      </c>
      <c r="B40" t="s">
        <v>398</v>
      </c>
      <c r="C40" s="4">
        <v>39165875008</v>
      </c>
      <c r="D40" s="4">
        <v>119870841958</v>
      </c>
      <c r="E40" s="3">
        <f t="shared" si="0"/>
        <v>3.06059399754289</v>
      </c>
      <c r="F40" s="3">
        <f t="shared" si="2"/>
        <v>19.4149052145137</v>
      </c>
      <c r="G40" s="3">
        <f t="shared" si="3"/>
        <v>-4.26098932121403</v>
      </c>
      <c r="H40" s="3">
        <f xml:space="preserve">Monthly_338!G244</f>
        <v>1.05170047980042</v>
      </c>
      <c r="I40" s="5">
        <f t="shared" si="1"/>
        <v>1</v>
      </c>
    </row>
    <row r="41" spans="1:9">
      <c r="A41" t="s">
        <v>296</v>
      </c>
      <c r="B41" t="s">
        <v>398</v>
      </c>
      <c r="C41" s="4">
        <v>39459004639</v>
      </c>
      <c r="D41" s="4">
        <v>122505882015</v>
      </c>
      <c r="E41" s="3">
        <f t="shared" si="0"/>
        <v>3.10463690444739</v>
      </c>
      <c r="F41" s="3">
        <f t="shared" si="2"/>
        <v>0.745644356968656</v>
      </c>
      <c r="G41" s="3">
        <f t="shared" si="3"/>
        <v>1.42877555910614</v>
      </c>
      <c r="H41" s="3">
        <f xml:space="preserve">Monthly_338!G245</f>
        <v>8.49529600325327</v>
      </c>
      <c r="I41" s="5">
        <f t="shared" si="1"/>
        <v>1</v>
      </c>
    </row>
    <row r="42" spans="1:9">
      <c r="A42" t="s">
        <v>297</v>
      </c>
      <c r="B42" t="s">
        <v>398</v>
      </c>
      <c r="C42" s="4">
        <v>39038337009</v>
      </c>
      <c r="D42" s="4">
        <v>127741559837</v>
      </c>
      <c r="E42" s="3">
        <f t="shared" si="0"/>
        <v>3.27220802995656</v>
      </c>
      <c r="F42" s="3">
        <f t="shared" si="2"/>
        <v>-1.07181121877354</v>
      </c>
      <c r="G42" s="3">
        <f t="shared" si="3"/>
        <v>5.25682259958335</v>
      </c>
      <c r="H42" s="3">
        <f xml:space="preserve">Monthly_338!G246</f>
        <v>7.69423983373664</v>
      </c>
      <c r="I42" s="5">
        <f t="shared" si="1"/>
        <v>1</v>
      </c>
    </row>
    <row r="43" spans="1:9">
      <c r="A43" t="s">
        <v>298</v>
      </c>
      <c r="B43" t="s">
        <v>398</v>
      </c>
      <c r="C43" s="4">
        <v>34341383973</v>
      </c>
      <c r="D43" s="4">
        <v>119597874900</v>
      </c>
      <c r="E43" s="3">
        <f t="shared" si="0"/>
        <v>3.48261662937145</v>
      </c>
      <c r="F43" s="3">
        <f t="shared" si="2"/>
        <v>-12.8193006807294</v>
      </c>
      <c r="G43" s="3">
        <f t="shared" si="3"/>
        <v>6.23189206822099</v>
      </c>
      <c r="H43" s="3">
        <f xml:space="preserve">Monthly_338!G247</f>
        <v>-1.91519944861149</v>
      </c>
      <c r="I43" s="5">
        <f t="shared" si="1"/>
        <v>1</v>
      </c>
    </row>
    <row r="44" spans="1:9">
      <c r="A44" t="s">
        <v>299</v>
      </c>
      <c r="B44" t="s">
        <v>398</v>
      </c>
      <c r="C44" s="4">
        <v>36024610050</v>
      </c>
      <c r="D44" s="4">
        <v>125843148032</v>
      </c>
      <c r="E44" s="3">
        <f t="shared" si="0"/>
        <v>3.49325496812699</v>
      </c>
      <c r="F44" s="3">
        <f t="shared" si="2"/>
        <v>4.78511606747378</v>
      </c>
      <c r="G44" s="3">
        <f t="shared" si="3"/>
        <v>0.305004094585213</v>
      </c>
      <c r="H44" s="3">
        <f xml:space="preserve">Monthly_338!G248</f>
        <v>3.59812529685234</v>
      </c>
      <c r="I44" s="5">
        <f t="shared" si="1"/>
        <v>1</v>
      </c>
    </row>
    <row r="45" spans="1:9">
      <c r="A45" t="s">
        <v>300</v>
      </c>
      <c r="B45" t="s">
        <v>398</v>
      </c>
      <c r="C45" s="4">
        <v>38338325147</v>
      </c>
      <c r="D45" s="4">
        <v>138744891097</v>
      </c>
      <c r="E45" s="3">
        <f t="shared" si="0"/>
        <v>3.61896067616446</v>
      </c>
      <c r="F45" s="3">
        <f t="shared" si="2"/>
        <v>6.2247735043659</v>
      </c>
      <c r="G45" s="3">
        <f t="shared" si="3"/>
        <v>3.53529213978429</v>
      </c>
      <c r="H45" s="3">
        <f xml:space="preserve">Monthly_338!G249</f>
        <v>-0.442751961925942</v>
      </c>
      <c r="I45" s="5">
        <f t="shared" si="1"/>
        <v>1</v>
      </c>
    </row>
    <row r="46" spans="1:9">
      <c r="A46" t="s">
        <v>301</v>
      </c>
      <c r="B46" t="s">
        <v>398</v>
      </c>
      <c r="C46" s="4">
        <v>37212434610</v>
      </c>
      <c r="D46" s="4">
        <v>139248251666</v>
      </c>
      <c r="E46" s="3">
        <f t="shared" si="0"/>
        <v>3.74198176296103</v>
      </c>
      <c r="F46" s="3">
        <f t="shared" si="2"/>
        <v>-2.98070833080687</v>
      </c>
      <c r="G46" s="3">
        <f t="shared" si="3"/>
        <v>3.34284756496667</v>
      </c>
      <c r="H46" s="3">
        <f xml:space="preserve">Monthly_338!G250</f>
        <v>8.54848231401967</v>
      </c>
      <c r="I46" s="5">
        <f t="shared" si="1"/>
        <v>1</v>
      </c>
    </row>
    <row r="47" spans="1:9">
      <c r="A47" t="s">
        <v>302</v>
      </c>
      <c r="B47" t="s">
        <v>398</v>
      </c>
      <c r="C47" s="4">
        <v>38872534729</v>
      </c>
      <c r="D47" s="4">
        <v>151631037157</v>
      </c>
      <c r="E47" s="3">
        <f t="shared" si="0"/>
        <v>3.90072420576884</v>
      </c>
      <c r="F47" s="3">
        <f t="shared" si="2"/>
        <v>4.36449840222607</v>
      </c>
      <c r="G47" s="3">
        <f t="shared" si="3"/>
        <v>4.15468754509228</v>
      </c>
      <c r="H47" s="3">
        <f xml:space="preserve">Monthly_338!G251</f>
        <v>3.60577819335711</v>
      </c>
      <c r="I47" s="5">
        <f t="shared" si="1"/>
        <v>1</v>
      </c>
    </row>
    <row r="48" spans="1:9">
      <c r="A48" t="s">
        <v>303</v>
      </c>
      <c r="B48" t="s">
        <v>398</v>
      </c>
      <c r="C48" s="4">
        <v>42865878728</v>
      </c>
      <c r="D48" s="4">
        <v>166157847513</v>
      </c>
      <c r="E48" s="3">
        <f t="shared" si="0"/>
        <v>3.87622632367654</v>
      </c>
      <c r="F48" s="3">
        <f t="shared" si="2"/>
        <v>9.77881886582471</v>
      </c>
      <c r="G48" s="3">
        <f t="shared" si="3"/>
        <v>-0.63001463182753</v>
      </c>
      <c r="H48" s="3">
        <f xml:space="preserve">Monthly_338!G252</f>
        <v>-22.1745302152932</v>
      </c>
      <c r="I48" s="5">
        <f t="shared" si="1"/>
        <v>1</v>
      </c>
    </row>
    <row r="49" spans="1:9">
      <c r="A49" t="s">
        <v>304</v>
      </c>
      <c r="B49" t="s">
        <v>398</v>
      </c>
      <c r="C49" s="4">
        <v>43777512730</v>
      </c>
      <c r="D49" s="4">
        <v>148128677174</v>
      </c>
      <c r="E49" s="3">
        <f t="shared" si="0"/>
        <v>3.38367047227171</v>
      </c>
      <c r="F49" s="3">
        <f t="shared" si="2"/>
        <v>2.10441357369052</v>
      </c>
      <c r="G49" s="3">
        <f t="shared" si="3"/>
        <v>-13.5901024533132</v>
      </c>
      <c r="H49" s="3">
        <f xml:space="preserve">Monthly_338!G253</f>
        <v>-12.8856363310863</v>
      </c>
      <c r="I49" s="5">
        <f t="shared" si="1"/>
        <v>1</v>
      </c>
    </row>
    <row r="50" spans="1:9">
      <c r="A50" t="s">
        <v>305</v>
      </c>
      <c r="B50" t="s">
        <v>398</v>
      </c>
      <c r="C50" s="4">
        <v>42587337023</v>
      </c>
      <c r="D50" s="4">
        <v>131967980316</v>
      </c>
      <c r="E50" s="3">
        <f t="shared" si="0"/>
        <v>3.09876102947523</v>
      </c>
      <c r="F50" s="3">
        <f t="shared" si="2"/>
        <v>-2.75633214468439</v>
      </c>
      <c r="G50" s="3">
        <f t="shared" si="3"/>
        <v>-8.79586951407395</v>
      </c>
      <c r="H50" s="3">
        <f xml:space="preserve">Monthly_338!G254</f>
        <v>2.08649420407126</v>
      </c>
      <c r="I50" s="5">
        <f t="shared" si="1"/>
        <v>1</v>
      </c>
    </row>
    <row r="51" spans="1:9">
      <c r="A51" t="s">
        <v>306</v>
      </c>
      <c r="B51" t="s">
        <v>398</v>
      </c>
      <c r="C51" s="4">
        <v>39242395592</v>
      </c>
      <c r="D51" s="4">
        <v>119778300085</v>
      </c>
      <c r="E51" s="3">
        <f t="shared" si="0"/>
        <v>3.05226779043576</v>
      </c>
      <c r="F51" s="3">
        <f t="shared" si="2"/>
        <v>-8.17992735268192</v>
      </c>
      <c r="G51" s="3">
        <f t="shared" si="3"/>
        <v>-1.51175115115867</v>
      </c>
      <c r="H51" s="3">
        <f xml:space="preserve">Monthly_338!G255</f>
        <v>6.64596423290414</v>
      </c>
      <c r="I51" s="5">
        <f t="shared" si="1"/>
        <v>1</v>
      </c>
    </row>
    <row r="52" spans="1:9">
      <c r="A52" t="s">
        <v>307</v>
      </c>
      <c r="B52" t="s">
        <v>398</v>
      </c>
      <c r="C52" s="4">
        <v>39330259524</v>
      </c>
      <c r="D52" s="4">
        <v>128055346015</v>
      </c>
      <c r="E52" s="3">
        <f t="shared" si="0"/>
        <v>3.2558988312004</v>
      </c>
      <c r="F52" s="3">
        <f t="shared" si="2"/>
        <v>0.223650247008912</v>
      </c>
      <c r="G52" s="3">
        <f t="shared" si="3"/>
        <v>6.45835239791251</v>
      </c>
      <c r="H52" s="3">
        <f xml:space="preserve">Monthly_338!G256</f>
        <v>2.9827699172196</v>
      </c>
      <c r="I52" s="5">
        <f t="shared" si="1"/>
        <v>1</v>
      </c>
    </row>
    <row r="53" spans="1:9">
      <c r="A53" t="s">
        <v>308</v>
      </c>
      <c r="B53" t="s">
        <v>398</v>
      </c>
      <c r="C53" s="4">
        <v>43722131489</v>
      </c>
      <c r="D53" s="4">
        <v>146767431259</v>
      </c>
      <c r="E53" s="3">
        <f t="shared" si="0"/>
        <v>3.35682242060694</v>
      </c>
      <c r="F53" s="3">
        <f t="shared" si="2"/>
        <v>10.5860230250314</v>
      </c>
      <c r="G53" s="3">
        <f t="shared" si="3"/>
        <v>3.05264421994102</v>
      </c>
      <c r="H53" s="3">
        <f xml:space="preserve">Monthly_338!G257</f>
        <v>7.47659289914211</v>
      </c>
      <c r="I53" s="5">
        <f t="shared" si="1"/>
        <v>1</v>
      </c>
    </row>
    <row r="54" spans="1:9">
      <c r="A54" t="s">
        <v>309</v>
      </c>
      <c r="B54" t="s">
        <v>398</v>
      </c>
      <c r="C54" s="4">
        <v>40129505472</v>
      </c>
      <c r="D54" s="4">
        <v>141435520072</v>
      </c>
      <c r="E54" s="3">
        <f t="shared" si="0"/>
        <v>3.52447702528219</v>
      </c>
      <c r="F54" s="3">
        <f t="shared" si="2"/>
        <v>-8.57425542461317</v>
      </c>
      <c r="G54" s="3">
        <f t="shared" si="3"/>
        <v>4.87372452771585</v>
      </c>
      <c r="H54" s="3">
        <f xml:space="preserve">Monthly_338!G258</f>
        <v>2.12810721612019</v>
      </c>
      <c r="I54" s="5">
        <f t="shared" si="1"/>
        <v>1</v>
      </c>
    </row>
    <row r="55" spans="1:9">
      <c r="A55" t="s">
        <v>310</v>
      </c>
      <c r="B55" t="s">
        <v>398</v>
      </c>
      <c r="C55" s="4">
        <v>39565535530</v>
      </c>
      <c r="D55" s="4">
        <v>139898632001</v>
      </c>
      <c r="E55" s="3">
        <f t="shared" si="0"/>
        <v>3.53587105866225</v>
      </c>
      <c r="F55" s="3">
        <f t="shared" si="2"/>
        <v>-1.41534366355812</v>
      </c>
      <c r="G55" s="3">
        <f t="shared" si="3"/>
        <v>0.322761516458732</v>
      </c>
      <c r="H55" s="3">
        <f xml:space="preserve">Monthly_338!G259</f>
        <v>-9.82000677079288</v>
      </c>
      <c r="I55" s="5">
        <f t="shared" si="1"/>
        <v>1</v>
      </c>
    </row>
    <row r="56" spans="1:9">
      <c r="A56" t="s">
        <v>311</v>
      </c>
      <c r="B56" t="s">
        <v>398</v>
      </c>
      <c r="C56" s="4">
        <v>41020018495</v>
      </c>
      <c r="D56" s="4">
        <v>136019624692</v>
      </c>
      <c r="E56" s="3">
        <f t="shared" si="0"/>
        <v>3.31593279775287</v>
      </c>
      <c r="F56" s="3">
        <f t="shared" si="2"/>
        <v>3.61017791042034</v>
      </c>
      <c r="G56" s="3">
        <f t="shared" si="3"/>
        <v>-6.42207077900202</v>
      </c>
      <c r="H56" s="3">
        <f xml:space="preserve">Monthly_338!G260</f>
        <v>-0.7615196088732</v>
      </c>
      <c r="I56" s="5">
        <f t="shared" si="1"/>
        <v>1</v>
      </c>
    </row>
    <row r="57" spans="1:9">
      <c r="A57" t="s">
        <v>312</v>
      </c>
      <c r="B57" t="s">
        <v>398</v>
      </c>
      <c r="C57" s="4">
        <v>42158225297</v>
      </c>
      <c r="D57" s="4">
        <v>137319605407</v>
      </c>
      <c r="E57" s="3">
        <f t="shared" si="0"/>
        <v>3.25724350205918</v>
      </c>
      <c r="F57" s="3">
        <f t="shared" si="2"/>
        <v>2.73696053519215</v>
      </c>
      <c r="G57" s="3">
        <f t="shared" si="3"/>
        <v>-1.78576848273476</v>
      </c>
      <c r="H57" s="3">
        <f xml:space="preserve">Monthly_338!G261</f>
        <v>-5.28166029455179</v>
      </c>
      <c r="I57" s="5">
        <f t="shared" si="1"/>
        <v>1</v>
      </c>
    </row>
    <row r="58" spans="1:9">
      <c r="A58" t="s">
        <v>313</v>
      </c>
      <c r="B58" t="s">
        <v>398</v>
      </c>
      <c r="C58" s="4">
        <v>41233490796</v>
      </c>
      <c r="D58" s="4">
        <v>132345207532</v>
      </c>
      <c r="E58" s="3">
        <f t="shared" si="0"/>
        <v>3.20965324490156</v>
      </c>
      <c r="F58" s="3">
        <f t="shared" si="2"/>
        <v>-2.21789993309092</v>
      </c>
      <c r="G58" s="3">
        <f t="shared" si="3"/>
        <v>-1.47183782708795</v>
      </c>
      <c r="H58" s="3">
        <f xml:space="preserve">Monthly_338!G262</f>
        <v>6.93842563545421</v>
      </c>
      <c r="I58" s="5">
        <f t="shared" si="1"/>
        <v>1</v>
      </c>
    </row>
    <row r="59" spans="1:9">
      <c r="A59" t="s">
        <v>314</v>
      </c>
      <c r="B59" t="s">
        <v>398</v>
      </c>
      <c r="C59" s="4">
        <v>45487796755</v>
      </c>
      <c r="D59" s="4">
        <v>149431312557</v>
      </c>
      <c r="E59" s="3">
        <f t="shared" si="0"/>
        <v>3.28508574204739</v>
      </c>
      <c r="F59" s="3">
        <f t="shared" si="2"/>
        <v>9.81932772544188</v>
      </c>
      <c r="G59" s="3">
        <f t="shared" si="3"/>
        <v>2.3229844763997</v>
      </c>
      <c r="H59" s="3">
        <f xml:space="preserve">Monthly_338!G263</f>
        <v>-5.34103207703056</v>
      </c>
      <c r="I59" s="5">
        <f t="shared" si="1"/>
        <v>1</v>
      </c>
    </row>
    <row r="60" spans="1:9">
      <c r="A60" t="s">
        <v>315</v>
      </c>
      <c r="B60" t="s">
        <v>398</v>
      </c>
      <c r="C60" s="4">
        <v>45722651146</v>
      </c>
      <c r="D60" s="4">
        <v>151567887719</v>
      </c>
      <c r="E60" s="3">
        <f t="shared" si="0"/>
        <v>3.31494093015339</v>
      </c>
      <c r="F60" s="3">
        <f t="shared" si="2"/>
        <v>0.514973701869782</v>
      </c>
      <c r="G60" s="3">
        <f t="shared" si="3"/>
        <v>0.904705184498993</v>
      </c>
      <c r="H60" s="3">
        <f xml:space="preserve">Monthly_338!G264</f>
        <v>4.61666414928904</v>
      </c>
      <c r="I60" s="5">
        <f t="shared" si="1"/>
        <v>1</v>
      </c>
    </row>
    <row r="61" spans="1:9">
      <c r="A61" t="s">
        <v>316</v>
      </c>
      <c r="B61" t="s">
        <v>398</v>
      </c>
      <c r="C61" s="4">
        <v>45476690629</v>
      </c>
      <c r="D61" s="4">
        <v>155572919698</v>
      </c>
      <c r="E61" s="3">
        <f t="shared" si="0"/>
        <v>3.42093757364993</v>
      </c>
      <c r="F61" s="3">
        <f t="shared" si="2"/>
        <v>-0.539392299444678</v>
      </c>
      <c r="G61" s="3">
        <f t="shared" si="3"/>
        <v>3.14748533250947</v>
      </c>
      <c r="H61" s="3">
        <f xml:space="preserve">Monthly_338!G265</f>
        <v>6.19627038199986</v>
      </c>
      <c r="I61" s="5">
        <f t="shared" si="1"/>
        <v>1</v>
      </c>
    </row>
    <row r="62" spans="1:9">
      <c r="A62" t="s">
        <v>317</v>
      </c>
      <c r="B62" t="s">
        <v>398</v>
      </c>
      <c r="C62" s="4">
        <v>46096743303</v>
      </c>
      <c r="D62" s="4">
        <v>160340724674</v>
      </c>
      <c r="E62" s="3">
        <f t="shared" si="0"/>
        <v>3.47835255128674</v>
      </c>
      <c r="F62" s="3">
        <f t="shared" si="2"/>
        <v>1.3542402499198</v>
      </c>
      <c r="G62" s="3">
        <f t="shared" si="3"/>
        <v>1.66441190463843</v>
      </c>
      <c r="H62" s="3">
        <f xml:space="preserve">Monthly_338!G266</f>
        <v>-6.95903392001064</v>
      </c>
      <c r="I62" s="5">
        <f t="shared" si="1"/>
        <v>1</v>
      </c>
    </row>
    <row r="63" spans="1:9">
      <c r="A63" t="s">
        <v>318</v>
      </c>
      <c r="B63" t="s">
        <v>398</v>
      </c>
      <c r="C63" s="4">
        <v>39981784459</v>
      </c>
      <c r="D63" s="4">
        <v>133312979483</v>
      </c>
      <c r="E63" s="3">
        <f t="shared" si="0"/>
        <v>3.33434290857398</v>
      </c>
      <c r="F63" s="3">
        <f t="shared" si="2"/>
        <v>-14.2318341452542</v>
      </c>
      <c r="G63" s="3">
        <f t="shared" si="3"/>
        <v>-4.22831458507994</v>
      </c>
      <c r="H63" s="3">
        <f xml:space="preserve">Monthly_338!G267</f>
        <v>-12.2883488601869</v>
      </c>
      <c r="I63" s="5">
        <f t="shared" si="1"/>
        <v>1</v>
      </c>
    </row>
    <row r="64" spans="1:9">
      <c r="A64" t="s">
        <v>319</v>
      </c>
      <c r="B64" t="s">
        <v>398</v>
      </c>
      <c r="C64" s="4">
        <v>41092518287</v>
      </c>
      <c r="D64" s="4">
        <v>116630146426</v>
      </c>
      <c r="E64" s="3">
        <f t="shared" si="0"/>
        <v>2.83823312096443</v>
      </c>
      <c r="F64" s="3">
        <f t="shared" si="2"/>
        <v>2.74021062507333</v>
      </c>
      <c r="G64" s="3">
        <f t="shared" si="3"/>
        <v>-16.1093912983568</v>
      </c>
      <c r="H64" s="3">
        <f xml:space="preserve">Monthly_338!G268</f>
        <v>-54.9817570869912</v>
      </c>
      <c r="I64" s="5">
        <f t="shared" si="1"/>
        <v>1</v>
      </c>
    </row>
    <row r="65" spans="1:9">
      <c r="A65" t="s">
        <v>320</v>
      </c>
      <c r="B65" t="s">
        <v>398</v>
      </c>
      <c r="C65" s="4">
        <v>40415327222</v>
      </c>
      <c r="D65" s="4">
        <v>76352415753</v>
      </c>
      <c r="E65" s="3">
        <f t="shared" si="0"/>
        <v>1.88919454576227</v>
      </c>
      <c r="F65" s="3">
        <f t="shared" si="2"/>
        <v>-1.66169684174832</v>
      </c>
      <c r="G65" s="3">
        <f t="shared" si="3"/>
        <v>-40.7031146084368</v>
      </c>
      <c r="H65" s="3">
        <f xml:space="preserve">Monthly_338!G269</f>
        <v>-54.76460499472</v>
      </c>
      <c r="I65" s="5">
        <f t="shared" si="1"/>
        <v>1</v>
      </c>
    </row>
    <row r="66" spans="1:9">
      <c r="A66" t="s">
        <v>321</v>
      </c>
      <c r="B66" t="s">
        <v>398</v>
      </c>
      <c r="C66" s="4">
        <v>47962846592</v>
      </c>
      <c r="D66" s="4">
        <v>68481712549</v>
      </c>
      <c r="E66" s="3">
        <f t="shared" ref="E66:E129" si="4" xml:space="preserve">D66/C66</f>
        <v>1.42780750966567</v>
      </c>
      <c r="F66" s="3">
        <f t="shared" si="2"/>
        <v>17.1217582157842</v>
      </c>
      <c r="G66" s="3">
        <f t="shared" si="3"/>
        <v>-28.0010514295008</v>
      </c>
      <c r="H66" s="3">
        <f xml:space="preserve">Monthly_338!G270</f>
        <v>47.3397536910572</v>
      </c>
      <c r="I66" s="5">
        <f t="shared" ref="I66:I129" si="5" xml:space="preserve">IF(ROW()&gt;=6,1,0)</f>
        <v>1</v>
      </c>
    </row>
    <row r="67" spans="1:9">
      <c r="A67" t="s">
        <v>322</v>
      </c>
      <c r="B67" t="s">
        <v>398</v>
      </c>
      <c r="C67" s="4">
        <v>53171547781</v>
      </c>
      <c r="D67" s="4">
        <v>89048307408</v>
      </c>
      <c r="E67" s="3">
        <f t="shared" si="4"/>
        <v>1.67473604068791</v>
      </c>
      <c r="F67" s="3">
        <f t="shared" ref="F67:F130" si="6" xml:space="preserve">100*LN(C67/C66)</f>
        <v>10.3096755276631</v>
      </c>
      <c r="G67" s="3">
        <f t="shared" ref="G67:G130" si="7" xml:space="preserve">100*LN(E67/E66)</f>
        <v>15.9515507531236</v>
      </c>
      <c r="H67" s="3">
        <f xml:space="preserve">Monthly_338!G271</f>
        <v>31.2472364220253</v>
      </c>
      <c r="I67" s="5">
        <f t="shared" si="5"/>
        <v>1</v>
      </c>
    </row>
    <row r="68" spans="1:9">
      <c r="A68" t="s">
        <v>323</v>
      </c>
      <c r="B68" t="s">
        <v>398</v>
      </c>
      <c r="C68" s="4">
        <v>51039275614</v>
      </c>
      <c r="D68" s="4">
        <v>102946782815</v>
      </c>
      <c r="E68" s="3">
        <f t="shared" si="4"/>
        <v>2.0170110483849</v>
      </c>
      <c r="F68" s="3">
        <f t="shared" si="6"/>
        <v>-4.09279907156698</v>
      </c>
      <c r="G68" s="3">
        <f t="shared" si="7"/>
        <v>18.5961171379863</v>
      </c>
      <c r="H68" s="3">
        <f xml:space="preserve">Monthly_338!G272</f>
        <v>6.01550389104159</v>
      </c>
      <c r="I68" s="5">
        <f t="shared" si="5"/>
        <v>1</v>
      </c>
    </row>
    <row r="69" spans="1:9">
      <c r="A69" t="s">
        <v>324</v>
      </c>
      <c r="B69" t="s">
        <v>398</v>
      </c>
      <c r="C69" s="4">
        <v>47474388306</v>
      </c>
      <c r="D69" s="4">
        <v>106222856775</v>
      </c>
      <c r="E69" s="3">
        <f t="shared" si="4"/>
        <v>2.2374771021868</v>
      </c>
      <c r="F69" s="3">
        <f t="shared" si="6"/>
        <v>-7.24050743545657</v>
      </c>
      <c r="G69" s="3">
        <f t="shared" si="7"/>
        <v>10.3732200865335</v>
      </c>
      <c r="H69" s="3">
        <f xml:space="preserve">Monthly_338!G273</f>
        <v>2.30330904540793</v>
      </c>
      <c r="I69" s="5">
        <f t="shared" si="5"/>
        <v>1</v>
      </c>
    </row>
    <row r="70" spans="1:9">
      <c r="A70" t="s">
        <v>325</v>
      </c>
      <c r="B70" t="s">
        <v>398</v>
      </c>
      <c r="C70" s="4">
        <v>48469456842</v>
      </c>
      <c r="D70" s="4">
        <v>111613957650</v>
      </c>
      <c r="E70" s="3">
        <f t="shared" si="4"/>
        <v>2.30276889658239</v>
      </c>
      <c r="F70" s="3">
        <f t="shared" si="6"/>
        <v>2.07434716633085</v>
      </c>
      <c r="G70" s="3">
        <f t="shared" si="7"/>
        <v>2.87633294913098</v>
      </c>
      <c r="H70" s="3">
        <f xml:space="preserve">Monthly_338!G274</f>
        <v>-10.6440021153933</v>
      </c>
      <c r="I70" s="5">
        <f t="shared" si="5"/>
        <v>1</v>
      </c>
    </row>
    <row r="71" spans="1:9">
      <c r="A71" t="s">
        <v>326</v>
      </c>
      <c r="B71" t="s">
        <v>398</v>
      </c>
      <c r="C71" s="4">
        <v>42471553516</v>
      </c>
      <c r="D71" s="4">
        <v>91920367855</v>
      </c>
      <c r="E71" s="3">
        <f t="shared" si="4"/>
        <v>2.16428080080404</v>
      </c>
      <c r="F71" s="3">
        <f t="shared" si="6"/>
        <v>-13.2099320934494</v>
      </c>
      <c r="G71" s="3">
        <f t="shared" si="7"/>
        <v>-6.20241543043629</v>
      </c>
      <c r="H71" s="3">
        <f xml:space="preserve">Monthly_338!G275</f>
        <v>-3.03451422144416</v>
      </c>
      <c r="I71" s="5">
        <f t="shared" si="5"/>
        <v>1</v>
      </c>
    </row>
    <row r="72" spans="1:9">
      <c r="A72" t="s">
        <v>327</v>
      </c>
      <c r="B72" t="s">
        <v>398</v>
      </c>
      <c r="C72" s="4">
        <v>45404245057</v>
      </c>
      <c r="D72" s="4">
        <v>94993360170</v>
      </c>
      <c r="E72" s="3">
        <f t="shared" si="4"/>
        <v>2.09216913640446</v>
      </c>
      <c r="F72" s="3">
        <f t="shared" si="6"/>
        <v>6.67710813398817</v>
      </c>
      <c r="G72" s="3">
        <f t="shared" si="7"/>
        <v>-3.38867205656571</v>
      </c>
      <c r="H72" s="3">
        <f xml:space="preserve">Monthly_338!G276</f>
        <v>4.19640355023183</v>
      </c>
      <c r="I72" s="5">
        <f t="shared" si="5"/>
        <v>1</v>
      </c>
    </row>
    <row r="73" spans="1:9">
      <c r="A73" t="s">
        <v>328</v>
      </c>
      <c r="B73" t="s">
        <v>398</v>
      </c>
      <c r="C73" s="4">
        <v>38427007319</v>
      </c>
      <c r="D73" s="4">
        <v>84349584417</v>
      </c>
      <c r="E73" s="3">
        <f t="shared" si="4"/>
        <v>2.19505994096225</v>
      </c>
      <c r="F73" s="3">
        <f t="shared" si="6"/>
        <v>-16.6845076152148</v>
      </c>
      <c r="G73" s="3">
        <f t="shared" si="7"/>
        <v>4.80079620334749</v>
      </c>
      <c r="H73" s="3">
        <f xml:space="preserve">Monthly_338!G277</f>
        <v>14.8179464290538</v>
      </c>
      <c r="I73" s="5">
        <f t="shared" si="5"/>
        <v>1</v>
      </c>
    </row>
    <row r="74" spans="1:9">
      <c r="A74" t="s">
        <v>329</v>
      </c>
      <c r="B74" t="s">
        <v>398</v>
      </c>
      <c r="C74" s="4">
        <v>44569071563</v>
      </c>
      <c r="D74" s="4">
        <v>110554391675</v>
      </c>
      <c r="E74" s="3">
        <f t="shared" si="4"/>
        <v>2.48051816647622</v>
      </c>
      <c r="F74" s="3">
        <f t="shared" si="6"/>
        <v>14.8279627774401</v>
      </c>
      <c r="G74" s="3">
        <f t="shared" si="7"/>
        <v>12.225812233787</v>
      </c>
      <c r="H74" s="3">
        <f xml:space="preserve">Monthly_338!G278</f>
        <v>8.02327354958609</v>
      </c>
      <c r="I74" s="5">
        <f t="shared" si="5"/>
        <v>1</v>
      </c>
    </row>
    <row r="75" spans="1:9">
      <c r="A75" t="s">
        <v>330</v>
      </c>
      <c r="B75" t="s">
        <v>398</v>
      </c>
      <c r="C75" s="4">
        <v>44973616163</v>
      </c>
      <c r="D75" s="4">
        <v>120542020221</v>
      </c>
      <c r="E75" s="3">
        <f t="shared" si="4"/>
        <v>2.68028303047978</v>
      </c>
      <c r="F75" s="3">
        <f t="shared" si="6"/>
        <v>0.903585457945427</v>
      </c>
      <c r="G75" s="3">
        <f t="shared" si="7"/>
        <v>7.74549208869542</v>
      </c>
      <c r="H75" s="3">
        <f xml:space="preserve">Monthly_338!G279</f>
        <v>12.7399297493862</v>
      </c>
      <c r="I75" s="5">
        <f t="shared" si="5"/>
        <v>1</v>
      </c>
    </row>
    <row r="76" spans="1:9">
      <c r="A76" t="s">
        <v>331</v>
      </c>
      <c r="B76" t="s">
        <v>398</v>
      </c>
      <c r="C76" s="4">
        <v>49640304528</v>
      </c>
      <c r="D76" s="4">
        <v>147056204484</v>
      </c>
      <c r="E76" s="3">
        <f t="shared" si="4"/>
        <v>2.96243558298583</v>
      </c>
      <c r="F76" s="3">
        <f t="shared" si="6"/>
        <v>9.87270847116624</v>
      </c>
      <c r="G76" s="3">
        <f t="shared" si="7"/>
        <v>10.008936475047</v>
      </c>
      <c r="H76" s="3">
        <f xml:space="preserve">Monthly_338!G280</f>
        <v>5.68677029693774</v>
      </c>
      <c r="I76" s="5">
        <f t="shared" si="5"/>
        <v>1</v>
      </c>
    </row>
    <row r="77" spans="1:9">
      <c r="A77" t="s">
        <v>332</v>
      </c>
      <c r="B77" t="s">
        <v>398</v>
      </c>
      <c r="C77" s="4">
        <v>40349307675</v>
      </c>
      <c r="D77" s="4">
        <v>125279321242</v>
      </c>
      <c r="E77" s="3">
        <f t="shared" si="4"/>
        <v>3.1048691653171</v>
      </c>
      <c r="F77" s="3">
        <f t="shared" si="6"/>
        <v>-20.7228858471453</v>
      </c>
      <c r="G77" s="3">
        <f t="shared" si="7"/>
        <v>4.69598156387421</v>
      </c>
      <c r="H77" s="3">
        <f xml:space="preserve">Monthly_338!G281</f>
        <v>-0.803330609071117</v>
      </c>
      <c r="I77" s="5">
        <f t="shared" si="5"/>
        <v>1</v>
      </c>
    </row>
    <row r="78" spans="1:9">
      <c r="A78" t="s">
        <v>333</v>
      </c>
      <c r="B78" t="s">
        <v>398</v>
      </c>
      <c r="C78" s="4">
        <v>40961148896</v>
      </c>
      <c r="D78" s="4">
        <v>129252222967</v>
      </c>
      <c r="E78" s="3">
        <f t="shared" si="4"/>
        <v>3.15548334093778</v>
      </c>
      <c r="F78" s="3">
        <f t="shared" si="6"/>
        <v>1.50497929804377</v>
      </c>
      <c r="G78" s="3">
        <f t="shared" si="7"/>
        <v>1.61701049312125</v>
      </c>
      <c r="H78" s="3">
        <f xml:space="preserve">Monthly_338!G282</f>
        <v>4.24531432218987</v>
      </c>
      <c r="I78" s="5">
        <f t="shared" si="5"/>
        <v>1</v>
      </c>
    </row>
    <row r="79" spans="1:9">
      <c r="A79" t="s">
        <v>334</v>
      </c>
      <c r="B79" t="s">
        <v>398</v>
      </c>
      <c r="C79" s="4">
        <v>40051737376</v>
      </c>
      <c r="D79" s="4">
        <v>129393470963</v>
      </c>
      <c r="E79" s="3">
        <f t="shared" si="4"/>
        <v>3.23065812971539</v>
      </c>
      <c r="F79" s="3">
        <f t="shared" si="6"/>
        <v>-2.24519768083732</v>
      </c>
      <c r="G79" s="3">
        <f t="shared" si="7"/>
        <v>2.35441891541144</v>
      </c>
      <c r="H79" s="3">
        <f xml:space="preserve">Monthly_338!G283</f>
        <v>6.42727696867266</v>
      </c>
      <c r="I79" s="5">
        <f t="shared" si="5"/>
        <v>1</v>
      </c>
    </row>
    <row r="80" spans="1:9">
      <c r="A80" t="s">
        <v>335</v>
      </c>
      <c r="B80" t="s">
        <v>398</v>
      </c>
      <c r="C80" s="4">
        <v>41242195191</v>
      </c>
      <c r="D80" s="4">
        <v>140694186092</v>
      </c>
      <c r="E80" s="3">
        <f t="shared" si="4"/>
        <v>3.41141361269496</v>
      </c>
      <c r="F80" s="3">
        <f t="shared" si="6"/>
        <v>2.92898346395282</v>
      </c>
      <c r="G80" s="3">
        <f t="shared" si="7"/>
        <v>5.4440882761954</v>
      </c>
      <c r="H80" s="3">
        <f xml:space="preserve">Monthly_338!G284</f>
        <v>3.5056120519762</v>
      </c>
      <c r="I80" s="5">
        <f t="shared" si="5"/>
        <v>1</v>
      </c>
    </row>
    <row r="81" spans="1:9">
      <c r="A81" t="s">
        <v>336</v>
      </c>
      <c r="B81" t="s">
        <v>398</v>
      </c>
      <c r="C81" s="4">
        <v>44523684546</v>
      </c>
      <c r="D81" s="4">
        <v>155635606509</v>
      </c>
      <c r="E81" s="3">
        <f t="shared" si="4"/>
        <v>3.49556888869347</v>
      </c>
      <c r="F81" s="3">
        <f t="shared" si="6"/>
        <v>7.65593971853036</v>
      </c>
      <c r="G81" s="3">
        <f t="shared" si="7"/>
        <v>2.43693800271223</v>
      </c>
      <c r="H81" s="3">
        <f xml:space="preserve">Monthly_338!G285</f>
        <v>-6.05224770694633</v>
      </c>
      <c r="I81" s="5">
        <f t="shared" si="5"/>
        <v>1</v>
      </c>
    </row>
    <row r="82" spans="1:9">
      <c r="A82" t="s">
        <v>337</v>
      </c>
      <c r="B82" t="s">
        <v>398</v>
      </c>
      <c r="C82" s="4">
        <v>40906436928</v>
      </c>
      <c r="D82" s="4">
        <v>141643772937</v>
      </c>
      <c r="E82" s="3">
        <f t="shared" si="4"/>
        <v>3.46262797677317</v>
      </c>
      <c r="F82" s="3">
        <f t="shared" si="6"/>
        <v>-8.47338518049075</v>
      </c>
      <c r="G82" s="3">
        <f t="shared" si="7"/>
        <v>-0.946830296684537</v>
      </c>
      <c r="H82" s="3">
        <f xml:space="preserve">Monthly_338!G286</f>
        <v>4.83421887234498</v>
      </c>
      <c r="I82" s="5">
        <f t="shared" si="5"/>
        <v>1</v>
      </c>
    </row>
    <row r="83" spans="1:9">
      <c r="A83" t="s">
        <v>338</v>
      </c>
      <c r="B83" t="s">
        <v>398</v>
      </c>
      <c r="C83" s="4">
        <v>37792001036</v>
      </c>
      <c r="D83" s="4">
        <v>136319391476</v>
      </c>
      <c r="E83" s="3">
        <f t="shared" si="4"/>
        <v>3.60709641561833</v>
      </c>
      <c r="F83" s="3">
        <f t="shared" si="6"/>
        <v>-7.91899653400211</v>
      </c>
      <c r="G83" s="3">
        <f t="shared" si="7"/>
        <v>4.08753000737488</v>
      </c>
      <c r="H83" s="3">
        <f xml:space="preserve">Monthly_338!G287</f>
        <v>10.8586158086116</v>
      </c>
      <c r="I83" s="5">
        <f t="shared" si="5"/>
        <v>1</v>
      </c>
    </row>
    <row r="84" spans="1:9">
      <c r="A84" t="s">
        <v>339</v>
      </c>
      <c r="B84" t="s">
        <v>398</v>
      </c>
      <c r="C84" s="4">
        <v>41790781048</v>
      </c>
      <c r="D84" s="4">
        <v>159692980820</v>
      </c>
      <c r="E84" s="3">
        <f t="shared" si="4"/>
        <v>3.82124901270881</v>
      </c>
      <c r="F84" s="3">
        <f t="shared" si="6"/>
        <v>10.0578298687114</v>
      </c>
      <c r="G84" s="3">
        <f t="shared" si="7"/>
        <v>5.7674204149139</v>
      </c>
      <c r="H84" s="3">
        <f xml:space="preserve">Monthly_338!G288</f>
        <v>-3.46790867861201</v>
      </c>
      <c r="I84" s="5">
        <f t="shared" si="5"/>
        <v>1</v>
      </c>
    </row>
    <row r="85" spans="1:9">
      <c r="A85" t="s">
        <v>340</v>
      </c>
      <c r="B85" t="s">
        <v>398</v>
      </c>
      <c r="C85" s="4">
        <v>46121857560</v>
      </c>
      <c r="D85" s="4">
        <v>173380542473</v>
      </c>
      <c r="E85" s="3">
        <f t="shared" si="4"/>
        <v>3.75918385870406</v>
      </c>
      <c r="F85" s="3">
        <f t="shared" si="6"/>
        <v>9.86112051440585</v>
      </c>
      <c r="G85" s="3">
        <f t="shared" si="7"/>
        <v>-1.63754608684089</v>
      </c>
      <c r="H85" s="3">
        <f xml:space="preserve">Monthly_338!G289</f>
        <v>-9.17790285934049</v>
      </c>
      <c r="I85" s="5">
        <f t="shared" si="5"/>
        <v>1</v>
      </c>
    </row>
    <row r="86" spans="1:9">
      <c r="A86" t="s">
        <v>341</v>
      </c>
      <c r="B86" t="s">
        <v>398</v>
      </c>
      <c r="C86" s="4">
        <v>48789896647</v>
      </c>
      <c r="D86" s="4">
        <v>183397201871</v>
      </c>
      <c r="E86" s="3">
        <f t="shared" si="4"/>
        <v>3.7589176135768</v>
      </c>
      <c r="F86" s="3">
        <f t="shared" si="6"/>
        <v>5.62362842427425</v>
      </c>
      <c r="G86" s="3">
        <f t="shared" si="7"/>
        <v>-0.00708277557456092</v>
      </c>
      <c r="H86" s="3">
        <f xml:space="preserve">Monthly_338!G290</f>
        <v>15.174699904007</v>
      </c>
      <c r="I86" s="5">
        <f t="shared" si="5"/>
        <v>1</v>
      </c>
    </row>
    <row r="87" spans="1:9">
      <c r="A87" t="s">
        <v>342</v>
      </c>
      <c r="B87" t="s">
        <v>398</v>
      </c>
      <c r="C87" s="4">
        <v>36339514118</v>
      </c>
      <c r="D87" s="4">
        <v>149691841083</v>
      </c>
      <c r="E87" s="3">
        <f t="shared" si="4"/>
        <v>4.11925818812347</v>
      </c>
      <c r="F87" s="3">
        <f t="shared" si="6"/>
        <v>-29.4617563069225</v>
      </c>
      <c r="G87" s="3">
        <f t="shared" si="7"/>
        <v>9.15420484938166</v>
      </c>
      <c r="H87" s="3">
        <f xml:space="preserve">Monthly_338!G291</f>
        <v>11.390038983219</v>
      </c>
      <c r="I87" s="5">
        <f t="shared" si="5"/>
        <v>1</v>
      </c>
    </row>
    <row r="88" spans="1:9">
      <c r="A88" t="s">
        <v>343</v>
      </c>
      <c r="B88" t="s">
        <v>398</v>
      </c>
      <c r="C88" s="4">
        <v>42710930247</v>
      </c>
      <c r="D88" s="4">
        <v>198836942144</v>
      </c>
      <c r="E88" s="3">
        <f t="shared" si="4"/>
        <v>4.65541117915516</v>
      </c>
      <c r="F88" s="3">
        <f t="shared" si="6"/>
        <v>16.1549172726531</v>
      </c>
      <c r="G88" s="3">
        <f t="shared" si="7"/>
        <v>12.2357141749796</v>
      </c>
      <c r="H88" s="3">
        <f xml:space="preserve">Monthly_338!G292</f>
        <v>18.8415746683807</v>
      </c>
      <c r="I88" s="5">
        <f t="shared" si="5"/>
        <v>1</v>
      </c>
    </row>
    <row r="89" spans="1:9">
      <c r="A89" t="s">
        <v>344</v>
      </c>
      <c r="B89" t="s">
        <v>398</v>
      </c>
      <c r="C89" s="4">
        <v>43020368833</v>
      </c>
      <c r="D89" s="4">
        <v>221707597907</v>
      </c>
      <c r="E89" s="3">
        <f t="shared" si="4"/>
        <v>5.15354944462803</v>
      </c>
      <c r="F89" s="3">
        <f t="shared" si="6"/>
        <v>0.721883216739314</v>
      </c>
      <c r="G89" s="3">
        <f t="shared" si="7"/>
        <v>10.1655452353194</v>
      </c>
      <c r="H89" s="3">
        <f xml:space="preserve">Monthly_338!G293</f>
        <v>-10.0830088827644</v>
      </c>
      <c r="I89" s="5">
        <f t="shared" si="5"/>
        <v>1</v>
      </c>
    </row>
    <row r="90" spans="1:9">
      <c r="A90" t="s">
        <v>345</v>
      </c>
      <c r="B90" t="s">
        <v>398</v>
      </c>
      <c r="C90" s="4">
        <v>45809613238</v>
      </c>
      <c r="D90" s="4">
        <v>230040333572</v>
      </c>
      <c r="E90" s="3">
        <f t="shared" si="4"/>
        <v>5.02166068019053</v>
      </c>
      <c r="F90" s="3">
        <f t="shared" si="6"/>
        <v>6.28202677944772</v>
      </c>
      <c r="G90" s="3">
        <f t="shared" si="7"/>
        <v>-2.59249980427694</v>
      </c>
      <c r="H90" s="3">
        <f xml:space="preserve">Monthly_338!G294</f>
        <v>12.1268036354893</v>
      </c>
      <c r="I90" s="5">
        <f t="shared" si="5"/>
        <v>1</v>
      </c>
    </row>
    <row r="91" spans="1:9">
      <c r="A91" t="s">
        <v>346</v>
      </c>
      <c r="B91" t="s">
        <v>398</v>
      </c>
      <c r="C91" s="4">
        <v>35801260643</v>
      </c>
      <c r="D91" s="4">
        <v>194599093492</v>
      </c>
      <c r="E91" s="3">
        <f t="shared" si="4"/>
        <v>5.43553746423867</v>
      </c>
      <c r="F91" s="3">
        <f t="shared" si="6"/>
        <v>-24.6510858842957</v>
      </c>
      <c r="G91" s="3">
        <f t="shared" si="7"/>
        <v>7.91977133641592</v>
      </c>
      <c r="H91" s="3">
        <f xml:space="preserve">Monthly_338!G295</f>
        <v>7.88642874573797</v>
      </c>
      <c r="I91" s="5">
        <f t="shared" si="5"/>
        <v>1</v>
      </c>
    </row>
    <row r="92" spans="1:9">
      <c r="A92" t="s">
        <v>347</v>
      </c>
      <c r="B92" t="s">
        <v>398</v>
      </c>
      <c r="C92" s="4">
        <v>37318463206</v>
      </c>
      <c r="D92" s="4">
        <v>204281937448</v>
      </c>
      <c r="E92" s="3">
        <f t="shared" si="4"/>
        <v>5.47401794978406</v>
      </c>
      <c r="F92" s="3">
        <f t="shared" si="6"/>
        <v>4.15050900212518</v>
      </c>
      <c r="G92" s="3">
        <f t="shared" si="7"/>
        <v>0.705448456313576</v>
      </c>
      <c r="H92" s="3">
        <f xml:space="preserve">Monthly_338!G296</f>
        <v>-8.59935187824902</v>
      </c>
      <c r="I92" s="5">
        <f t="shared" si="5"/>
        <v>1</v>
      </c>
    </row>
    <row r="93" spans="1:9">
      <c r="A93" t="s">
        <v>348</v>
      </c>
      <c r="B93" t="s">
        <v>398</v>
      </c>
      <c r="C93" s="4">
        <v>40335895740</v>
      </c>
      <c r="D93" s="4">
        <v>207504635425</v>
      </c>
      <c r="E93" s="3">
        <f t="shared" si="4"/>
        <v>5.1444161984786</v>
      </c>
      <c r="F93" s="3">
        <f t="shared" si="6"/>
        <v>7.77535893548948</v>
      </c>
      <c r="G93" s="3">
        <f t="shared" si="7"/>
        <v>-6.2100996547023</v>
      </c>
      <c r="H93" s="3">
        <f xml:space="preserve">Monthly_338!G297</f>
        <v>-9.85355416210977</v>
      </c>
      <c r="I93" s="5">
        <f t="shared" si="5"/>
        <v>1</v>
      </c>
    </row>
    <row r="94" spans="1:9">
      <c r="A94" t="s">
        <v>349</v>
      </c>
      <c r="B94" t="s">
        <v>398</v>
      </c>
      <c r="C94" s="4">
        <v>40233599136</v>
      </c>
      <c r="D94" s="4">
        <v>196749420409</v>
      </c>
      <c r="E94" s="3">
        <f t="shared" si="4"/>
        <v>4.89017698227633</v>
      </c>
      <c r="F94" s="3">
        <f t="shared" si="6"/>
        <v>-0.253933971230448</v>
      </c>
      <c r="G94" s="3">
        <f t="shared" si="7"/>
        <v>-5.06833976379952</v>
      </c>
      <c r="H94" s="3">
        <f xml:space="preserve">Monthly_338!G298</f>
        <v>-8.08542071171406</v>
      </c>
      <c r="I94" s="5">
        <f t="shared" si="5"/>
        <v>1</v>
      </c>
    </row>
    <row r="95" spans="1:9">
      <c r="A95" t="s">
        <v>350</v>
      </c>
      <c r="B95" t="s">
        <v>398</v>
      </c>
      <c r="C95" s="4">
        <v>43119759464</v>
      </c>
      <c r="D95" s="4">
        <v>208843844626</v>
      </c>
      <c r="E95" s="3">
        <f t="shared" si="4"/>
        <v>4.8433443790511</v>
      </c>
      <c r="F95" s="3">
        <f t="shared" si="6"/>
        <v>6.92789023499112</v>
      </c>
      <c r="G95" s="3">
        <f t="shared" si="7"/>
        <v>-0.96230260124754</v>
      </c>
      <c r="H95" s="3">
        <f xml:space="preserve">Monthly_338!G299</f>
        <v>6.30291551311692</v>
      </c>
      <c r="I95" s="5">
        <f t="shared" si="5"/>
        <v>1</v>
      </c>
    </row>
    <row r="96" spans="1:9">
      <c r="A96" t="s">
        <v>351</v>
      </c>
      <c r="B96" t="s">
        <v>398</v>
      </c>
      <c r="C96" s="4">
        <v>46691449945</v>
      </c>
      <c r="D96" s="4">
        <v>224015252835</v>
      </c>
      <c r="E96" s="3">
        <f t="shared" si="4"/>
        <v>4.79777888883035</v>
      </c>
      <c r="F96" s="3">
        <f t="shared" si="6"/>
        <v>7.95797149312488</v>
      </c>
      <c r="G96" s="3">
        <f t="shared" si="7"/>
        <v>-0.945239018699902</v>
      </c>
      <c r="H96" s="3">
        <f xml:space="preserve">Monthly_338!G300</f>
        <v>-2.19298144172893</v>
      </c>
      <c r="I96" s="5">
        <f t="shared" si="5"/>
        <v>1</v>
      </c>
    </row>
    <row r="97" spans="1:9">
      <c r="A97" t="s">
        <v>352</v>
      </c>
      <c r="B97" t="s">
        <v>398</v>
      </c>
      <c r="C97" s="4">
        <v>48060205441</v>
      </c>
      <c r="D97" s="4">
        <v>217251601556</v>
      </c>
      <c r="E97" s="3">
        <f t="shared" si="4"/>
        <v>4.52040517851518</v>
      </c>
      <c r="F97" s="3">
        <f t="shared" si="6"/>
        <v>2.88934417533765</v>
      </c>
      <c r="G97" s="3">
        <f t="shared" si="7"/>
        <v>-5.95514482358894</v>
      </c>
      <c r="H97" s="3">
        <f xml:space="preserve">Monthly_338!G301</f>
        <v>-15.1610663146498</v>
      </c>
      <c r="I97" s="5">
        <f t="shared" si="5"/>
        <v>1</v>
      </c>
    </row>
    <row r="98" spans="1:9">
      <c r="A98" t="s">
        <v>353</v>
      </c>
      <c r="B98" t="s">
        <v>398</v>
      </c>
      <c r="C98" s="4">
        <v>43310090974</v>
      </c>
      <c r="D98" s="4">
        <v>181019345092</v>
      </c>
      <c r="E98" s="3">
        <f t="shared" si="4"/>
        <v>4.17961128737111</v>
      </c>
      <c r="F98" s="3">
        <f t="shared" si="6"/>
        <v>-10.4068849221289</v>
      </c>
      <c r="G98" s="3">
        <f t="shared" si="7"/>
        <v>-7.83833823304047</v>
      </c>
      <c r="H98" s="3">
        <f xml:space="preserve">Monthly_338!G302</f>
        <v>-0.701196643352998</v>
      </c>
      <c r="I98" s="5">
        <f t="shared" si="5"/>
        <v>1</v>
      </c>
    </row>
    <row r="99" spans="1:9">
      <c r="A99" t="s">
        <v>354</v>
      </c>
      <c r="B99" t="s">
        <v>398</v>
      </c>
      <c r="C99" s="4">
        <v>40729871056</v>
      </c>
      <c r="D99" s="4">
        <v>162316859196</v>
      </c>
      <c r="E99" s="3">
        <f t="shared" si="4"/>
        <v>3.98520434726711</v>
      </c>
      <c r="F99" s="3">
        <f t="shared" si="6"/>
        <v>-6.14238999237915</v>
      </c>
      <c r="G99" s="3">
        <f t="shared" si="7"/>
        <v>-4.76296587197159</v>
      </c>
      <c r="H99" s="3">
        <f xml:space="preserve">Monthly_338!G303</f>
        <v>0.80757557016278</v>
      </c>
      <c r="I99" s="5">
        <f t="shared" si="5"/>
        <v>1</v>
      </c>
    </row>
    <row r="100" spans="1:9">
      <c r="A100" t="s">
        <v>355</v>
      </c>
      <c r="B100" t="s">
        <v>398</v>
      </c>
      <c r="C100" s="4">
        <v>52294580085</v>
      </c>
      <c r="D100" s="4">
        <v>207971929563</v>
      </c>
      <c r="E100" s="3">
        <f t="shared" si="4"/>
        <v>3.9769308640582</v>
      </c>
      <c r="F100" s="3">
        <f t="shared" si="6"/>
        <v>24.9930978607244</v>
      </c>
      <c r="G100" s="3">
        <f t="shared" si="7"/>
        <v>-0.207820790957325</v>
      </c>
      <c r="H100" s="3">
        <f xml:space="preserve">Monthly_338!G304</f>
        <v>-4.39756912272886</v>
      </c>
      <c r="I100" s="5">
        <f t="shared" si="5"/>
        <v>1</v>
      </c>
    </row>
    <row r="101" spans="1:9">
      <c r="A101" t="s">
        <v>356</v>
      </c>
      <c r="B101" t="s">
        <v>398</v>
      </c>
      <c r="C101" s="4">
        <v>42210194799</v>
      </c>
      <c r="D101" s="4">
        <v>168171123739</v>
      </c>
      <c r="E101" s="3">
        <f t="shared" si="4"/>
        <v>3.98413521993469</v>
      </c>
      <c r="F101" s="3">
        <f t="shared" si="6"/>
        <v>-21.4230959658632</v>
      </c>
      <c r="G101" s="3">
        <f t="shared" si="7"/>
        <v>0.180989776170793</v>
      </c>
      <c r="H101" s="3">
        <f xml:space="preserve">Monthly_338!G305</f>
        <v>7.57214537274362</v>
      </c>
      <c r="I101" s="5">
        <f t="shared" si="5"/>
        <v>1</v>
      </c>
    </row>
    <row r="102" spans="1:9">
      <c r="A102" t="s">
        <v>357</v>
      </c>
      <c r="B102" t="s">
        <v>398</v>
      </c>
      <c r="C102" s="4">
        <v>51435743241</v>
      </c>
      <c r="D102" s="4">
        <v>209172913788</v>
      </c>
      <c r="E102" s="3">
        <f t="shared" si="4"/>
        <v>4.0666839945897</v>
      </c>
      <c r="F102" s="3">
        <f t="shared" si="6"/>
        <v>19.7671549800457</v>
      </c>
      <c r="G102" s="3">
        <f t="shared" si="7"/>
        <v>2.05076441336663</v>
      </c>
      <c r="H102" s="3">
        <f xml:space="preserve">Monthly_338!G306</f>
        <v>-10.0572178604714</v>
      </c>
      <c r="I102" s="5">
        <f t="shared" si="5"/>
        <v>1</v>
      </c>
    </row>
    <row r="103" spans="1:9">
      <c r="A103" t="s">
        <v>358</v>
      </c>
      <c r="B103" t="s">
        <v>398</v>
      </c>
      <c r="C103" s="4">
        <v>52039330232</v>
      </c>
      <c r="D103" s="4">
        <v>199497086126</v>
      </c>
      <c r="E103" s="3">
        <f t="shared" si="4"/>
        <v>3.83358289271996</v>
      </c>
      <c r="F103" s="3">
        <f t="shared" si="6"/>
        <v>1.16664587271688</v>
      </c>
      <c r="G103" s="3">
        <f t="shared" si="7"/>
        <v>-5.90280769959951</v>
      </c>
      <c r="H103" s="3">
        <f xml:space="preserve">Monthly_338!G307</f>
        <v>1.65005110558906</v>
      </c>
      <c r="I103" s="5">
        <f t="shared" si="5"/>
        <v>1</v>
      </c>
    </row>
    <row r="104" spans="1:9">
      <c r="A104" t="s">
        <v>359</v>
      </c>
      <c r="B104" t="s">
        <v>398</v>
      </c>
      <c r="C104" s="4">
        <v>43677197715</v>
      </c>
      <c r="D104" s="4">
        <v>173611942547</v>
      </c>
      <c r="E104" s="3">
        <f t="shared" si="4"/>
        <v>3.97488739272704</v>
      </c>
      <c r="F104" s="3">
        <f t="shared" si="6"/>
        <v>-17.5173608805567</v>
      </c>
      <c r="G104" s="3">
        <f t="shared" si="7"/>
        <v>3.61965718006174</v>
      </c>
      <c r="H104" s="3">
        <f xml:space="preserve">Monthly_338!G308</f>
        <v>7.15191318989042</v>
      </c>
      <c r="I104" s="5">
        <f t="shared" si="5"/>
        <v>1</v>
      </c>
    </row>
    <row r="105" spans="1:9">
      <c r="A105" t="s">
        <v>360</v>
      </c>
      <c r="B105" t="s">
        <v>398</v>
      </c>
      <c r="C105" s="4">
        <v>52790372168</v>
      </c>
      <c r="D105" s="4">
        <v>221993977161</v>
      </c>
      <c r="E105" s="3">
        <f t="shared" si="4"/>
        <v>4.20519818376212</v>
      </c>
      <c r="F105" s="3">
        <f t="shared" si="6"/>
        <v>18.9502654279996</v>
      </c>
      <c r="G105" s="3">
        <f t="shared" si="7"/>
        <v>5.63250039852663</v>
      </c>
      <c r="H105" s="3">
        <f xml:space="preserve">Monthly_338!G309</f>
        <v>8.13211838554112</v>
      </c>
      <c r="I105" s="5">
        <f t="shared" si="5"/>
        <v>1</v>
      </c>
    </row>
    <row r="106" spans="1:9">
      <c r="A106" t="s">
        <v>361</v>
      </c>
      <c r="B106" t="s">
        <v>398</v>
      </c>
      <c r="C106" s="4">
        <v>45714545038</v>
      </c>
      <c r="D106" s="4">
        <v>209264399557</v>
      </c>
      <c r="E106" s="3">
        <f t="shared" si="4"/>
        <v>4.57763277274333</v>
      </c>
      <c r="F106" s="3">
        <f t="shared" si="6"/>
        <v>-14.391230935364</v>
      </c>
      <c r="G106" s="3">
        <f t="shared" si="7"/>
        <v>8.48605798439403</v>
      </c>
      <c r="H106" s="3">
        <f xml:space="preserve">Monthly_338!G310</f>
        <v>9.09999394303827</v>
      </c>
      <c r="I106" s="5">
        <f t="shared" si="5"/>
        <v>1</v>
      </c>
    </row>
    <row r="107" spans="1:9">
      <c r="A107" t="s">
        <v>362</v>
      </c>
      <c r="B107" t="s">
        <v>398</v>
      </c>
      <c r="C107" s="4">
        <v>48954957150</v>
      </c>
      <c r="D107" s="4">
        <v>233297943827</v>
      </c>
      <c r="E107" s="3">
        <f t="shared" si="4"/>
        <v>4.76556323218026</v>
      </c>
      <c r="F107" s="3">
        <f t="shared" si="6"/>
        <v>6.84841140833953</v>
      </c>
      <c r="G107" s="3">
        <f t="shared" si="7"/>
        <v>4.02337293869377</v>
      </c>
      <c r="H107" s="3">
        <f xml:space="preserve">Monthly_338!G311</f>
        <v>-3.25975579043408</v>
      </c>
      <c r="I107" s="5">
        <f t="shared" si="5"/>
        <v>1</v>
      </c>
    </row>
    <row r="108" spans="1:9">
      <c r="A108" t="s">
        <v>363</v>
      </c>
      <c r="B108" t="s">
        <v>398</v>
      </c>
      <c r="C108" s="4">
        <v>42425229570</v>
      </c>
      <c r="D108" s="4">
        <v>197709513502</v>
      </c>
      <c r="E108" s="3">
        <f t="shared" si="4"/>
        <v>4.66018724013707</v>
      </c>
      <c r="F108" s="3">
        <f t="shared" si="6"/>
        <v>-14.3157411210136</v>
      </c>
      <c r="G108" s="3">
        <f t="shared" si="7"/>
        <v>-2.23601044301963</v>
      </c>
      <c r="H108" s="3">
        <f xml:space="preserve">Monthly_338!G312</f>
        <v>-9.99682375694557</v>
      </c>
      <c r="I108" s="5">
        <f t="shared" si="5"/>
        <v>1</v>
      </c>
    </row>
    <row r="109" spans="1:9">
      <c r="A109" t="s">
        <v>364</v>
      </c>
      <c r="B109" t="s">
        <v>398</v>
      </c>
      <c r="C109" s="4">
        <v>48358361191</v>
      </c>
      <c r="D109" s="4">
        <v>211391782106</v>
      </c>
      <c r="E109" s="3">
        <f t="shared" si="4"/>
        <v>4.3713595105316</v>
      </c>
      <c r="F109" s="3">
        <f t="shared" si="6"/>
        <v>13.0895915174069</v>
      </c>
      <c r="G109" s="3">
        <f t="shared" si="7"/>
        <v>-6.3981566083451</v>
      </c>
      <c r="H109" s="3">
        <f xml:space="preserve">Monthly_338!G313</f>
        <v>-7.76377161207036</v>
      </c>
      <c r="I109" s="5">
        <f t="shared" si="5"/>
        <v>1</v>
      </c>
    </row>
    <row r="110" spans="1:9">
      <c r="A110" t="s">
        <v>365</v>
      </c>
      <c r="B110" t="s">
        <v>398</v>
      </c>
      <c r="C110" s="4">
        <v>44166290031</v>
      </c>
      <c r="D110" s="4">
        <v>183738644773</v>
      </c>
      <c r="E110" s="3">
        <f t="shared" si="4"/>
        <v>4.16015573515537</v>
      </c>
      <c r="F110" s="3">
        <f t="shared" si="6"/>
        <v>-9.06773083541406</v>
      </c>
      <c r="G110" s="3">
        <f t="shared" si="7"/>
        <v>-4.95215516259478</v>
      </c>
      <c r="H110" s="3">
        <f xml:space="preserve">Monthly_338!G314</f>
        <v>3.58340520722504</v>
      </c>
      <c r="I110" s="5">
        <f t="shared" si="5"/>
        <v>1</v>
      </c>
    </row>
    <row r="111" spans="1:9">
      <c r="A111" t="s">
        <v>366</v>
      </c>
      <c r="B111" t="s">
        <v>398</v>
      </c>
      <c r="C111" s="4">
        <v>44137624714</v>
      </c>
      <c r="D111" s="4">
        <v>185499668147</v>
      </c>
      <c r="E111" s="3">
        <f t="shared" si="4"/>
        <v>4.20275602389091</v>
      </c>
      <c r="F111" s="3">
        <f t="shared" si="6"/>
        <v>-0.0649242292138163</v>
      </c>
      <c r="G111" s="3">
        <f t="shared" si="7"/>
        <v>1.01879963433861</v>
      </c>
      <c r="H111" s="3">
        <f xml:space="preserve">Monthly_338!G315</f>
        <v>4.42561330504431</v>
      </c>
      <c r="I111" s="5">
        <f t="shared" si="5"/>
        <v>1</v>
      </c>
    </row>
    <row r="112" spans="1:9">
      <c r="A112" t="s">
        <v>367</v>
      </c>
      <c r="B112" t="s">
        <v>398</v>
      </c>
      <c r="C112" s="4">
        <v>49038217733</v>
      </c>
      <c r="D112" s="4">
        <v>210622975361</v>
      </c>
      <c r="E112" s="3">
        <f t="shared" si="4"/>
        <v>4.29507810638196</v>
      </c>
      <c r="F112" s="3">
        <f t="shared" si="6"/>
        <v>10.5287361009801</v>
      </c>
      <c r="G112" s="3">
        <f t="shared" si="7"/>
        <v>2.17292344403177</v>
      </c>
      <c r="H112" s="3">
        <f xml:space="preserve">Monthly_338!G316</f>
        <v>2.39676049110728</v>
      </c>
      <c r="I112" s="5">
        <f t="shared" si="5"/>
        <v>1</v>
      </c>
    </row>
    <row r="113" spans="1:9">
      <c r="A113" t="s">
        <v>368</v>
      </c>
      <c r="B113" t="s">
        <v>398</v>
      </c>
      <c r="C113" s="4">
        <v>44712414299</v>
      </c>
      <c r="D113" s="4">
        <v>198898882661</v>
      </c>
      <c r="E113" s="3">
        <f t="shared" si="4"/>
        <v>4.44840400097671</v>
      </c>
      <c r="F113" s="3">
        <f t="shared" si="6"/>
        <v>-9.23487599684993</v>
      </c>
      <c r="G113" s="3">
        <f t="shared" si="7"/>
        <v>3.50756396898437</v>
      </c>
      <c r="H113" s="3">
        <f xml:space="preserve">Monthly_338!G317</f>
        <v>5.66522796054628</v>
      </c>
      <c r="I113" s="5">
        <f t="shared" si="5"/>
        <v>1</v>
      </c>
    </row>
    <row r="114" spans="1:9">
      <c r="A114" t="s">
        <v>369</v>
      </c>
      <c r="B114" t="s">
        <v>398</v>
      </c>
      <c r="C114" s="4">
        <v>46959871949</v>
      </c>
      <c r="D114" s="4">
        <v>211267845414</v>
      </c>
      <c r="E114" s="3">
        <f t="shared" si="4"/>
        <v>4.49890165040152</v>
      </c>
      <c r="F114" s="3">
        <f t="shared" si="6"/>
        <v>4.90422608351018</v>
      </c>
      <c r="G114" s="3">
        <f t="shared" si="7"/>
        <v>1.12879089144929</v>
      </c>
      <c r="H114" s="3">
        <f xml:space="preserve">Monthly_338!G318</f>
        <v>-9.61265870018967</v>
      </c>
      <c r="I114" s="5">
        <f t="shared" si="5"/>
        <v>1</v>
      </c>
    </row>
    <row r="115" spans="1:9">
      <c r="A115" t="s">
        <v>370</v>
      </c>
      <c r="B115" t="s">
        <v>398</v>
      </c>
      <c r="C115" s="4">
        <v>46448308177</v>
      </c>
      <c r="D115" s="4">
        <v>202276359538</v>
      </c>
      <c r="E115" s="3">
        <f t="shared" si="4"/>
        <v>4.35487033816577</v>
      </c>
      <c r="F115" s="3">
        <f t="shared" si="6"/>
        <v>-1.09534065637902</v>
      </c>
      <c r="G115" s="3">
        <f t="shared" si="7"/>
        <v>-3.25384525309401</v>
      </c>
      <c r="H115" s="3">
        <f xml:space="preserve">Monthly_338!G319</f>
        <v>0.913470411551829</v>
      </c>
      <c r="I115" s="5">
        <f t="shared" si="5"/>
        <v>1</v>
      </c>
    </row>
    <row r="116" spans="1:9">
      <c r="A116" t="s">
        <v>371</v>
      </c>
      <c r="B116" t="s">
        <v>398</v>
      </c>
      <c r="C116" s="4">
        <v>42327615904</v>
      </c>
      <c r="D116" s="4">
        <v>183389058277</v>
      </c>
      <c r="E116" s="3">
        <f t="shared" si="4"/>
        <v>4.33261014966991</v>
      </c>
      <c r="F116" s="3">
        <f t="shared" si="6"/>
        <v>-9.29003108586971</v>
      </c>
      <c r="G116" s="3">
        <f t="shared" si="7"/>
        <v>-0.512467043670239</v>
      </c>
      <c r="H116" s="3">
        <f xml:space="preserve">Monthly_338!G320</f>
        <v>3.55052708701766</v>
      </c>
      <c r="I116" s="5">
        <f t="shared" si="5"/>
        <v>1</v>
      </c>
    </row>
    <row r="117" spans="1:9">
      <c r="A117" t="s">
        <v>372</v>
      </c>
      <c r="B117" t="s">
        <v>398</v>
      </c>
      <c r="C117" s="4">
        <v>49089290800</v>
      </c>
      <c r="D117" s="4">
        <v>209433445866</v>
      </c>
      <c r="E117" s="3">
        <f t="shared" si="4"/>
        <v>4.26637750215776</v>
      </c>
      <c r="F117" s="3">
        <f t="shared" si="6"/>
        <v>14.8201169747816</v>
      </c>
      <c r="G117" s="3">
        <f t="shared" si="7"/>
        <v>-1.54050592992745</v>
      </c>
      <c r="H117" s="3">
        <f xml:space="preserve">Monthly_338!G321</f>
        <v>-7.3639010043221</v>
      </c>
      <c r="I117" s="5">
        <f t="shared" si="5"/>
        <v>1</v>
      </c>
    </row>
    <row r="118" spans="1:9">
      <c r="A118" t="s">
        <v>373</v>
      </c>
      <c r="B118" t="s">
        <v>398</v>
      </c>
      <c r="C118" s="4">
        <v>45479193521</v>
      </c>
      <c r="D118" s="4">
        <v>183631078072</v>
      </c>
      <c r="E118" s="3">
        <f t="shared" si="4"/>
        <v>4.03769424774888</v>
      </c>
      <c r="F118" s="3">
        <f t="shared" si="6"/>
        <v>-7.63859649140296</v>
      </c>
      <c r="G118" s="3">
        <f t="shared" si="7"/>
        <v>-5.50913087399591</v>
      </c>
      <c r="H118" s="3">
        <f xml:space="preserve">Monthly_338!G322</f>
        <v>-9.22350819055149</v>
      </c>
      <c r="I118" s="5">
        <f t="shared" si="5"/>
        <v>1</v>
      </c>
    </row>
    <row r="119" spans="1:9">
      <c r="A119" t="s">
        <v>374</v>
      </c>
      <c r="B119" t="s">
        <v>398</v>
      </c>
      <c r="C119" s="4">
        <v>44686281948</v>
      </c>
      <c r="D119" s="4">
        <v>172381831087</v>
      </c>
      <c r="E119" s="3">
        <f t="shared" si="4"/>
        <v>3.85760066786481</v>
      </c>
      <c r="F119" s="3">
        <f t="shared" si="6"/>
        <v>-1.75883731423187</v>
      </c>
      <c r="G119" s="3">
        <f t="shared" si="7"/>
        <v>-4.56283967146678</v>
      </c>
      <c r="H119" s="3">
        <f xml:space="preserve">Monthly_338!G323</f>
        <v>2.32262481677918</v>
      </c>
      <c r="I119" s="5">
        <f t="shared" si="5"/>
        <v>1</v>
      </c>
    </row>
    <row r="120" spans="1:9">
      <c r="A120" t="s">
        <v>375</v>
      </c>
      <c r="B120" t="s">
        <v>398</v>
      </c>
      <c r="C120" s="4">
        <v>48504273602</v>
      </c>
      <c r="D120" s="4">
        <v>187875404839</v>
      </c>
      <c r="E120" s="3">
        <f t="shared" si="4"/>
        <v>3.87337838270921</v>
      </c>
      <c r="F120" s="3">
        <f t="shared" si="6"/>
        <v>8.19853465915968</v>
      </c>
      <c r="G120" s="3">
        <f t="shared" si="7"/>
        <v>0.408169176146654</v>
      </c>
      <c r="H120" s="3">
        <f xml:space="preserve">Monthly_338!G324</f>
        <v>-0.053103508450611</v>
      </c>
      <c r="I120" s="5">
        <f t="shared" si="5"/>
        <v>1</v>
      </c>
    </row>
    <row r="121" spans="1:9">
      <c r="A121" t="s">
        <v>376</v>
      </c>
      <c r="B121" t="s">
        <v>398</v>
      </c>
      <c r="C121" s="4">
        <v>47682537757</v>
      </c>
      <c r="D121" s="4">
        <v>184516375347</v>
      </c>
      <c r="E121" s="3">
        <f t="shared" si="4"/>
        <v>3.86968445948354</v>
      </c>
      <c r="F121" s="3">
        <f t="shared" si="6"/>
        <v>-1.70866634566472</v>
      </c>
      <c r="G121" s="3">
        <f t="shared" si="7"/>
        <v>-0.0954124635480938</v>
      </c>
      <c r="H121" s="3">
        <f xml:space="preserve">Monthly_338!G325</f>
        <v>0.365910451784646</v>
      </c>
      <c r="I121" s="5">
        <f t="shared" si="5"/>
        <v>1</v>
      </c>
    </row>
    <row r="122" spans="1:9">
      <c r="A122" t="s">
        <v>377</v>
      </c>
      <c r="B122" t="s">
        <v>398</v>
      </c>
      <c r="C122" s="4">
        <v>41064542863</v>
      </c>
      <c r="D122" s="4">
        <v>162235447000</v>
      </c>
      <c r="E122" s="3">
        <f t="shared" si="4"/>
        <v>3.95074279875102</v>
      </c>
      <c r="F122" s="3">
        <f t="shared" si="6"/>
        <v>-14.9420201014387</v>
      </c>
      <c r="G122" s="3">
        <f t="shared" si="7"/>
        <v>2.07306428501441</v>
      </c>
      <c r="H122" s="3">
        <f xml:space="preserve">Monthly_338!G326</f>
        <v>7.27464594979759</v>
      </c>
      <c r="I122" s="5">
        <f t="shared" si="5"/>
        <v>1</v>
      </c>
    </row>
    <row r="123" spans="1:9">
      <c r="A123" t="s">
        <v>378</v>
      </c>
      <c r="B123" t="s">
        <v>398</v>
      </c>
      <c r="C123" s="4">
        <v>42660580684</v>
      </c>
      <c r="D123" s="4">
        <v>173716252648</v>
      </c>
      <c r="E123" s="3">
        <f t="shared" si="4"/>
        <v>4.07205551032625</v>
      </c>
      <c r="F123" s="3">
        <f t="shared" si="6"/>
        <v>3.81302797630593</v>
      </c>
      <c r="G123" s="3">
        <f t="shared" si="7"/>
        <v>3.02442998067319</v>
      </c>
      <c r="H123" s="3">
        <f xml:space="preserve">Monthly_338!G327</f>
        <v>-5.25833844318049</v>
      </c>
      <c r="I123" s="5">
        <f t="shared" si="5"/>
        <v>1</v>
      </c>
    </row>
    <row r="124" spans="1:9">
      <c r="A124" t="s">
        <v>379</v>
      </c>
      <c r="B124" t="s">
        <v>398</v>
      </c>
      <c r="C124" s="4">
        <v>51126918527</v>
      </c>
      <c r="D124" s="4">
        <v>203225397326</v>
      </c>
      <c r="E124" s="3">
        <f t="shared" si="4"/>
        <v>3.97491973271726</v>
      </c>
      <c r="F124" s="3">
        <f t="shared" si="6"/>
        <v>18.1035815000691</v>
      </c>
      <c r="G124" s="3">
        <f t="shared" si="7"/>
        <v>-2.41433564819239</v>
      </c>
      <c r="H124" s="3">
        <f xml:space="preserve">Monthly_338!G328</f>
        <v>-3.99026292753748</v>
      </c>
      <c r="I124" s="5">
        <f t="shared" si="5"/>
        <v>1</v>
      </c>
    </row>
    <row r="125" spans="1:9">
      <c r="A125" t="s">
        <v>380</v>
      </c>
      <c r="B125" t="s">
        <v>398</v>
      </c>
      <c r="C125" s="4">
        <v>48042002847</v>
      </c>
      <c r="D125" s="4">
        <v>182140377124</v>
      </c>
      <c r="E125" s="3">
        <f t="shared" si="4"/>
        <v>3.79127360081271</v>
      </c>
      <c r="F125" s="3">
        <f t="shared" si="6"/>
        <v>-6.22354522801676</v>
      </c>
      <c r="G125" s="3">
        <f t="shared" si="7"/>
        <v>-4.73025497997925</v>
      </c>
      <c r="H125" s="3">
        <f xml:space="preserve">Monthly_338!G329</f>
        <v>-5.88053259780887</v>
      </c>
      <c r="I125" s="5">
        <f t="shared" si="5"/>
        <v>1</v>
      </c>
    </row>
    <row r="126" spans="1:9">
      <c r="A126" t="s">
        <v>381</v>
      </c>
      <c r="B126" t="s">
        <v>398</v>
      </c>
      <c r="C126" s="4">
        <v>46571654246</v>
      </c>
      <c r="D126" s="4">
        <v>167926922607</v>
      </c>
      <c r="E126" s="3">
        <f t="shared" si="4"/>
        <v>3.6057753439459</v>
      </c>
      <c r="F126" s="3">
        <f t="shared" si="6"/>
        <v>-3.10836095065372</v>
      </c>
      <c r="G126" s="3">
        <f t="shared" si="7"/>
        <v>-5.01651828602538</v>
      </c>
      <c r="H126" s="3">
        <f xml:space="preserve">Monthly_338!G330</f>
        <v>-6.65798834217609</v>
      </c>
      <c r="I126" s="5">
        <f t="shared" si="5"/>
        <v>1</v>
      </c>
    </row>
    <row r="127" spans="1:9">
      <c r="A127" t="s">
        <v>382</v>
      </c>
      <c r="B127" t="s">
        <v>398</v>
      </c>
      <c r="C127" s="4">
        <v>49878192003</v>
      </c>
      <c r="D127" s="4">
        <v>176514837690</v>
      </c>
      <c r="E127" s="3">
        <f t="shared" si="4"/>
        <v>3.53891812436552</v>
      </c>
      <c r="F127" s="3">
        <f t="shared" si="6"/>
        <v>6.85917951496016</v>
      </c>
      <c r="G127" s="3">
        <f t="shared" si="7"/>
        <v>-1.87157563652459</v>
      </c>
      <c r="H127" s="3">
        <f xml:space="preserve">Monthly_338!G331</f>
        <v>9.79393711353941</v>
      </c>
      <c r="I127" s="5">
        <f t="shared" si="5"/>
        <v>1</v>
      </c>
    </row>
    <row r="128" spans="1:9">
      <c r="A128" t="s">
        <v>383</v>
      </c>
      <c r="B128" t="s">
        <v>398</v>
      </c>
      <c r="C128" s="4">
        <v>47190247145</v>
      </c>
      <c r="D128" s="4">
        <v>172351412607</v>
      </c>
      <c r="E128" s="3">
        <f t="shared" si="4"/>
        <v>3.65226764075681</v>
      </c>
      <c r="F128" s="3">
        <f t="shared" si="6"/>
        <v>-5.5396630265215</v>
      </c>
      <c r="G128" s="3">
        <f t="shared" si="7"/>
        <v>3.15271802753996</v>
      </c>
      <c r="H128" s="3">
        <f xml:space="preserve">Monthly_338!G332</f>
        <v>-0.649261146118697</v>
      </c>
      <c r="I128" s="5">
        <f t="shared" si="5"/>
        <v>1</v>
      </c>
    </row>
    <row r="129" spans="1:9">
      <c r="A129" t="s">
        <v>384</v>
      </c>
      <c r="B129" t="s">
        <v>398</v>
      </c>
      <c r="C129" s="4">
        <v>49186223325</v>
      </c>
      <c r="D129" s="4">
        <v>179055613166</v>
      </c>
      <c r="E129" s="3">
        <f t="shared" si="4"/>
        <v>3.64036108206322</v>
      </c>
      <c r="F129" s="3">
        <f t="shared" si="6"/>
        <v>4.14263276105423</v>
      </c>
      <c r="G129" s="3">
        <f t="shared" si="7"/>
        <v>-0.326537102758451</v>
      </c>
      <c r="H129" s="3">
        <f xml:space="preserve">Monthly_338!G333</f>
        <v>-4.5844153441307</v>
      </c>
      <c r="I129" s="5">
        <f t="shared" si="5"/>
        <v>1</v>
      </c>
    </row>
    <row r="130" spans="1:9">
      <c r="A130" t="s">
        <v>385</v>
      </c>
      <c r="B130" t="s">
        <v>398</v>
      </c>
      <c r="C130" s="4">
        <v>46900939822</v>
      </c>
      <c r="D130" s="4">
        <v>169624107042</v>
      </c>
      <c r="E130" s="3">
        <f t="shared" ref="E130:E135" si="8" xml:space="preserve">D130/C130</f>
        <v>3.61664622682963</v>
      </c>
      <c r="F130" s="3">
        <f t="shared" si="6"/>
        <v>-4.75758564675161</v>
      </c>
      <c r="G130" s="3">
        <f t="shared" si="7"/>
        <v>-0.653573536328641</v>
      </c>
      <c r="H130" s="3">
        <f xml:space="preserve">Monthly_338!G334</f>
        <v>-0.511645026701013</v>
      </c>
      <c r="I130" s="5">
        <f t="shared" ref="I130:I135" si="9" xml:space="preserve">IF(ROW()&gt;=6,1,0)</f>
        <v>1</v>
      </c>
    </row>
    <row r="131" spans="1:9">
      <c r="A131" t="s">
        <v>386</v>
      </c>
      <c r="B131" t="s">
        <v>398</v>
      </c>
      <c r="C131" s="4">
        <v>48336247611</v>
      </c>
      <c r="D131" s="4">
        <v>172850164879</v>
      </c>
      <c r="E131" s="3">
        <f t="shared" si="8"/>
        <v>3.57599469181104</v>
      </c>
      <c r="F131" s="3">
        <f xml:space="preserve">100*LN(C131/C130)</f>
        <v>3.01440332346975</v>
      </c>
      <c r="G131" s="3">
        <f xml:space="preserve">100*LN(E131/E130)</f>
        <v>-1.13037668172657</v>
      </c>
      <c r="H131" s="3">
        <f xml:space="preserve">Monthly_338!G335</f>
        <v>-5.25669011658171</v>
      </c>
      <c r="I131" s="5">
        <f t="shared" si="9"/>
        <v>1</v>
      </c>
    </row>
    <row r="132" spans="1:9">
      <c r="A132" t="s">
        <v>387</v>
      </c>
      <c r="B132" t="s">
        <v>398</v>
      </c>
      <c r="C132" s="4">
        <v>50780289506</v>
      </c>
      <c r="D132" s="4">
        <v>173592426658</v>
      </c>
      <c r="E132" s="3">
        <f t="shared" si="8"/>
        <v>3.41850013748915</v>
      </c>
      <c r="F132" s="3">
        <f xml:space="preserve">100*LN(C132/C131)</f>
        <v>4.9326530107078</v>
      </c>
      <c r="G132" s="3">
        <f xml:space="preserve">100*LN(E132/E131)</f>
        <v>-4.50414743264222</v>
      </c>
      <c r="H132" s="3">
        <f xml:space="preserve">Monthly_338!G336</f>
        <v>-1.33735785857758</v>
      </c>
      <c r="I132" s="5">
        <f t="shared" si="9"/>
        <v>1</v>
      </c>
    </row>
    <row r="133" spans="1:9">
      <c r="A133" t="s">
        <v>388</v>
      </c>
      <c r="B133" t="s">
        <v>398</v>
      </c>
      <c r="C133" s="4">
        <v>55962665042</v>
      </c>
      <c r="D133" s="4">
        <v>189048242379</v>
      </c>
      <c r="E133" s="3">
        <f t="shared" si="8"/>
        <v>3.3781136448223</v>
      </c>
      <c r="F133" s="3">
        <f xml:space="preserve">100*LN(C133/C132)</f>
        <v>9.71764952743379</v>
      </c>
      <c r="G133" s="3">
        <f xml:space="preserve">100*LN(E133/E132)</f>
        <v>-1.18844381357747</v>
      </c>
      <c r="H133" s="3">
        <f xml:space="preserve">Monthly_338!G337</f>
        <v>-2.89503690822238</v>
      </c>
      <c r="I133" s="5">
        <f t="shared" si="9"/>
        <v>1</v>
      </c>
    </row>
    <row r="134" spans="1:9">
      <c r="A134" t="s">
        <v>389</v>
      </c>
      <c r="B134" t="s">
        <v>398</v>
      </c>
      <c r="C134" s="4">
        <v>48888659441</v>
      </c>
      <c r="D134" s="4">
        <v>156102476890</v>
      </c>
      <c r="E134" s="3">
        <f t="shared" si="8"/>
        <v>3.19302019476292</v>
      </c>
      <c r="F134" s="3">
        <f xml:space="preserve">100*LN(C134/C133)</f>
        <v>-13.5139316403385</v>
      </c>
      <c r="G134" s="3">
        <f xml:space="preserve">100*LN(E134/E133)</f>
        <v>-5.6350222043747</v>
      </c>
      <c r="H134" s="3">
        <f xml:space="preserve">Monthly_338!G338</f>
        <v>5.23360537332559</v>
      </c>
      <c r="I134" s="5">
        <f t="shared" si="9"/>
        <v>1</v>
      </c>
    </row>
    <row r="135" spans="1:9">
      <c r="A135" t="s">
        <v>390</v>
      </c>
      <c r="B135" t="s">
        <v>398</v>
      </c>
      <c r="C135" s="4">
        <v>48045363286</v>
      </c>
      <c r="D135" s="4">
        <v>155487504853</v>
      </c>
      <c r="E135" s="3">
        <f t="shared" si="8"/>
        <v>3.23626452624426</v>
      </c>
      <c r="F135" s="3">
        <f xml:space="preserve">100*LN(C135/C134)</f>
        <v>-1.73998232426078</v>
      </c>
      <c r="G135" s="3">
        <f xml:space="preserve">100*LN(E135/E134)</f>
        <v>1.34525022660654</v>
      </c>
      <c r="H135" s="3">
        <f xml:space="preserve">Monthly_338!G339</f>
        <v>5.33728796931455</v>
      </c>
      <c r="I135" s="5">
        <f t="shared" si="9"/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507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14" customWidth="1"/>
    <col min="2" max="2" width="34" customWidth="1"/>
    <col min="3" max="3" width="22" customWidth="1"/>
    <col min="4" max="4" width="13" customWidth="1"/>
    <col min="5" max="6" width="22" customWidth="1"/>
  </cols>
  <sheetData>
    <row r="1" ht="28" customHeight="1" spans="1:6">
      <c r="A1" s="1" t="s">
        <v>33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</row>
    <row r="2" spans="1:6">
      <c r="A2" t="s">
        <v>53</v>
      </c>
      <c r="B2" t="s">
        <v>34</v>
      </c>
      <c r="C2" s="3">
        <v>15.19</v>
      </c>
      <c r="D2">
        <v>1</v>
      </c>
      <c r="E2">
        <v>0</v>
      </c>
      <c r="F2">
        <v>0</v>
      </c>
    </row>
    <row r="3" spans="1:6">
      <c r="A3" t="s">
        <v>53</v>
      </c>
      <c r="B3" t="s">
        <v>35</v>
      </c>
      <c r="C3" s="3">
        <v>8.3094</v>
      </c>
      <c r="D3">
        <v>1</v>
      </c>
      <c r="E3">
        <v>0</v>
      </c>
      <c r="F3">
        <v>0</v>
      </c>
    </row>
    <row r="4" spans="1:6">
      <c r="A4" t="s">
        <v>53</v>
      </c>
      <c r="B4" t="s">
        <v>36</v>
      </c>
      <c r="C4" s="3">
        <v>126.219786</v>
      </c>
      <c r="D4">
        <v>1</v>
      </c>
      <c r="E4">
        <v>0</v>
      </c>
      <c r="F4">
        <v>0</v>
      </c>
    </row>
    <row r="5" spans="1:6">
      <c r="A5" t="s">
        <v>53</v>
      </c>
      <c r="B5" t="s">
        <v>40</v>
      </c>
      <c r="C5" s="3">
        <v>105.9</v>
      </c>
      <c r="D5">
        <v>1</v>
      </c>
      <c r="E5">
        <v>0</v>
      </c>
      <c r="F5">
        <v>0</v>
      </c>
    </row>
    <row r="6" spans="1:6">
      <c r="A6" t="s">
        <v>53</v>
      </c>
      <c r="B6" t="s">
        <v>41</v>
      </c>
      <c r="C6" s="3">
        <v>98.7</v>
      </c>
      <c r="D6">
        <v>1</v>
      </c>
      <c r="E6">
        <v>0</v>
      </c>
      <c r="F6">
        <v>0</v>
      </c>
    </row>
    <row r="7" spans="1:6">
      <c r="A7" t="s">
        <v>53</v>
      </c>
      <c r="B7" t="s">
        <v>42</v>
      </c>
      <c r="C7" s="3">
        <v>100.3</v>
      </c>
      <c r="D7">
        <v>1</v>
      </c>
      <c r="E7">
        <v>0</v>
      </c>
      <c r="F7">
        <v>0</v>
      </c>
    </row>
    <row r="8" spans="1:6">
      <c r="A8" t="s">
        <v>53</v>
      </c>
      <c r="B8" t="s">
        <v>46</v>
      </c>
      <c r="C8" s="3">
        <v>99.6</v>
      </c>
      <c r="D8">
        <v>1</v>
      </c>
      <c r="E8">
        <v>0</v>
      </c>
      <c r="F8">
        <v>0</v>
      </c>
    </row>
    <row r="9" spans="1:6">
      <c r="A9" t="s">
        <v>53</v>
      </c>
      <c r="B9" t="s">
        <v>392</v>
      </c>
      <c r="C9" s="3"/>
      <c r="D9">
        <v>0</v>
      </c>
      <c r="E9">
        <v>0</v>
      </c>
      <c r="F9">
        <v>0</v>
      </c>
    </row>
    <row r="10" spans="1:6">
      <c r="A10" t="s">
        <v>53</v>
      </c>
      <c r="B10" t="s">
        <v>393</v>
      </c>
      <c r="C10" s="3"/>
      <c r="D10">
        <v>0</v>
      </c>
      <c r="E10">
        <v>0</v>
      </c>
      <c r="F10">
        <v>0</v>
      </c>
    </row>
    <row r="11" spans="1:6">
      <c r="A11" t="s">
        <v>53</v>
      </c>
      <c r="B11" t="s">
        <v>394</v>
      </c>
      <c r="C11" s="3"/>
      <c r="D11">
        <v>0</v>
      </c>
      <c r="E11">
        <v>0</v>
      </c>
      <c r="F11">
        <v>0</v>
      </c>
    </row>
    <row r="12" spans="1:6">
      <c r="A12" t="s">
        <v>53</v>
      </c>
      <c r="B12" t="s">
        <v>39</v>
      </c>
      <c r="C12" s="3"/>
      <c r="D12">
        <v>0</v>
      </c>
      <c r="E12">
        <v>0</v>
      </c>
      <c r="F12">
        <v>0</v>
      </c>
    </row>
    <row r="13" spans="1:6">
      <c r="A13" t="s">
        <v>53</v>
      </c>
      <c r="B13" t="s">
        <v>43</v>
      </c>
      <c r="C13" s="3"/>
      <c r="D13">
        <v>0</v>
      </c>
      <c r="E13">
        <v>0</v>
      </c>
      <c r="F13">
        <v>0</v>
      </c>
    </row>
    <row r="14" spans="1:6">
      <c r="A14" t="s">
        <v>53</v>
      </c>
      <c r="B14" t="s">
        <v>44</v>
      </c>
      <c r="C14" s="3"/>
      <c r="D14">
        <v>0</v>
      </c>
      <c r="E14">
        <v>0</v>
      </c>
      <c r="F14">
        <v>0</v>
      </c>
    </row>
    <row r="15" spans="1:6">
      <c r="A15" t="s">
        <v>53</v>
      </c>
      <c r="B15" t="s">
        <v>45</v>
      </c>
      <c r="C15" s="3"/>
      <c r="D15">
        <v>0</v>
      </c>
      <c r="E15">
        <v>0</v>
      </c>
      <c r="F15">
        <v>0</v>
      </c>
    </row>
    <row r="16" spans="1:6">
      <c r="A16" t="s">
        <v>53</v>
      </c>
      <c r="B16" t="s">
        <v>396</v>
      </c>
      <c r="C16" s="3"/>
      <c r="D16">
        <v>0</v>
      </c>
      <c r="E16">
        <v>0</v>
      </c>
      <c r="F16">
        <v>0</v>
      </c>
    </row>
    <row r="17" spans="1:6">
      <c r="A17" t="s">
        <v>54</v>
      </c>
      <c r="B17" t="s">
        <v>34</v>
      </c>
      <c r="C17" s="3">
        <v>14.07</v>
      </c>
      <c r="D17">
        <v>1</v>
      </c>
      <c r="E17">
        <v>0</v>
      </c>
      <c r="F17">
        <v>0</v>
      </c>
    </row>
    <row r="18" spans="1:6">
      <c r="A18" t="s">
        <v>54</v>
      </c>
      <c r="B18" t="s">
        <v>35</v>
      </c>
      <c r="C18" s="3">
        <v>8.3072</v>
      </c>
      <c r="D18">
        <v>1</v>
      </c>
      <c r="E18">
        <v>0</v>
      </c>
      <c r="F18">
        <v>0</v>
      </c>
    </row>
    <row r="19" spans="1:6">
      <c r="A19" t="s">
        <v>54</v>
      </c>
      <c r="B19" t="s">
        <v>36</v>
      </c>
      <c r="C19" s="3">
        <v>116.882304</v>
      </c>
      <c r="D19">
        <v>1</v>
      </c>
      <c r="E19">
        <v>0</v>
      </c>
      <c r="F19">
        <v>0</v>
      </c>
    </row>
    <row r="20" spans="1:6">
      <c r="A20" t="s">
        <v>54</v>
      </c>
      <c r="B20" t="s">
        <v>40</v>
      </c>
      <c r="C20" s="3">
        <v>101.5</v>
      </c>
      <c r="D20">
        <v>1</v>
      </c>
      <c r="E20">
        <v>0</v>
      </c>
      <c r="F20">
        <v>0</v>
      </c>
    </row>
    <row r="21" spans="1:6">
      <c r="A21" t="s">
        <v>54</v>
      </c>
      <c r="B21" t="s">
        <v>41</v>
      </c>
      <c r="C21" s="3">
        <v>97.4</v>
      </c>
      <c r="D21">
        <v>1</v>
      </c>
      <c r="E21">
        <v>0</v>
      </c>
      <c r="F21">
        <v>0</v>
      </c>
    </row>
    <row r="22" spans="1:6">
      <c r="A22" t="s">
        <v>54</v>
      </c>
      <c r="B22" t="s">
        <v>42</v>
      </c>
      <c r="C22" s="3">
        <v>99.9</v>
      </c>
      <c r="D22">
        <v>1</v>
      </c>
      <c r="E22">
        <v>0</v>
      </c>
      <c r="F22">
        <v>0</v>
      </c>
    </row>
    <row r="23" spans="1:6">
      <c r="A23" t="s">
        <v>54</v>
      </c>
      <c r="B23" t="s">
        <v>46</v>
      </c>
      <c r="C23" s="3">
        <v>98.3</v>
      </c>
      <c r="D23">
        <v>1</v>
      </c>
      <c r="E23">
        <v>0</v>
      </c>
      <c r="F23">
        <v>0</v>
      </c>
    </row>
    <row r="24" spans="1:6">
      <c r="A24" t="s">
        <v>54</v>
      </c>
      <c r="B24" t="s">
        <v>392</v>
      </c>
      <c r="C24" s="3"/>
      <c r="D24">
        <v>0</v>
      </c>
      <c r="E24">
        <v>0</v>
      </c>
      <c r="F24">
        <v>0</v>
      </c>
    </row>
    <row r="25" spans="1:6">
      <c r="A25" t="s">
        <v>54</v>
      </c>
      <c r="B25" t="s">
        <v>393</v>
      </c>
      <c r="C25" s="3"/>
      <c r="D25">
        <v>0</v>
      </c>
      <c r="E25">
        <v>0</v>
      </c>
      <c r="F25">
        <v>0</v>
      </c>
    </row>
    <row r="26" spans="1:6">
      <c r="A26" t="s">
        <v>54</v>
      </c>
      <c r="B26" t="s">
        <v>394</v>
      </c>
      <c r="C26" s="3"/>
      <c r="D26">
        <v>0</v>
      </c>
      <c r="E26">
        <v>0</v>
      </c>
      <c r="F26">
        <v>0</v>
      </c>
    </row>
    <row r="27" spans="1:6">
      <c r="A27" t="s">
        <v>54</v>
      </c>
      <c r="B27" t="s">
        <v>39</v>
      </c>
      <c r="C27" s="3">
        <v>-7.68572409284493</v>
      </c>
      <c r="D27">
        <v>1</v>
      </c>
      <c r="E27">
        <v>0</v>
      </c>
      <c r="F27">
        <v>0</v>
      </c>
    </row>
    <row r="28" spans="1:6">
      <c r="A28" t="s">
        <v>54</v>
      </c>
      <c r="B28" t="s">
        <v>43</v>
      </c>
      <c r="C28" s="3">
        <v>-4.40000000000001</v>
      </c>
      <c r="D28">
        <v>1</v>
      </c>
      <c r="E28">
        <v>0</v>
      </c>
      <c r="F28">
        <v>0</v>
      </c>
    </row>
    <row r="29" spans="1:6">
      <c r="A29" t="s">
        <v>54</v>
      </c>
      <c r="B29" t="s">
        <v>44</v>
      </c>
      <c r="C29" s="3">
        <v>-1.3</v>
      </c>
      <c r="D29">
        <v>1</v>
      </c>
      <c r="E29">
        <v>0</v>
      </c>
      <c r="F29">
        <v>0</v>
      </c>
    </row>
    <row r="30" spans="1:6">
      <c r="A30" t="s">
        <v>54</v>
      </c>
      <c r="B30" t="s">
        <v>45</v>
      </c>
      <c r="C30" s="3">
        <v>-0.399999999999991</v>
      </c>
      <c r="D30">
        <v>1</v>
      </c>
      <c r="E30">
        <v>0</v>
      </c>
      <c r="F30">
        <v>0</v>
      </c>
    </row>
    <row r="31" spans="1:6">
      <c r="A31" t="s">
        <v>54</v>
      </c>
      <c r="B31" t="s">
        <v>396</v>
      </c>
      <c r="C31" s="3"/>
      <c r="D31">
        <v>0</v>
      </c>
      <c r="E31">
        <v>0</v>
      </c>
      <c r="F31">
        <v>0</v>
      </c>
    </row>
    <row r="32" spans="1:6">
      <c r="A32" t="s">
        <v>55</v>
      </c>
      <c r="B32" t="s">
        <v>34</v>
      </c>
      <c r="C32" s="3">
        <v>13.1</v>
      </c>
      <c r="D32">
        <v>1</v>
      </c>
      <c r="E32">
        <v>0</v>
      </c>
      <c r="F32">
        <v>0</v>
      </c>
    </row>
    <row r="33" spans="1:6">
      <c r="A33" t="s">
        <v>55</v>
      </c>
      <c r="B33" t="s">
        <v>35</v>
      </c>
      <c r="C33" s="3">
        <v>8.3076</v>
      </c>
      <c r="D33">
        <v>1</v>
      </c>
      <c r="E33">
        <v>0</v>
      </c>
      <c r="F33">
        <v>0</v>
      </c>
    </row>
    <row r="34" spans="1:6">
      <c r="A34" t="s">
        <v>55</v>
      </c>
      <c r="B34" t="s">
        <v>36</v>
      </c>
      <c r="C34" s="3">
        <v>108.82956</v>
      </c>
      <c r="D34">
        <v>1</v>
      </c>
      <c r="E34">
        <v>0</v>
      </c>
      <c r="F34">
        <v>0</v>
      </c>
    </row>
    <row r="35" spans="1:6">
      <c r="A35" t="s">
        <v>55</v>
      </c>
      <c r="B35" t="s">
        <v>40</v>
      </c>
      <c r="C35" s="3">
        <v>100.7</v>
      </c>
      <c r="D35">
        <v>1</v>
      </c>
      <c r="E35">
        <v>0</v>
      </c>
      <c r="F35">
        <v>0</v>
      </c>
    </row>
    <row r="36" spans="1:6">
      <c r="A36" t="s">
        <v>55</v>
      </c>
      <c r="B36" t="s">
        <v>41</v>
      </c>
      <c r="C36" s="3">
        <v>96.8</v>
      </c>
      <c r="D36">
        <v>1</v>
      </c>
      <c r="E36">
        <v>0</v>
      </c>
      <c r="F36">
        <v>0</v>
      </c>
    </row>
    <row r="37" spans="1:6">
      <c r="A37" t="s">
        <v>55</v>
      </c>
      <c r="B37" t="s">
        <v>42</v>
      </c>
      <c r="C37" s="3">
        <v>100.7</v>
      </c>
      <c r="D37">
        <v>1</v>
      </c>
      <c r="E37">
        <v>0</v>
      </c>
      <c r="F37">
        <v>0</v>
      </c>
    </row>
    <row r="38" spans="1:6">
      <c r="A38" t="s">
        <v>55</v>
      </c>
      <c r="B38" t="s">
        <v>46</v>
      </c>
      <c r="C38" s="3">
        <v>97.7</v>
      </c>
      <c r="D38">
        <v>1</v>
      </c>
      <c r="E38">
        <v>0</v>
      </c>
      <c r="F38">
        <v>0</v>
      </c>
    </row>
    <row r="39" spans="1:6">
      <c r="A39" t="s">
        <v>55</v>
      </c>
      <c r="B39" t="s">
        <v>392</v>
      </c>
      <c r="C39" s="3"/>
      <c r="D39">
        <v>0</v>
      </c>
      <c r="E39">
        <v>0</v>
      </c>
      <c r="F39">
        <v>0</v>
      </c>
    </row>
    <row r="40" spans="1:6">
      <c r="A40" t="s">
        <v>55</v>
      </c>
      <c r="B40" t="s">
        <v>393</v>
      </c>
      <c r="C40" s="3"/>
      <c r="D40">
        <v>0</v>
      </c>
      <c r="E40">
        <v>0</v>
      </c>
      <c r="F40">
        <v>0</v>
      </c>
    </row>
    <row r="41" spans="1:6">
      <c r="A41" t="s">
        <v>55</v>
      </c>
      <c r="B41" t="s">
        <v>394</v>
      </c>
      <c r="C41" s="3"/>
      <c r="D41">
        <v>0</v>
      </c>
      <c r="E41">
        <v>0</v>
      </c>
      <c r="F41">
        <v>0</v>
      </c>
    </row>
    <row r="42" spans="1:6">
      <c r="A42" t="s">
        <v>55</v>
      </c>
      <c r="B42" t="s">
        <v>39</v>
      </c>
      <c r="C42" s="3">
        <v>-7.13844910768733</v>
      </c>
      <c r="D42">
        <v>1</v>
      </c>
      <c r="E42">
        <v>0</v>
      </c>
      <c r="F42">
        <v>0</v>
      </c>
    </row>
    <row r="43" spans="1:6">
      <c r="A43" t="s">
        <v>55</v>
      </c>
      <c r="B43" t="s">
        <v>43</v>
      </c>
      <c r="C43" s="3">
        <v>-0.799999999999997</v>
      </c>
      <c r="D43">
        <v>1</v>
      </c>
      <c r="E43">
        <v>0</v>
      </c>
      <c r="F43">
        <v>0</v>
      </c>
    </row>
    <row r="44" spans="1:6">
      <c r="A44" t="s">
        <v>55</v>
      </c>
      <c r="B44" t="s">
        <v>44</v>
      </c>
      <c r="C44" s="3">
        <v>-0.600000000000009</v>
      </c>
      <c r="D44">
        <v>1</v>
      </c>
      <c r="E44">
        <v>0</v>
      </c>
      <c r="F44">
        <v>0</v>
      </c>
    </row>
    <row r="45" spans="1:6">
      <c r="A45" t="s">
        <v>55</v>
      </c>
      <c r="B45" t="s">
        <v>45</v>
      </c>
      <c r="C45" s="3">
        <v>0.799999999999997</v>
      </c>
      <c r="D45">
        <v>1</v>
      </c>
      <c r="E45">
        <v>0</v>
      </c>
      <c r="F45">
        <v>0</v>
      </c>
    </row>
    <row r="46" spans="1:6">
      <c r="A46" t="s">
        <v>55</v>
      </c>
      <c r="B46" t="s">
        <v>396</v>
      </c>
      <c r="C46" s="3"/>
      <c r="D46">
        <v>0</v>
      </c>
      <c r="E46">
        <v>0</v>
      </c>
      <c r="F46">
        <v>0</v>
      </c>
    </row>
    <row r="47" spans="1:6">
      <c r="A47" t="s">
        <v>56</v>
      </c>
      <c r="B47" t="s">
        <v>34</v>
      </c>
      <c r="C47" s="3">
        <v>13.53</v>
      </c>
      <c r="D47">
        <v>1</v>
      </c>
      <c r="E47">
        <v>1</v>
      </c>
      <c r="F47">
        <v>1</v>
      </c>
    </row>
    <row r="48" spans="1:6">
      <c r="A48" t="s">
        <v>56</v>
      </c>
      <c r="B48" t="s">
        <v>35</v>
      </c>
      <c r="C48" s="3">
        <v>8.3058</v>
      </c>
      <c r="D48">
        <v>1</v>
      </c>
      <c r="E48">
        <v>1</v>
      </c>
      <c r="F48">
        <v>1</v>
      </c>
    </row>
    <row r="49" spans="1:6">
      <c r="A49" t="s">
        <v>56</v>
      </c>
      <c r="B49" t="s">
        <v>36</v>
      </c>
      <c r="C49" s="3">
        <v>112.377474</v>
      </c>
      <c r="D49">
        <v>1</v>
      </c>
      <c r="E49">
        <v>1</v>
      </c>
      <c r="F49">
        <v>1</v>
      </c>
    </row>
    <row r="50" spans="1:6">
      <c r="A50" t="s">
        <v>56</v>
      </c>
      <c r="B50" t="s">
        <v>40</v>
      </c>
      <c r="C50" s="3">
        <v>100.3</v>
      </c>
      <c r="D50">
        <v>1</v>
      </c>
      <c r="E50">
        <v>1</v>
      </c>
      <c r="F50">
        <v>1</v>
      </c>
    </row>
    <row r="51" spans="1:6">
      <c r="A51" t="s">
        <v>56</v>
      </c>
      <c r="B51" t="s">
        <v>41</v>
      </c>
      <c r="C51" s="3">
        <v>96.3</v>
      </c>
      <c r="D51">
        <v>1</v>
      </c>
      <c r="E51">
        <v>1</v>
      </c>
      <c r="F51">
        <v>1</v>
      </c>
    </row>
    <row r="52" spans="1:6">
      <c r="A52" t="s">
        <v>56</v>
      </c>
      <c r="B52" t="s">
        <v>42</v>
      </c>
      <c r="C52" s="3">
        <v>99.7</v>
      </c>
      <c r="D52">
        <v>1</v>
      </c>
      <c r="E52">
        <v>1</v>
      </c>
      <c r="F52">
        <v>1</v>
      </c>
    </row>
    <row r="53" spans="1:6">
      <c r="A53" t="s">
        <v>56</v>
      </c>
      <c r="B53" t="s">
        <v>46</v>
      </c>
      <c r="C53" s="3">
        <v>97.3</v>
      </c>
      <c r="D53">
        <v>1</v>
      </c>
      <c r="E53">
        <v>1</v>
      </c>
      <c r="F53">
        <v>1</v>
      </c>
    </row>
    <row r="54" spans="1:6">
      <c r="A54" t="s">
        <v>56</v>
      </c>
      <c r="B54" t="s">
        <v>392</v>
      </c>
      <c r="C54" s="3"/>
      <c r="D54">
        <v>0</v>
      </c>
      <c r="E54">
        <v>1</v>
      </c>
      <c r="F54">
        <v>1</v>
      </c>
    </row>
    <row r="55" spans="1:6">
      <c r="A55" t="s">
        <v>56</v>
      </c>
      <c r="B55" t="s">
        <v>393</v>
      </c>
      <c r="C55" s="3"/>
      <c r="D55">
        <v>0</v>
      </c>
      <c r="E55">
        <v>1</v>
      </c>
      <c r="F55">
        <v>1</v>
      </c>
    </row>
    <row r="56" spans="1:6">
      <c r="A56" t="s">
        <v>56</v>
      </c>
      <c r="B56" t="s">
        <v>394</v>
      </c>
      <c r="C56" s="3"/>
      <c r="D56">
        <v>0</v>
      </c>
      <c r="E56">
        <v>1</v>
      </c>
      <c r="F56">
        <v>1</v>
      </c>
    </row>
    <row r="57" spans="1:6">
      <c r="A57" t="s">
        <v>56</v>
      </c>
      <c r="B57" t="s">
        <v>39</v>
      </c>
      <c r="C57" s="3">
        <v>3.20805194253549</v>
      </c>
      <c r="D57">
        <v>1</v>
      </c>
      <c r="E57">
        <v>1</v>
      </c>
      <c r="F57">
        <v>1</v>
      </c>
    </row>
    <row r="58" spans="1:6">
      <c r="A58" t="s">
        <v>56</v>
      </c>
      <c r="B58" t="s">
        <v>43</v>
      </c>
      <c r="C58" s="3">
        <v>-0.400000000000006</v>
      </c>
      <c r="D58">
        <v>1</v>
      </c>
      <c r="E58">
        <v>1</v>
      </c>
      <c r="F58">
        <v>1</v>
      </c>
    </row>
    <row r="59" spans="1:6">
      <c r="A59" t="s">
        <v>56</v>
      </c>
      <c r="B59" t="s">
        <v>44</v>
      </c>
      <c r="C59" s="3">
        <v>-0.5</v>
      </c>
      <c r="D59">
        <v>1</v>
      </c>
      <c r="E59">
        <v>1</v>
      </c>
      <c r="F59">
        <v>1</v>
      </c>
    </row>
    <row r="60" spans="1:6">
      <c r="A60" t="s">
        <v>56</v>
      </c>
      <c r="B60" t="s">
        <v>45</v>
      </c>
      <c r="C60" s="3">
        <v>-1</v>
      </c>
      <c r="D60">
        <v>1</v>
      </c>
      <c r="E60">
        <v>1</v>
      </c>
      <c r="F60">
        <v>1</v>
      </c>
    </row>
    <row r="61" spans="1:6">
      <c r="A61" t="s">
        <v>56</v>
      </c>
      <c r="B61" t="s">
        <v>396</v>
      </c>
      <c r="C61" s="3"/>
      <c r="D61">
        <v>0</v>
      </c>
      <c r="E61">
        <v>1</v>
      </c>
      <c r="F61">
        <v>1</v>
      </c>
    </row>
    <row r="62" spans="1:6">
      <c r="A62" t="s">
        <v>57</v>
      </c>
      <c r="B62" t="s">
        <v>34</v>
      </c>
      <c r="C62" s="3">
        <v>14.36</v>
      </c>
      <c r="D62">
        <v>1</v>
      </c>
      <c r="E62">
        <v>1</v>
      </c>
      <c r="F62">
        <v>1</v>
      </c>
    </row>
    <row r="63" spans="1:6">
      <c r="A63" t="s">
        <v>57</v>
      </c>
      <c r="B63" t="s">
        <v>35</v>
      </c>
      <c r="C63" s="3">
        <v>8.3084</v>
      </c>
      <c r="D63">
        <v>1</v>
      </c>
      <c r="E63">
        <v>1</v>
      </c>
      <c r="F63">
        <v>1</v>
      </c>
    </row>
    <row r="64" spans="1:6">
      <c r="A64" t="s">
        <v>57</v>
      </c>
      <c r="B64" t="s">
        <v>36</v>
      </c>
      <c r="C64" s="3">
        <v>119.308624</v>
      </c>
      <c r="D64">
        <v>1</v>
      </c>
      <c r="E64">
        <v>1</v>
      </c>
      <c r="F64">
        <v>1</v>
      </c>
    </row>
    <row r="65" spans="1:6">
      <c r="A65" t="s">
        <v>57</v>
      </c>
      <c r="B65" t="s">
        <v>40</v>
      </c>
      <c r="C65" s="3">
        <v>98.4</v>
      </c>
      <c r="D65">
        <v>1</v>
      </c>
      <c r="E65">
        <v>1</v>
      </c>
      <c r="F65">
        <v>1</v>
      </c>
    </row>
    <row r="66" spans="1:6">
      <c r="A66" t="s">
        <v>57</v>
      </c>
      <c r="B66" t="s">
        <v>41</v>
      </c>
      <c r="C66" s="3">
        <v>95.5</v>
      </c>
      <c r="D66">
        <v>1</v>
      </c>
      <c r="E66">
        <v>1</v>
      </c>
      <c r="F66">
        <v>1</v>
      </c>
    </row>
    <row r="67" spans="1:6">
      <c r="A67" t="s">
        <v>57</v>
      </c>
      <c r="B67" t="s">
        <v>42</v>
      </c>
      <c r="C67" s="3">
        <v>99</v>
      </c>
      <c r="D67">
        <v>1</v>
      </c>
      <c r="E67">
        <v>1</v>
      </c>
      <c r="F67">
        <v>1</v>
      </c>
    </row>
    <row r="68" spans="1:6">
      <c r="A68" t="s">
        <v>57</v>
      </c>
      <c r="B68" t="s">
        <v>46</v>
      </c>
      <c r="C68" s="3">
        <v>94.7</v>
      </c>
      <c r="D68">
        <v>1</v>
      </c>
      <c r="E68">
        <v>1</v>
      </c>
      <c r="F68">
        <v>1</v>
      </c>
    </row>
    <row r="69" spans="1:6">
      <c r="A69" t="s">
        <v>57</v>
      </c>
      <c r="B69" t="s">
        <v>392</v>
      </c>
      <c r="C69" s="3"/>
      <c r="D69">
        <v>0</v>
      </c>
      <c r="E69">
        <v>1</v>
      </c>
      <c r="F69">
        <v>1</v>
      </c>
    </row>
    <row r="70" spans="1:6">
      <c r="A70" t="s">
        <v>57</v>
      </c>
      <c r="B70" t="s">
        <v>393</v>
      </c>
      <c r="C70" s="3"/>
      <c r="D70">
        <v>0</v>
      </c>
      <c r="E70">
        <v>1</v>
      </c>
      <c r="F70">
        <v>1</v>
      </c>
    </row>
    <row r="71" spans="1:6">
      <c r="A71" t="s">
        <v>57</v>
      </c>
      <c r="B71" t="s">
        <v>394</v>
      </c>
      <c r="C71" s="3"/>
      <c r="D71">
        <v>0</v>
      </c>
      <c r="E71">
        <v>1</v>
      </c>
      <c r="F71">
        <v>1</v>
      </c>
    </row>
    <row r="72" spans="1:6">
      <c r="A72" t="s">
        <v>57</v>
      </c>
      <c r="B72" t="s">
        <v>39</v>
      </c>
      <c r="C72" s="3">
        <v>5.98501067175906</v>
      </c>
      <c r="D72">
        <v>1</v>
      </c>
      <c r="E72">
        <v>1</v>
      </c>
      <c r="F72">
        <v>1</v>
      </c>
    </row>
    <row r="73" spans="1:6">
      <c r="A73" t="s">
        <v>57</v>
      </c>
      <c r="B73" t="s">
        <v>43</v>
      </c>
      <c r="C73" s="3">
        <v>-1.89999999999999</v>
      </c>
      <c r="D73">
        <v>1</v>
      </c>
      <c r="E73">
        <v>1</v>
      </c>
      <c r="F73">
        <v>1</v>
      </c>
    </row>
    <row r="74" spans="1:6">
      <c r="A74" t="s">
        <v>57</v>
      </c>
      <c r="B74" t="s">
        <v>44</v>
      </c>
      <c r="C74" s="3">
        <v>-0.799999999999997</v>
      </c>
      <c r="D74">
        <v>1</v>
      </c>
      <c r="E74">
        <v>1</v>
      </c>
      <c r="F74">
        <v>1</v>
      </c>
    </row>
    <row r="75" spans="1:6">
      <c r="A75" t="s">
        <v>57</v>
      </c>
      <c r="B75" t="s">
        <v>45</v>
      </c>
      <c r="C75" s="3">
        <v>-0.700000000000003</v>
      </c>
      <c r="D75">
        <v>1</v>
      </c>
      <c r="E75">
        <v>1</v>
      </c>
      <c r="F75">
        <v>1</v>
      </c>
    </row>
    <row r="76" spans="1:6">
      <c r="A76" t="s">
        <v>57</v>
      </c>
      <c r="B76" t="s">
        <v>396</v>
      </c>
      <c r="C76" s="3"/>
      <c r="D76">
        <v>0</v>
      </c>
      <c r="E76">
        <v>1</v>
      </c>
      <c r="F76">
        <v>1</v>
      </c>
    </row>
    <row r="77" spans="1:6">
      <c r="A77" t="s">
        <v>58</v>
      </c>
      <c r="B77" t="s">
        <v>34</v>
      </c>
      <c r="C77" s="3">
        <v>12.21</v>
      </c>
      <c r="D77">
        <v>1</v>
      </c>
      <c r="E77">
        <v>1</v>
      </c>
      <c r="F77">
        <v>1</v>
      </c>
    </row>
    <row r="78" spans="1:6">
      <c r="A78" t="s">
        <v>58</v>
      </c>
      <c r="B78" t="s">
        <v>35</v>
      </c>
      <c r="C78" s="3">
        <v>8.31</v>
      </c>
      <c r="D78">
        <v>1</v>
      </c>
      <c r="E78">
        <v>1</v>
      </c>
      <c r="F78">
        <v>1</v>
      </c>
    </row>
    <row r="79" spans="1:6">
      <c r="A79" t="s">
        <v>58</v>
      </c>
      <c r="B79" t="s">
        <v>36</v>
      </c>
      <c r="C79" s="3">
        <v>101.4651</v>
      </c>
      <c r="D79">
        <v>1</v>
      </c>
      <c r="E79">
        <v>1</v>
      </c>
      <c r="F79">
        <v>1</v>
      </c>
    </row>
    <row r="80" spans="1:6">
      <c r="A80" t="s">
        <v>58</v>
      </c>
      <c r="B80" t="s">
        <v>40</v>
      </c>
      <c r="C80" s="3">
        <v>98.4</v>
      </c>
      <c r="D80">
        <v>1</v>
      </c>
      <c r="E80">
        <v>1</v>
      </c>
      <c r="F80">
        <v>1</v>
      </c>
    </row>
    <row r="81" spans="1:6">
      <c r="A81" t="s">
        <v>58</v>
      </c>
      <c r="B81" t="s">
        <v>41</v>
      </c>
      <c r="C81" s="3">
        <v>95.1</v>
      </c>
      <c r="D81">
        <v>1</v>
      </c>
      <c r="E81">
        <v>1</v>
      </c>
      <c r="F81">
        <v>1</v>
      </c>
    </row>
    <row r="82" spans="1:6">
      <c r="A82" t="s">
        <v>58</v>
      </c>
      <c r="B82" t="s">
        <v>42</v>
      </c>
      <c r="C82" s="3">
        <v>98.7</v>
      </c>
      <c r="D82">
        <v>1</v>
      </c>
      <c r="E82">
        <v>1</v>
      </c>
      <c r="F82">
        <v>1</v>
      </c>
    </row>
    <row r="83" spans="1:6">
      <c r="A83" t="s">
        <v>58</v>
      </c>
      <c r="B83" t="s">
        <v>46</v>
      </c>
      <c r="C83" s="3">
        <v>94.8</v>
      </c>
      <c r="D83">
        <v>1</v>
      </c>
      <c r="E83">
        <v>1</v>
      </c>
      <c r="F83">
        <v>1</v>
      </c>
    </row>
    <row r="84" spans="1:6">
      <c r="A84" t="s">
        <v>58</v>
      </c>
      <c r="B84" t="s">
        <v>392</v>
      </c>
      <c r="C84" s="3"/>
      <c r="D84">
        <v>0</v>
      </c>
      <c r="E84">
        <v>1</v>
      </c>
      <c r="F84">
        <v>1</v>
      </c>
    </row>
    <row r="85" spans="1:6">
      <c r="A85" t="s">
        <v>58</v>
      </c>
      <c r="B85" t="s">
        <v>393</v>
      </c>
      <c r="C85" s="3"/>
      <c r="D85">
        <v>0</v>
      </c>
      <c r="E85">
        <v>1</v>
      </c>
      <c r="F85">
        <v>1</v>
      </c>
    </row>
    <row r="86" spans="1:6">
      <c r="A86" t="s">
        <v>58</v>
      </c>
      <c r="B86" t="s">
        <v>394</v>
      </c>
      <c r="C86" s="3"/>
      <c r="D86">
        <v>0</v>
      </c>
      <c r="E86">
        <v>1</v>
      </c>
      <c r="F86">
        <v>1</v>
      </c>
    </row>
    <row r="87" spans="1:6">
      <c r="A87" t="s">
        <v>58</v>
      </c>
      <c r="B87" t="s">
        <v>39</v>
      </c>
      <c r="C87" s="3">
        <v>-16.1998717849924</v>
      </c>
      <c r="D87">
        <v>1</v>
      </c>
      <c r="E87">
        <v>1</v>
      </c>
      <c r="F87">
        <v>1</v>
      </c>
    </row>
    <row r="88" spans="1:6">
      <c r="A88" t="s">
        <v>58</v>
      </c>
      <c r="B88" t="s">
        <v>43</v>
      </c>
      <c r="C88" s="3">
        <v>0</v>
      </c>
      <c r="D88">
        <v>1</v>
      </c>
      <c r="E88">
        <v>1</v>
      </c>
      <c r="F88">
        <v>1</v>
      </c>
    </row>
    <row r="89" spans="1:6">
      <c r="A89" t="s">
        <v>58</v>
      </c>
      <c r="B89" t="s">
        <v>44</v>
      </c>
      <c r="C89" s="3">
        <v>-0.400000000000006</v>
      </c>
      <c r="D89">
        <v>1</v>
      </c>
      <c r="E89">
        <v>1</v>
      </c>
      <c r="F89">
        <v>1</v>
      </c>
    </row>
    <row r="90" spans="1:6">
      <c r="A90" t="s">
        <v>58</v>
      </c>
      <c r="B90" t="s">
        <v>45</v>
      </c>
      <c r="C90" s="3">
        <v>-0.299999999999997</v>
      </c>
      <c r="D90">
        <v>1</v>
      </c>
      <c r="E90">
        <v>1</v>
      </c>
      <c r="F90">
        <v>1</v>
      </c>
    </row>
    <row r="91" spans="1:6">
      <c r="A91" t="s">
        <v>58</v>
      </c>
      <c r="B91" t="s">
        <v>396</v>
      </c>
      <c r="C91" s="3"/>
      <c r="D91">
        <v>0</v>
      </c>
      <c r="E91">
        <v>1</v>
      </c>
      <c r="F91">
        <v>1</v>
      </c>
    </row>
    <row r="92" spans="1:6">
      <c r="A92" t="s">
        <v>59</v>
      </c>
      <c r="B92" t="s">
        <v>34</v>
      </c>
      <c r="C92" s="3">
        <v>12.08</v>
      </c>
      <c r="D92">
        <v>1</v>
      </c>
      <c r="E92">
        <v>1</v>
      </c>
      <c r="F92">
        <v>1</v>
      </c>
    </row>
    <row r="93" spans="1:6">
      <c r="A93" t="s">
        <v>59</v>
      </c>
      <c r="B93" t="s">
        <v>35</v>
      </c>
      <c r="C93" s="3">
        <v>8.31</v>
      </c>
      <c r="D93">
        <v>1</v>
      </c>
      <c r="E93">
        <v>1</v>
      </c>
      <c r="F93">
        <v>1</v>
      </c>
    </row>
    <row r="94" spans="1:6">
      <c r="A94" t="s">
        <v>59</v>
      </c>
      <c r="B94" t="s">
        <v>36</v>
      </c>
      <c r="C94" s="3">
        <v>100.3848</v>
      </c>
      <c r="D94">
        <v>1</v>
      </c>
      <c r="E94">
        <v>1</v>
      </c>
      <c r="F94">
        <v>1</v>
      </c>
    </row>
    <row r="95" spans="1:6">
      <c r="A95" t="s">
        <v>59</v>
      </c>
      <c r="B95" t="s">
        <v>40</v>
      </c>
      <c r="C95" s="3">
        <v>95.8</v>
      </c>
      <c r="D95">
        <v>1</v>
      </c>
      <c r="E95">
        <v>1</v>
      </c>
      <c r="F95">
        <v>1</v>
      </c>
    </row>
    <row r="96" spans="1:6">
      <c r="A96" t="s">
        <v>59</v>
      </c>
      <c r="B96" t="s">
        <v>41</v>
      </c>
      <c r="C96" s="3">
        <v>95</v>
      </c>
      <c r="D96">
        <v>1</v>
      </c>
      <c r="E96">
        <v>1</v>
      </c>
      <c r="F96">
        <v>1</v>
      </c>
    </row>
    <row r="97" spans="1:6">
      <c r="A97" t="s">
        <v>59</v>
      </c>
      <c r="B97" t="s">
        <v>42</v>
      </c>
      <c r="C97" s="3">
        <v>98.6</v>
      </c>
      <c r="D97">
        <v>1</v>
      </c>
      <c r="E97">
        <v>1</v>
      </c>
      <c r="F97">
        <v>1</v>
      </c>
    </row>
    <row r="98" spans="1:6">
      <c r="A98" t="s">
        <v>59</v>
      </c>
      <c r="B98" t="s">
        <v>46</v>
      </c>
      <c r="C98" s="3">
        <v>94</v>
      </c>
      <c r="D98">
        <v>1</v>
      </c>
      <c r="E98">
        <v>1</v>
      </c>
      <c r="F98">
        <v>1</v>
      </c>
    </row>
    <row r="99" spans="1:6">
      <c r="A99" t="s">
        <v>59</v>
      </c>
      <c r="B99" t="s">
        <v>392</v>
      </c>
      <c r="C99" s="3"/>
      <c r="D99">
        <v>0</v>
      </c>
      <c r="E99">
        <v>1</v>
      </c>
      <c r="F99">
        <v>1</v>
      </c>
    </row>
    <row r="100" spans="1:6">
      <c r="A100" t="s">
        <v>59</v>
      </c>
      <c r="B100" t="s">
        <v>393</v>
      </c>
      <c r="C100" s="3"/>
      <c r="D100">
        <v>0</v>
      </c>
      <c r="E100">
        <v>1</v>
      </c>
      <c r="F100">
        <v>1</v>
      </c>
    </row>
    <row r="101" spans="1:6">
      <c r="A101" t="s">
        <v>59</v>
      </c>
      <c r="B101" t="s">
        <v>394</v>
      </c>
      <c r="C101" s="3"/>
      <c r="D101">
        <v>0</v>
      </c>
      <c r="E101">
        <v>1</v>
      </c>
      <c r="F101">
        <v>1</v>
      </c>
    </row>
    <row r="102" spans="1:6">
      <c r="A102" t="s">
        <v>59</v>
      </c>
      <c r="B102" t="s">
        <v>39</v>
      </c>
      <c r="C102" s="3">
        <v>-1.07040956159443</v>
      </c>
      <c r="D102">
        <v>1</v>
      </c>
      <c r="E102">
        <v>1</v>
      </c>
      <c r="F102">
        <v>1</v>
      </c>
    </row>
    <row r="103" spans="1:6">
      <c r="A103" t="s">
        <v>59</v>
      </c>
      <c r="B103" t="s">
        <v>43</v>
      </c>
      <c r="C103" s="3">
        <v>-2.60000000000001</v>
      </c>
      <c r="D103">
        <v>1</v>
      </c>
      <c r="E103">
        <v>1</v>
      </c>
      <c r="F103">
        <v>1</v>
      </c>
    </row>
    <row r="104" spans="1:6">
      <c r="A104" t="s">
        <v>59</v>
      </c>
      <c r="B104" t="s">
        <v>44</v>
      </c>
      <c r="C104" s="3">
        <v>-0.0999999999999943</v>
      </c>
      <c r="D104">
        <v>1</v>
      </c>
      <c r="E104">
        <v>1</v>
      </c>
      <c r="F104">
        <v>1</v>
      </c>
    </row>
    <row r="105" spans="1:6">
      <c r="A105" t="s">
        <v>59</v>
      </c>
      <c r="B105" t="s">
        <v>45</v>
      </c>
      <c r="C105" s="3">
        <v>-0.100000000000009</v>
      </c>
      <c r="D105">
        <v>1</v>
      </c>
      <c r="E105">
        <v>1</v>
      </c>
      <c r="F105">
        <v>1</v>
      </c>
    </row>
    <row r="106" spans="1:6">
      <c r="A106" t="s">
        <v>59</v>
      </c>
      <c r="B106" t="s">
        <v>396</v>
      </c>
      <c r="C106" s="3"/>
      <c r="D106">
        <v>0</v>
      </c>
      <c r="E106">
        <v>1</v>
      </c>
      <c r="F106">
        <v>1</v>
      </c>
    </row>
    <row r="107" spans="1:6">
      <c r="A107" t="s">
        <v>60</v>
      </c>
      <c r="B107" t="s">
        <v>34</v>
      </c>
      <c r="C107" s="3">
        <v>11.91</v>
      </c>
      <c r="D107">
        <v>1</v>
      </c>
      <c r="E107">
        <v>1</v>
      </c>
      <c r="F107">
        <v>1</v>
      </c>
    </row>
    <row r="108" spans="1:6">
      <c r="A108" t="s">
        <v>60</v>
      </c>
      <c r="B108" t="s">
        <v>35</v>
      </c>
      <c r="C108" s="3">
        <v>8.31</v>
      </c>
      <c r="D108">
        <v>1</v>
      </c>
      <c r="E108">
        <v>1</v>
      </c>
      <c r="F108">
        <v>1</v>
      </c>
    </row>
    <row r="109" spans="1:6">
      <c r="A109" t="s">
        <v>60</v>
      </c>
      <c r="B109" t="s">
        <v>36</v>
      </c>
      <c r="C109" s="3">
        <v>98.9721</v>
      </c>
      <c r="D109">
        <v>1</v>
      </c>
      <c r="E109">
        <v>1</v>
      </c>
      <c r="F109">
        <v>1</v>
      </c>
    </row>
    <row r="110" spans="1:6">
      <c r="A110" t="s">
        <v>60</v>
      </c>
      <c r="B110" t="s">
        <v>40</v>
      </c>
      <c r="C110" s="3">
        <v>95.7</v>
      </c>
      <c r="D110">
        <v>1</v>
      </c>
      <c r="E110">
        <v>1</v>
      </c>
      <c r="F110">
        <v>1</v>
      </c>
    </row>
    <row r="111" spans="1:6">
      <c r="A111" t="s">
        <v>60</v>
      </c>
      <c r="B111" t="s">
        <v>41</v>
      </c>
      <c r="C111" s="3">
        <v>94.5</v>
      </c>
      <c r="D111">
        <v>1</v>
      </c>
      <c r="E111">
        <v>1</v>
      </c>
      <c r="F111">
        <v>1</v>
      </c>
    </row>
    <row r="112" spans="1:6">
      <c r="A112" t="s">
        <v>60</v>
      </c>
      <c r="B112" t="s">
        <v>42</v>
      </c>
      <c r="C112" s="3">
        <v>98.6</v>
      </c>
      <c r="D112">
        <v>1</v>
      </c>
      <c r="E112">
        <v>1</v>
      </c>
      <c r="F112">
        <v>1</v>
      </c>
    </row>
    <row r="113" spans="1:6">
      <c r="A113" t="s">
        <v>60</v>
      </c>
      <c r="B113" t="s">
        <v>46</v>
      </c>
      <c r="C113" s="3">
        <v>92.9</v>
      </c>
      <c r="D113">
        <v>1</v>
      </c>
      <c r="E113">
        <v>1</v>
      </c>
      <c r="F113">
        <v>1</v>
      </c>
    </row>
    <row r="114" spans="1:6">
      <c r="A114" t="s">
        <v>60</v>
      </c>
      <c r="B114" t="s">
        <v>392</v>
      </c>
      <c r="C114" s="3"/>
      <c r="D114">
        <v>0</v>
      </c>
      <c r="E114">
        <v>1</v>
      </c>
      <c r="F114">
        <v>1</v>
      </c>
    </row>
    <row r="115" spans="1:6">
      <c r="A115" t="s">
        <v>60</v>
      </c>
      <c r="B115" t="s">
        <v>393</v>
      </c>
      <c r="C115" s="3"/>
      <c r="D115">
        <v>0</v>
      </c>
      <c r="E115">
        <v>1</v>
      </c>
      <c r="F115">
        <v>1</v>
      </c>
    </row>
    <row r="116" spans="1:6">
      <c r="A116" t="s">
        <v>60</v>
      </c>
      <c r="B116" t="s">
        <v>394</v>
      </c>
      <c r="C116" s="3"/>
      <c r="D116">
        <v>0</v>
      </c>
      <c r="E116">
        <v>1</v>
      </c>
      <c r="F116">
        <v>1</v>
      </c>
    </row>
    <row r="117" spans="1:6">
      <c r="A117" t="s">
        <v>60</v>
      </c>
      <c r="B117" t="s">
        <v>39</v>
      </c>
      <c r="C117" s="3">
        <v>-1.41728091394602</v>
      </c>
      <c r="D117">
        <v>1</v>
      </c>
      <c r="E117">
        <v>1</v>
      </c>
      <c r="F117">
        <v>1</v>
      </c>
    </row>
    <row r="118" spans="1:6">
      <c r="A118" t="s">
        <v>60</v>
      </c>
      <c r="B118" t="s">
        <v>43</v>
      </c>
      <c r="C118" s="3">
        <v>-0.0999999999999943</v>
      </c>
      <c r="D118">
        <v>1</v>
      </c>
      <c r="E118">
        <v>1</v>
      </c>
      <c r="F118">
        <v>1</v>
      </c>
    </row>
    <row r="119" spans="1:6">
      <c r="A119" t="s">
        <v>60</v>
      </c>
      <c r="B119" t="s">
        <v>44</v>
      </c>
      <c r="C119" s="3">
        <v>-0.5</v>
      </c>
      <c r="D119">
        <v>1</v>
      </c>
      <c r="E119">
        <v>1</v>
      </c>
      <c r="F119">
        <v>1</v>
      </c>
    </row>
    <row r="120" spans="1:6">
      <c r="A120" t="s">
        <v>60</v>
      </c>
      <c r="B120" t="s">
        <v>45</v>
      </c>
      <c r="C120" s="3">
        <v>0</v>
      </c>
      <c r="D120">
        <v>1</v>
      </c>
      <c r="E120">
        <v>1</v>
      </c>
      <c r="F120">
        <v>1</v>
      </c>
    </row>
    <row r="121" spans="1:6">
      <c r="A121" t="s">
        <v>60</v>
      </c>
      <c r="B121" t="s">
        <v>396</v>
      </c>
      <c r="C121" s="3"/>
      <c r="D121">
        <v>0</v>
      </c>
      <c r="E121">
        <v>1</v>
      </c>
      <c r="F121">
        <v>1</v>
      </c>
    </row>
    <row r="122" spans="1:6">
      <c r="A122" t="s">
        <v>61</v>
      </c>
      <c r="B122" t="s">
        <v>34</v>
      </c>
      <c r="C122" s="3">
        <v>13.34</v>
      </c>
      <c r="D122">
        <v>1</v>
      </c>
      <c r="E122">
        <v>1</v>
      </c>
      <c r="F122">
        <v>1</v>
      </c>
    </row>
    <row r="123" spans="1:6">
      <c r="A123" t="s">
        <v>61</v>
      </c>
      <c r="B123" t="s">
        <v>35</v>
      </c>
      <c r="C123" s="3">
        <v>8.3055</v>
      </c>
      <c r="D123">
        <v>1</v>
      </c>
      <c r="E123">
        <v>1</v>
      </c>
      <c r="F123">
        <v>1</v>
      </c>
    </row>
    <row r="124" spans="1:6">
      <c r="A124" t="s">
        <v>61</v>
      </c>
      <c r="B124" t="s">
        <v>36</v>
      </c>
      <c r="C124" s="3">
        <v>110.79537</v>
      </c>
      <c r="D124">
        <v>1</v>
      </c>
      <c r="E124">
        <v>1</v>
      </c>
      <c r="F124">
        <v>1</v>
      </c>
    </row>
    <row r="125" spans="1:6">
      <c r="A125" t="s">
        <v>61</v>
      </c>
      <c r="B125" t="s">
        <v>40</v>
      </c>
      <c r="C125" s="3">
        <v>95.7</v>
      </c>
      <c r="D125">
        <v>1</v>
      </c>
      <c r="E125">
        <v>1</v>
      </c>
      <c r="F125">
        <v>1</v>
      </c>
    </row>
    <row r="126" spans="1:6">
      <c r="A126" t="s">
        <v>61</v>
      </c>
      <c r="B126" t="s">
        <v>41</v>
      </c>
      <c r="C126" s="3">
        <v>95.8</v>
      </c>
      <c r="D126">
        <v>1</v>
      </c>
      <c r="E126">
        <v>1</v>
      </c>
      <c r="F126">
        <v>1</v>
      </c>
    </row>
    <row r="127" spans="1:6">
      <c r="A127" t="s">
        <v>61</v>
      </c>
      <c r="B127" t="s">
        <v>42</v>
      </c>
      <c r="C127" s="3">
        <v>98.5</v>
      </c>
      <c r="D127">
        <v>1</v>
      </c>
      <c r="E127">
        <v>1</v>
      </c>
      <c r="F127">
        <v>1</v>
      </c>
    </row>
    <row r="128" spans="1:6">
      <c r="A128" t="s">
        <v>61</v>
      </c>
      <c r="B128" t="s">
        <v>46</v>
      </c>
      <c r="C128" s="3">
        <v>94.1</v>
      </c>
      <c r="D128">
        <v>1</v>
      </c>
      <c r="E128">
        <v>1</v>
      </c>
      <c r="F128">
        <v>1</v>
      </c>
    </row>
    <row r="129" spans="1:6">
      <c r="A129" t="s">
        <v>61</v>
      </c>
      <c r="B129" t="s">
        <v>392</v>
      </c>
      <c r="C129" s="3"/>
      <c r="D129">
        <v>0</v>
      </c>
      <c r="E129">
        <v>1</v>
      </c>
      <c r="F129">
        <v>1</v>
      </c>
    </row>
    <row r="130" spans="1:6">
      <c r="A130" t="s">
        <v>61</v>
      </c>
      <c r="B130" t="s">
        <v>393</v>
      </c>
      <c r="C130" s="3"/>
      <c r="D130">
        <v>0</v>
      </c>
      <c r="E130">
        <v>1</v>
      </c>
      <c r="F130">
        <v>1</v>
      </c>
    </row>
    <row r="131" spans="1:6">
      <c r="A131" t="s">
        <v>61</v>
      </c>
      <c r="B131" t="s">
        <v>394</v>
      </c>
      <c r="C131" s="3"/>
      <c r="D131">
        <v>0</v>
      </c>
      <c r="E131">
        <v>1</v>
      </c>
      <c r="F131">
        <v>1</v>
      </c>
    </row>
    <row r="132" spans="1:6">
      <c r="A132" t="s">
        <v>61</v>
      </c>
      <c r="B132" t="s">
        <v>39</v>
      </c>
      <c r="C132" s="3">
        <v>11.2846994201907</v>
      </c>
      <c r="D132">
        <v>1</v>
      </c>
      <c r="E132">
        <v>1</v>
      </c>
      <c r="F132">
        <v>1</v>
      </c>
    </row>
    <row r="133" spans="1:6">
      <c r="A133" t="s">
        <v>61</v>
      </c>
      <c r="B133" t="s">
        <v>43</v>
      </c>
      <c r="C133" s="3">
        <v>0</v>
      </c>
      <c r="D133">
        <v>1</v>
      </c>
      <c r="E133">
        <v>1</v>
      </c>
      <c r="F133">
        <v>1</v>
      </c>
    </row>
    <row r="134" spans="1:6">
      <c r="A134" t="s">
        <v>61</v>
      </c>
      <c r="B134" t="s">
        <v>44</v>
      </c>
      <c r="C134" s="3">
        <v>1.3</v>
      </c>
      <c r="D134">
        <v>1</v>
      </c>
      <c r="E134">
        <v>1</v>
      </c>
      <c r="F134">
        <v>1</v>
      </c>
    </row>
    <row r="135" spans="1:6">
      <c r="A135" t="s">
        <v>61</v>
      </c>
      <c r="B135" t="s">
        <v>45</v>
      </c>
      <c r="C135" s="3">
        <v>-0.0999999999999943</v>
      </c>
      <c r="D135">
        <v>1</v>
      </c>
      <c r="E135">
        <v>1</v>
      </c>
      <c r="F135">
        <v>1</v>
      </c>
    </row>
    <row r="136" spans="1:6">
      <c r="A136" t="s">
        <v>61</v>
      </c>
      <c r="B136" t="s">
        <v>396</v>
      </c>
      <c r="C136" s="3"/>
      <c r="D136">
        <v>0</v>
      </c>
      <c r="E136">
        <v>1</v>
      </c>
      <c r="F136">
        <v>1</v>
      </c>
    </row>
    <row r="137" spans="1:6">
      <c r="A137" t="s">
        <v>62</v>
      </c>
      <c r="B137" t="s">
        <v>34</v>
      </c>
      <c r="C137" s="3">
        <v>12.7</v>
      </c>
      <c r="D137">
        <v>1</v>
      </c>
      <c r="E137">
        <v>1</v>
      </c>
      <c r="F137">
        <v>1</v>
      </c>
    </row>
    <row r="138" spans="1:6">
      <c r="A138" t="s">
        <v>62</v>
      </c>
      <c r="B138" t="s">
        <v>35</v>
      </c>
      <c r="C138" s="3">
        <v>8.2778</v>
      </c>
      <c r="D138">
        <v>1</v>
      </c>
      <c r="E138">
        <v>1</v>
      </c>
      <c r="F138">
        <v>1</v>
      </c>
    </row>
    <row r="139" spans="1:6">
      <c r="A139" t="s">
        <v>62</v>
      </c>
      <c r="B139" t="s">
        <v>36</v>
      </c>
      <c r="C139" s="3">
        <v>105.12806</v>
      </c>
      <c r="D139">
        <v>1</v>
      </c>
      <c r="E139">
        <v>1</v>
      </c>
      <c r="F139">
        <v>1</v>
      </c>
    </row>
    <row r="140" spans="1:6">
      <c r="A140" t="s">
        <v>62</v>
      </c>
      <c r="B140" t="s">
        <v>40</v>
      </c>
      <c r="C140" s="3">
        <v>97</v>
      </c>
      <c r="D140">
        <v>1</v>
      </c>
      <c r="E140">
        <v>1</v>
      </c>
      <c r="F140">
        <v>1</v>
      </c>
    </row>
    <row r="141" spans="1:6">
      <c r="A141" t="s">
        <v>62</v>
      </c>
      <c r="B141" t="s">
        <v>41</v>
      </c>
      <c r="C141" s="3">
        <v>94.3</v>
      </c>
      <c r="D141">
        <v>1</v>
      </c>
      <c r="E141">
        <v>1</v>
      </c>
      <c r="F141">
        <v>1</v>
      </c>
    </row>
    <row r="142" spans="1:6">
      <c r="A142" t="s">
        <v>62</v>
      </c>
      <c r="B142" t="s">
        <v>42</v>
      </c>
      <c r="C142" s="3">
        <v>98.9</v>
      </c>
      <c r="D142">
        <v>1</v>
      </c>
      <c r="E142">
        <v>1</v>
      </c>
      <c r="F142">
        <v>1</v>
      </c>
    </row>
    <row r="143" spans="1:6">
      <c r="A143" t="s">
        <v>62</v>
      </c>
      <c r="B143" t="s">
        <v>46</v>
      </c>
      <c r="C143" s="3">
        <v>93.9</v>
      </c>
      <c r="D143">
        <v>1</v>
      </c>
      <c r="E143">
        <v>1</v>
      </c>
      <c r="F143">
        <v>1</v>
      </c>
    </row>
    <row r="144" spans="1:6">
      <c r="A144" t="s">
        <v>62</v>
      </c>
      <c r="B144" t="s">
        <v>392</v>
      </c>
      <c r="C144" s="3"/>
      <c r="D144">
        <v>0</v>
      </c>
      <c r="E144">
        <v>1</v>
      </c>
      <c r="F144">
        <v>1</v>
      </c>
    </row>
    <row r="145" spans="1:6">
      <c r="A145" t="s">
        <v>62</v>
      </c>
      <c r="B145" t="s">
        <v>393</v>
      </c>
      <c r="C145" s="3"/>
      <c r="D145">
        <v>0</v>
      </c>
      <c r="E145">
        <v>1</v>
      </c>
      <c r="F145">
        <v>1</v>
      </c>
    </row>
    <row r="146" spans="1:6">
      <c r="A146" t="s">
        <v>62</v>
      </c>
      <c r="B146" t="s">
        <v>394</v>
      </c>
      <c r="C146" s="3"/>
      <c r="D146">
        <v>0</v>
      </c>
      <c r="E146">
        <v>1</v>
      </c>
      <c r="F146">
        <v>1</v>
      </c>
    </row>
    <row r="147" spans="1:6">
      <c r="A147" t="s">
        <v>62</v>
      </c>
      <c r="B147" t="s">
        <v>39</v>
      </c>
      <c r="C147" s="3">
        <v>-5.25057603624774</v>
      </c>
      <c r="D147">
        <v>1</v>
      </c>
      <c r="E147">
        <v>1</v>
      </c>
      <c r="F147">
        <v>1</v>
      </c>
    </row>
    <row r="148" spans="1:6">
      <c r="A148" t="s">
        <v>62</v>
      </c>
      <c r="B148" t="s">
        <v>43</v>
      </c>
      <c r="C148" s="3">
        <v>1.3</v>
      </c>
      <c r="D148">
        <v>1</v>
      </c>
      <c r="E148">
        <v>1</v>
      </c>
      <c r="F148">
        <v>1</v>
      </c>
    </row>
    <row r="149" spans="1:6">
      <c r="A149" t="s">
        <v>62</v>
      </c>
      <c r="B149" t="s">
        <v>44</v>
      </c>
      <c r="C149" s="3">
        <v>-1.5</v>
      </c>
      <c r="D149">
        <v>1</v>
      </c>
      <c r="E149">
        <v>1</v>
      </c>
      <c r="F149">
        <v>1</v>
      </c>
    </row>
    <row r="150" spans="1:6">
      <c r="A150" t="s">
        <v>62</v>
      </c>
      <c r="B150" t="s">
        <v>45</v>
      </c>
      <c r="C150" s="3">
        <v>0.400000000000006</v>
      </c>
      <c r="D150">
        <v>1</v>
      </c>
      <c r="E150">
        <v>1</v>
      </c>
      <c r="F150">
        <v>1</v>
      </c>
    </row>
    <row r="151" spans="1:6">
      <c r="A151" t="s">
        <v>62</v>
      </c>
      <c r="B151" t="s">
        <v>396</v>
      </c>
      <c r="C151" s="3"/>
      <c r="D151">
        <v>0</v>
      </c>
      <c r="E151">
        <v>1</v>
      </c>
      <c r="F151">
        <v>1</v>
      </c>
    </row>
    <row r="152" spans="1:6">
      <c r="A152" t="s">
        <v>63</v>
      </c>
      <c r="B152" t="s">
        <v>34</v>
      </c>
      <c r="C152" s="3">
        <v>11.04</v>
      </c>
      <c r="D152">
        <v>1</v>
      </c>
      <c r="E152">
        <v>1</v>
      </c>
      <c r="F152">
        <v>1</v>
      </c>
    </row>
    <row r="153" spans="1:6">
      <c r="A153" t="s">
        <v>63</v>
      </c>
      <c r="B153" t="s">
        <v>35</v>
      </c>
      <c r="C153" s="3">
        <v>8.2778</v>
      </c>
      <c r="D153">
        <v>1</v>
      </c>
      <c r="E153">
        <v>1</v>
      </c>
      <c r="F153">
        <v>1</v>
      </c>
    </row>
    <row r="154" spans="1:6">
      <c r="A154" t="s">
        <v>63</v>
      </c>
      <c r="B154" t="s">
        <v>36</v>
      </c>
      <c r="C154" s="3">
        <v>91.386912</v>
      </c>
      <c r="D154">
        <v>1</v>
      </c>
      <c r="E154">
        <v>1</v>
      </c>
      <c r="F154">
        <v>1</v>
      </c>
    </row>
    <row r="155" spans="1:6">
      <c r="A155" t="s">
        <v>63</v>
      </c>
      <c r="B155" t="s">
        <v>40</v>
      </c>
      <c r="C155" s="3">
        <v>96.8</v>
      </c>
      <c r="D155">
        <v>1</v>
      </c>
      <c r="E155">
        <v>1</v>
      </c>
      <c r="F155">
        <v>1</v>
      </c>
    </row>
    <row r="156" spans="1:6">
      <c r="A156" t="s">
        <v>63</v>
      </c>
      <c r="B156" t="s">
        <v>41</v>
      </c>
      <c r="C156" s="3">
        <v>94.6</v>
      </c>
      <c r="D156">
        <v>1</v>
      </c>
      <c r="E156">
        <v>1</v>
      </c>
      <c r="F156">
        <v>1</v>
      </c>
    </row>
    <row r="157" spans="1:6">
      <c r="A157" t="s">
        <v>63</v>
      </c>
      <c r="B157" t="s">
        <v>42</v>
      </c>
      <c r="C157" s="3">
        <v>98.8</v>
      </c>
      <c r="D157">
        <v>1</v>
      </c>
      <c r="E157">
        <v>1</v>
      </c>
      <c r="F157">
        <v>1</v>
      </c>
    </row>
    <row r="158" spans="1:6">
      <c r="A158" t="s">
        <v>63</v>
      </c>
      <c r="B158" t="s">
        <v>46</v>
      </c>
      <c r="C158" s="3">
        <v>93.9</v>
      </c>
      <c r="D158">
        <v>1</v>
      </c>
      <c r="E158">
        <v>1</v>
      </c>
      <c r="F158">
        <v>1</v>
      </c>
    </row>
    <row r="159" spans="1:6">
      <c r="A159" t="s">
        <v>63</v>
      </c>
      <c r="B159" t="s">
        <v>392</v>
      </c>
      <c r="C159" s="3"/>
      <c r="D159">
        <v>0</v>
      </c>
      <c r="E159">
        <v>1</v>
      </c>
      <c r="F159">
        <v>1</v>
      </c>
    </row>
    <row r="160" spans="1:6">
      <c r="A160" t="s">
        <v>63</v>
      </c>
      <c r="B160" t="s">
        <v>393</v>
      </c>
      <c r="C160" s="3"/>
      <c r="D160">
        <v>0</v>
      </c>
      <c r="E160">
        <v>1</v>
      </c>
      <c r="F160">
        <v>1</v>
      </c>
    </row>
    <row r="161" spans="1:6">
      <c r="A161" t="s">
        <v>63</v>
      </c>
      <c r="B161" t="s">
        <v>394</v>
      </c>
      <c r="C161" s="3"/>
      <c r="D161">
        <v>0</v>
      </c>
      <c r="E161">
        <v>1</v>
      </c>
      <c r="F161">
        <v>1</v>
      </c>
    </row>
    <row r="162" spans="1:6">
      <c r="A162" t="s">
        <v>63</v>
      </c>
      <c r="B162" t="s">
        <v>39</v>
      </c>
      <c r="C162" s="3">
        <v>-14.0076952615596</v>
      </c>
      <c r="D162">
        <v>1</v>
      </c>
      <c r="E162">
        <v>1</v>
      </c>
      <c r="F162">
        <v>1</v>
      </c>
    </row>
    <row r="163" spans="1:6">
      <c r="A163" t="s">
        <v>63</v>
      </c>
      <c r="B163" t="s">
        <v>43</v>
      </c>
      <c r="C163" s="3">
        <v>-0.200000000000003</v>
      </c>
      <c r="D163">
        <v>1</v>
      </c>
      <c r="E163">
        <v>1</v>
      </c>
      <c r="F163">
        <v>1</v>
      </c>
    </row>
    <row r="164" spans="1:6">
      <c r="A164" t="s">
        <v>63</v>
      </c>
      <c r="B164" t="s">
        <v>44</v>
      </c>
      <c r="C164" s="3">
        <v>0.299999999999997</v>
      </c>
      <c r="D164">
        <v>1</v>
      </c>
      <c r="E164">
        <v>1</v>
      </c>
      <c r="F164">
        <v>1</v>
      </c>
    </row>
    <row r="165" spans="1:6">
      <c r="A165" t="s">
        <v>63</v>
      </c>
      <c r="B165" t="s">
        <v>45</v>
      </c>
      <c r="C165" s="3">
        <v>-0.100000000000009</v>
      </c>
      <c r="D165">
        <v>1</v>
      </c>
      <c r="E165">
        <v>1</v>
      </c>
      <c r="F165">
        <v>1</v>
      </c>
    </row>
    <row r="166" spans="1:6">
      <c r="A166" t="s">
        <v>63</v>
      </c>
      <c r="B166" t="s">
        <v>396</v>
      </c>
      <c r="C166" s="3"/>
      <c r="D166">
        <v>0</v>
      </c>
      <c r="E166">
        <v>1</v>
      </c>
      <c r="F166">
        <v>1</v>
      </c>
    </row>
    <row r="167" spans="1:6">
      <c r="A167" t="s">
        <v>64</v>
      </c>
      <c r="B167" t="s">
        <v>34</v>
      </c>
      <c r="C167" s="3">
        <v>9.82</v>
      </c>
      <c r="D167">
        <v>1</v>
      </c>
      <c r="E167">
        <v>1</v>
      </c>
      <c r="F167">
        <v>1</v>
      </c>
    </row>
    <row r="168" spans="1:6">
      <c r="A168" t="s">
        <v>64</v>
      </c>
      <c r="B168" t="s">
        <v>35</v>
      </c>
      <c r="C168" s="3">
        <v>8.278</v>
      </c>
      <c r="D168">
        <v>1</v>
      </c>
      <c r="E168">
        <v>1</v>
      </c>
      <c r="F168">
        <v>1</v>
      </c>
    </row>
    <row r="169" spans="1:6">
      <c r="A169" t="s">
        <v>64</v>
      </c>
      <c r="B169" t="s">
        <v>36</v>
      </c>
      <c r="C169" s="3">
        <v>81.28996</v>
      </c>
      <c r="D169">
        <v>1</v>
      </c>
      <c r="E169">
        <v>1</v>
      </c>
      <c r="F169">
        <v>1</v>
      </c>
    </row>
    <row r="170" spans="1:6">
      <c r="A170" t="s">
        <v>64</v>
      </c>
      <c r="B170" t="s">
        <v>40</v>
      </c>
      <c r="C170" s="3">
        <v>96.4</v>
      </c>
      <c r="D170">
        <v>1</v>
      </c>
      <c r="E170">
        <v>1</v>
      </c>
      <c r="F170">
        <v>1</v>
      </c>
    </row>
    <row r="171" spans="1:6">
      <c r="A171" t="s">
        <v>64</v>
      </c>
      <c r="B171" t="s">
        <v>41</v>
      </c>
      <c r="C171" s="3">
        <v>96.2</v>
      </c>
      <c r="D171">
        <v>1</v>
      </c>
      <c r="E171">
        <v>1</v>
      </c>
      <c r="F171">
        <v>1</v>
      </c>
    </row>
    <row r="172" spans="1:6">
      <c r="A172" t="s">
        <v>64</v>
      </c>
      <c r="B172" t="s">
        <v>42</v>
      </c>
      <c r="C172" s="3">
        <v>99</v>
      </c>
      <c r="D172">
        <v>1</v>
      </c>
      <c r="E172">
        <v>1</v>
      </c>
      <c r="F172">
        <v>1</v>
      </c>
    </row>
    <row r="173" spans="1:6">
      <c r="A173" t="s">
        <v>64</v>
      </c>
      <c r="B173" t="s">
        <v>46</v>
      </c>
      <c r="C173" s="3">
        <v>93.9</v>
      </c>
      <c r="D173">
        <v>1</v>
      </c>
      <c r="E173">
        <v>1</v>
      </c>
      <c r="F173">
        <v>1</v>
      </c>
    </row>
    <row r="174" spans="1:6">
      <c r="A174" t="s">
        <v>64</v>
      </c>
      <c r="B174" t="s">
        <v>392</v>
      </c>
      <c r="C174" s="3"/>
      <c r="D174">
        <v>0</v>
      </c>
      <c r="E174">
        <v>1</v>
      </c>
      <c r="F174">
        <v>1</v>
      </c>
    </row>
    <row r="175" spans="1:6">
      <c r="A175" t="s">
        <v>64</v>
      </c>
      <c r="B175" t="s">
        <v>393</v>
      </c>
      <c r="C175" s="3"/>
      <c r="D175">
        <v>0</v>
      </c>
      <c r="E175">
        <v>1</v>
      </c>
      <c r="F175">
        <v>1</v>
      </c>
    </row>
    <row r="176" spans="1:6">
      <c r="A176" t="s">
        <v>64</v>
      </c>
      <c r="B176" t="s">
        <v>394</v>
      </c>
      <c r="C176" s="3"/>
      <c r="D176">
        <v>0</v>
      </c>
      <c r="E176">
        <v>1</v>
      </c>
      <c r="F176">
        <v>1</v>
      </c>
    </row>
    <row r="177" spans="1:6">
      <c r="A177" t="s">
        <v>64</v>
      </c>
      <c r="B177" t="s">
        <v>39</v>
      </c>
      <c r="C177" s="3">
        <v>-11.7079757765483</v>
      </c>
      <c r="D177">
        <v>1</v>
      </c>
      <c r="E177">
        <v>1</v>
      </c>
      <c r="F177">
        <v>1</v>
      </c>
    </row>
    <row r="178" spans="1:6">
      <c r="A178" t="s">
        <v>64</v>
      </c>
      <c r="B178" t="s">
        <v>43</v>
      </c>
      <c r="C178" s="3">
        <v>-0.399999999999991</v>
      </c>
      <c r="D178">
        <v>1</v>
      </c>
      <c r="E178">
        <v>1</v>
      </c>
      <c r="F178">
        <v>1</v>
      </c>
    </row>
    <row r="179" spans="1:6">
      <c r="A179" t="s">
        <v>64</v>
      </c>
      <c r="B179" t="s">
        <v>44</v>
      </c>
      <c r="C179" s="3">
        <v>1.60000000000001</v>
      </c>
      <c r="D179">
        <v>1</v>
      </c>
      <c r="E179">
        <v>1</v>
      </c>
      <c r="F179">
        <v>1</v>
      </c>
    </row>
    <row r="180" spans="1:6">
      <c r="A180" t="s">
        <v>64</v>
      </c>
      <c r="B180" t="s">
        <v>45</v>
      </c>
      <c r="C180" s="3">
        <v>0.200000000000003</v>
      </c>
      <c r="D180">
        <v>1</v>
      </c>
      <c r="E180">
        <v>1</v>
      </c>
      <c r="F180">
        <v>1</v>
      </c>
    </row>
    <row r="181" spans="1:6">
      <c r="A181" t="s">
        <v>64</v>
      </c>
      <c r="B181" t="s">
        <v>396</v>
      </c>
      <c r="C181" s="3"/>
      <c r="D181">
        <v>0</v>
      </c>
      <c r="E181">
        <v>1</v>
      </c>
      <c r="F181">
        <v>1</v>
      </c>
    </row>
    <row r="182" spans="1:6">
      <c r="A182" t="s">
        <v>65</v>
      </c>
      <c r="B182" t="s">
        <v>34</v>
      </c>
      <c r="C182" s="3">
        <v>11.11</v>
      </c>
      <c r="D182">
        <v>1</v>
      </c>
      <c r="E182">
        <v>1</v>
      </c>
      <c r="F182">
        <v>1</v>
      </c>
    </row>
    <row r="183" spans="1:6">
      <c r="A183" t="s">
        <v>65</v>
      </c>
      <c r="B183" t="s">
        <v>35</v>
      </c>
      <c r="C183" s="3">
        <v>8.2789</v>
      </c>
      <c r="D183">
        <v>1</v>
      </c>
      <c r="E183">
        <v>1</v>
      </c>
      <c r="F183">
        <v>1</v>
      </c>
    </row>
    <row r="184" spans="1:6">
      <c r="A184" t="s">
        <v>65</v>
      </c>
      <c r="B184" t="s">
        <v>36</v>
      </c>
      <c r="C184" s="3">
        <v>91.978579</v>
      </c>
      <c r="D184">
        <v>1</v>
      </c>
      <c r="E184">
        <v>1</v>
      </c>
      <c r="F184">
        <v>1</v>
      </c>
    </row>
    <row r="185" spans="1:6">
      <c r="A185" t="s">
        <v>65</v>
      </c>
      <c r="B185" t="s">
        <v>40</v>
      </c>
      <c r="C185" s="3">
        <v>95.4</v>
      </c>
      <c r="D185">
        <v>1</v>
      </c>
      <c r="E185">
        <v>1</v>
      </c>
      <c r="F185">
        <v>1</v>
      </c>
    </row>
    <row r="186" spans="1:6">
      <c r="A186" t="s">
        <v>65</v>
      </c>
      <c r="B186" t="s">
        <v>41</v>
      </c>
      <c r="C186" s="3">
        <v>95.1</v>
      </c>
      <c r="D186">
        <v>1</v>
      </c>
      <c r="E186">
        <v>1</v>
      </c>
      <c r="F186">
        <v>1</v>
      </c>
    </row>
    <row r="187" spans="1:6">
      <c r="A187" t="s">
        <v>65</v>
      </c>
      <c r="B187" t="s">
        <v>42</v>
      </c>
      <c r="C187" s="3">
        <v>98.8</v>
      </c>
      <c r="D187">
        <v>1</v>
      </c>
      <c r="E187">
        <v>1</v>
      </c>
      <c r="F187">
        <v>1</v>
      </c>
    </row>
    <row r="188" spans="1:6">
      <c r="A188" t="s">
        <v>65</v>
      </c>
      <c r="B188" t="s">
        <v>46</v>
      </c>
      <c r="C188" s="3">
        <v>92.7</v>
      </c>
      <c r="D188">
        <v>1</v>
      </c>
      <c r="E188">
        <v>1</v>
      </c>
      <c r="F188">
        <v>1</v>
      </c>
    </row>
    <row r="189" spans="1:6">
      <c r="A189" t="s">
        <v>65</v>
      </c>
      <c r="B189" t="s">
        <v>392</v>
      </c>
      <c r="C189" s="3"/>
      <c r="D189">
        <v>0</v>
      </c>
      <c r="E189">
        <v>1</v>
      </c>
      <c r="F189">
        <v>1</v>
      </c>
    </row>
    <row r="190" spans="1:6">
      <c r="A190" t="s">
        <v>65</v>
      </c>
      <c r="B190" t="s">
        <v>393</v>
      </c>
      <c r="C190" s="3"/>
      <c r="D190">
        <v>0</v>
      </c>
      <c r="E190">
        <v>1</v>
      </c>
      <c r="F190">
        <v>1</v>
      </c>
    </row>
    <row r="191" spans="1:6">
      <c r="A191" t="s">
        <v>65</v>
      </c>
      <c r="B191" t="s">
        <v>394</v>
      </c>
      <c r="C191" s="3"/>
      <c r="D191">
        <v>0</v>
      </c>
      <c r="E191">
        <v>1</v>
      </c>
      <c r="F191">
        <v>1</v>
      </c>
    </row>
    <row r="192" spans="1:6">
      <c r="A192" t="s">
        <v>65</v>
      </c>
      <c r="B192" t="s">
        <v>39</v>
      </c>
      <c r="C192" s="3">
        <v>12.3533197288871</v>
      </c>
      <c r="D192">
        <v>1</v>
      </c>
      <c r="E192">
        <v>1</v>
      </c>
      <c r="F192">
        <v>1</v>
      </c>
    </row>
    <row r="193" spans="1:6">
      <c r="A193" t="s">
        <v>65</v>
      </c>
      <c r="B193" t="s">
        <v>43</v>
      </c>
      <c r="C193" s="3">
        <v>-1</v>
      </c>
      <c r="D193">
        <v>1</v>
      </c>
      <c r="E193">
        <v>1</v>
      </c>
      <c r="F193">
        <v>1</v>
      </c>
    </row>
    <row r="194" spans="1:6">
      <c r="A194" t="s">
        <v>65</v>
      </c>
      <c r="B194" t="s">
        <v>44</v>
      </c>
      <c r="C194" s="3">
        <v>-1.10000000000001</v>
      </c>
      <c r="D194">
        <v>1</v>
      </c>
      <c r="E194">
        <v>1</v>
      </c>
      <c r="F194">
        <v>1</v>
      </c>
    </row>
    <row r="195" spans="1:6">
      <c r="A195" t="s">
        <v>65</v>
      </c>
      <c r="B195" t="s">
        <v>45</v>
      </c>
      <c r="C195" s="3">
        <v>-0.200000000000003</v>
      </c>
      <c r="D195">
        <v>1</v>
      </c>
      <c r="E195">
        <v>1</v>
      </c>
      <c r="F195">
        <v>1</v>
      </c>
    </row>
    <row r="196" spans="1:6">
      <c r="A196" t="s">
        <v>65</v>
      </c>
      <c r="B196" t="s">
        <v>396</v>
      </c>
      <c r="C196" s="3"/>
      <c r="D196">
        <v>0</v>
      </c>
      <c r="E196">
        <v>1</v>
      </c>
      <c r="F196">
        <v>1</v>
      </c>
    </row>
    <row r="197" spans="1:6">
      <c r="A197" t="s">
        <v>66</v>
      </c>
      <c r="B197" t="s">
        <v>34</v>
      </c>
      <c r="C197" s="3">
        <v>10.27</v>
      </c>
      <c r="D197">
        <v>1</v>
      </c>
      <c r="E197">
        <v>1</v>
      </c>
      <c r="F197">
        <v>1</v>
      </c>
    </row>
    <row r="198" spans="1:6">
      <c r="A198" t="s">
        <v>66</v>
      </c>
      <c r="B198" t="s">
        <v>35</v>
      </c>
      <c r="C198" s="3">
        <v>8.2781</v>
      </c>
      <c r="D198">
        <v>1</v>
      </c>
      <c r="E198">
        <v>1</v>
      </c>
      <c r="F198">
        <v>1</v>
      </c>
    </row>
    <row r="199" spans="1:6">
      <c r="A199" t="s">
        <v>66</v>
      </c>
      <c r="B199" t="s">
        <v>36</v>
      </c>
      <c r="C199" s="3">
        <v>85.016087</v>
      </c>
      <c r="D199">
        <v>1</v>
      </c>
      <c r="E199">
        <v>1</v>
      </c>
      <c r="F199">
        <v>1</v>
      </c>
    </row>
    <row r="200" spans="1:6">
      <c r="A200" t="s">
        <v>66</v>
      </c>
      <c r="B200" t="s">
        <v>40</v>
      </c>
      <c r="C200" s="3">
        <v>94.3</v>
      </c>
      <c r="D200">
        <v>1</v>
      </c>
      <c r="E200">
        <v>1</v>
      </c>
      <c r="F200">
        <v>1</v>
      </c>
    </row>
    <row r="201" spans="1:6">
      <c r="A201" t="s">
        <v>66</v>
      </c>
      <c r="B201" t="s">
        <v>41</v>
      </c>
      <c r="C201" s="3">
        <v>95.1</v>
      </c>
      <c r="D201">
        <v>1</v>
      </c>
      <c r="E201">
        <v>1</v>
      </c>
      <c r="F201">
        <v>1</v>
      </c>
    </row>
    <row r="202" spans="1:6">
      <c r="A202" t="s">
        <v>66</v>
      </c>
      <c r="B202" t="s">
        <v>42</v>
      </c>
      <c r="C202" s="3">
        <v>98.7</v>
      </c>
      <c r="D202">
        <v>1</v>
      </c>
      <c r="E202">
        <v>1</v>
      </c>
      <c r="F202">
        <v>1</v>
      </c>
    </row>
    <row r="203" spans="1:6">
      <c r="A203" t="s">
        <v>66</v>
      </c>
      <c r="B203" t="s">
        <v>46</v>
      </c>
      <c r="C203" s="3">
        <v>93.2</v>
      </c>
      <c r="D203">
        <v>1</v>
      </c>
      <c r="E203">
        <v>1</v>
      </c>
      <c r="F203">
        <v>1</v>
      </c>
    </row>
    <row r="204" spans="1:6">
      <c r="A204" t="s">
        <v>66</v>
      </c>
      <c r="B204" t="s">
        <v>392</v>
      </c>
      <c r="C204" s="3"/>
      <c r="D204">
        <v>0</v>
      </c>
      <c r="E204">
        <v>1</v>
      </c>
      <c r="F204">
        <v>1</v>
      </c>
    </row>
    <row r="205" spans="1:6">
      <c r="A205" t="s">
        <v>66</v>
      </c>
      <c r="B205" t="s">
        <v>393</v>
      </c>
      <c r="C205" s="3"/>
      <c r="D205">
        <v>0</v>
      </c>
      <c r="E205">
        <v>1</v>
      </c>
      <c r="F205">
        <v>1</v>
      </c>
    </row>
    <row r="206" spans="1:6">
      <c r="A206" t="s">
        <v>66</v>
      </c>
      <c r="B206" t="s">
        <v>394</v>
      </c>
      <c r="C206" s="3"/>
      <c r="D206">
        <v>0</v>
      </c>
      <c r="E206">
        <v>1</v>
      </c>
      <c r="F206">
        <v>1</v>
      </c>
    </row>
    <row r="207" spans="1:6">
      <c r="A207" t="s">
        <v>66</v>
      </c>
      <c r="B207" t="s">
        <v>39</v>
      </c>
      <c r="C207" s="3">
        <v>-7.87152155751319</v>
      </c>
      <c r="D207">
        <v>1</v>
      </c>
      <c r="E207">
        <v>1</v>
      </c>
      <c r="F207">
        <v>1</v>
      </c>
    </row>
    <row r="208" spans="1:6">
      <c r="A208" t="s">
        <v>66</v>
      </c>
      <c r="B208" t="s">
        <v>43</v>
      </c>
      <c r="C208" s="3">
        <v>-1.10000000000001</v>
      </c>
      <c r="D208">
        <v>1</v>
      </c>
      <c r="E208">
        <v>1</v>
      </c>
      <c r="F208">
        <v>1</v>
      </c>
    </row>
    <row r="209" spans="1:6">
      <c r="A209" t="s">
        <v>66</v>
      </c>
      <c r="B209" t="s">
        <v>44</v>
      </c>
      <c r="C209" s="3">
        <v>0</v>
      </c>
      <c r="D209">
        <v>1</v>
      </c>
      <c r="E209">
        <v>1</v>
      </c>
      <c r="F209">
        <v>1</v>
      </c>
    </row>
    <row r="210" spans="1:6">
      <c r="A210" t="s">
        <v>66</v>
      </c>
      <c r="B210" t="s">
        <v>45</v>
      </c>
      <c r="C210" s="3">
        <v>-0.0999999999999943</v>
      </c>
      <c r="D210">
        <v>1</v>
      </c>
      <c r="E210">
        <v>1</v>
      </c>
      <c r="F210">
        <v>1</v>
      </c>
    </row>
    <row r="211" spans="1:6">
      <c r="A211" t="s">
        <v>66</v>
      </c>
      <c r="B211" t="s">
        <v>396</v>
      </c>
      <c r="C211" s="3"/>
      <c r="D211">
        <v>0</v>
      </c>
      <c r="E211">
        <v>1</v>
      </c>
      <c r="F211">
        <v>1</v>
      </c>
    </row>
    <row r="212" spans="1:6">
      <c r="A212" t="s">
        <v>67</v>
      </c>
      <c r="B212" t="s">
        <v>34</v>
      </c>
      <c r="C212" s="3">
        <v>12.51</v>
      </c>
      <c r="D212">
        <v>1</v>
      </c>
      <c r="E212">
        <v>1</v>
      </c>
      <c r="F212">
        <v>1</v>
      </c>
    </row>
    <row r="213" spans="1:6">
      <c r="A213" t="s">
        <v>67</v>
      </c>
      <c r="B213" t="s">
        <v>35</v>
      </c>
      <c r="C213" s="3">
        <v>8.2792</v>
      </c>
      <c r="D213">
        <v>1</v>
      </c>
      <c r="E213">
        <v>1</v>
      </c>
      <c r="F213">
        <v>1</v>
      </c>
    </row>
    <row r="214" spans="1:6">
      <c r="A214" t="s">
        <v>67</v>
      </c>
      <c r="B214" t="s">
        <v>36</v>
      </c>
      <c r="C214" s="3">
        <v>103.572792</v>
      </c>
      <c r="D214">
        <v>1</v>
      </c>
      <c r="E214">
        <v>1</v>
      </c>
      <c r="F214">
        <v>1</v>
      </c>
    </row>
    <row r="215" spans="1:6">
      <c r="A215" t="s">
        <v>67</v>
      </c>
      <c r="B215" t="s">
        <v>40</v>
      </c>
      <c r="C215" s="3">
        <v>95.3</v>
      </c>
      <c r="D215">
        <v>1</v>
      </c>
      <c r="E215">
        <v>1</v>
      </c>
      <c r="F215">
        <v>1</v>
      </c>
    </row>
    <row r="216" spans="1:6">
      <c r="A216" t="s">
        <v>67</v>
      </c>
      <c r="B216" t="s">
        <v>41</v>
      </c>
      <c r="C216" s="3">
        <v>95.4</v>
      </c>
      <c r="D216">
        <v>1</v>
      </c>
      <c r="E216">
        <v>1</v>
      </c>
      <c r="F216">
        <v>1</v>
      </c>
    </row>
    <row r="217" spans="1:6">
      <c r="A217" t="s">
        <v>67</v>
      </c>
      <c r="B217" t="s">
        <v>42</v>
      </c>
      <c r="C217" s="3">
        <v>98.2</v>
      </c>
      <c r="D217">
        <v>1</v>
      </c>
      <c r="E217">
        <v>1</v>
      </c>
      <c r="F217">
        <v>1</v>
      </c>
    </row>
    <row r="218" spans="1:6">
      <c r="A218" t="s">
        <v>67</v>
      </c>
      <c r="B218" t="s">
        <v>46</v>
      </c>
      <c r="C218" s="3">
        <v>93.5</v>
      </c>
      <c r="D218">
        <v>1</v>
      </c>
      <c r="E218">
        <v>1</v>
      </c>
      <c r="F218">
        <v>1</v>
      </c>
    </row>
    <row r="219" spans="1:6">
      <c r="A219" t="s">
        <v>67</v>
      </c>
      <c r="B219" t="s">
        <v>392</v>
      </c>
      <c r="C219" s="3"/>
      <c r="D219">
        <v>0</v>
      </c>
      <c r="E219">
        <v>1</v>
      </c>
      <c r="F219">
        <v>1</v>
      </c>
    </row>
    <row r="220" spans="1:6">
      <c r="A220" t="s">
        <v>67</v>
      </c>
      <c r="B220" t="s">
        <v>393</v>
      </c>
      <c r="C220" s="3"/>
      <c r="D220">
        <v>0</v>
      </c>
      <c r="E220">
        <v>1</v>
      </c>
      <c r="F220">
        <v>1</v>
      </c>
    </row>
    <row r="221" spans="1:6">
      <c r="A221" t="s">
        <v>67</v>
      </c>
      <c r="B221" t="s">
        <v>394</v>
      </c>
      <c r="C221" s="3"/>
      <c r="D221">
        <v>0</v>
      </c>
      <c r="E221">
        <v>1</v>
      </c>
      <c r="F221">
        <v>1</v>
      </c>
    </row>
    <row r="222" spans="1:6">
      <c r="A222" t="s">
        <v>67</v>
      </c>
      <c r="B222" t="s">
        <v>39</v>
      </c>
      <c r="C222" s="3">
        <v>19.7434172443992</v>
      </c>
      <c r="D222">
        <v>1</v>
      </c>
      <c r="E222">
        <v>1</v>
      </c>
      <c r="F222">
        <v>1</v>
      </c>
    </row>
    <row r="223" spans="1:6">
      <c r="A223" t="s">
        <v>67</v>
      </c>
      <c r="B223" t="s">
        <v>43</v>
      </c>
      <c r="C223" s="3">
        <v>1</v>
      </c>
      <c r="D223">
        <v>1</v>
      </c>
      <c r="E223">
        <v>1</v>
      </c>
      <c r="F223">
        <v>1</v>
      </c>
    </row>
    <row r="224" spans="1:6">
      <c r="A224" t="s">
        <v>67</v>
      </c>
      <c r="B224" t="s">
        <v>44</v>
      </c>
      <c r="C224" s="3">
        <v>0.300000000000011</v>
      </c>
      <c r="D224">
        <v>1</v>
      </c>
      <c r="E224">
        <v>1</v>
      </c>
      <c r="F224">
        <v>1</v>
      </c>
    </row>
    <row r="225" spans="1:6">
      <c r="A225" t="s">
        <v>67</v>
      </c>
      <c r="B225" t="s">
        <v>45</v>
      </c>
      <c r="C225" s="3">
        <v>-0.5</v>
      </c>
      <c r="D225">
        <v>1</v>
      </c>
      <c r="E225">
        <v>1</v>
      </c>
      <c r="F225">
        <v>1</v>
      </c>
    </row>
    <row r="226" spans="1:6">
      <c r="A226" t="s">
        <v>67</v>
      </c>
      <c r="B226" t="s">
        <v>396</v>
      </c>
      <c r="C226" s="3"/>
      <c r="D226">
        <v>0</v>
      </c>
      <c r="E226">
        <v>1</v>
      </c>
      <c r="F226">
        <v>1</v>
      </c>
    </row>
    <row r="227" spans="1:6">
      <c r="A227" t="s">
        <v>68</v>
      </c>
      <c r="B227" t="s">
        <v>34</v>
      </c>
      <c r="C227" s="3">
        <v>15.29</v>
      </c>
      <c r="D227">
        <v>1</v>
      </c>
      <c r="E227">
        <v>1</v>
      </c>
      <c r="F227">
        <v>1</v>
      </c>
    </row>
    <row r="228" spans="1:6">
      <c r="A228" t="s">
        <v>68</v>
      </c>
      <c r="B228" t="s">
        <v>35</v>
      </c>
      <c r="C228" s="3">
        <v>8.2792</v>
      </c>
      <c r="D228">
        <v>1</v>
      </c>
      <c r="E228">
        <v>1</v>
      </c>
      <c r="F228">
        <v>1</v>
      </c>
    </row>
    <row r="229" spans="1:6">
      <c r="A229" t="s">
        <v>68</v>
      </c>
      <c r="B229" t="s">
        <v>36</v>
      </c>
      <c r="C229" s="3">
        <v>126.588968</v>
      </c>
      <c r="D229">
        <v>1</v>
      </c>
      <c r="E229">
        <v>1</v>
      </c>
      <c r="F229">
        <v>1</v>
      </c>
    </row>
    <row r="230" spans="1:6">
      <c r="A230" t="s">
        <v>68</v>
      </c>
      <c r="B230" t="s">
        <v>40</v>
      </c>
      <c r="C230" s="3">
        <v>96.1</v>
      </c>
      <c r="D230">
        <v>1</v>
      </c>
      <c r="E230">
        <v>1</v>
      </c>
      <c r="F230">
        <v>1</v>
      </c>
    </row>
    <row r="231" spans="1:6">
      <c r="A231" t="s">
        <v>68</v>
      </c>
      <c r="B231" t="s">
        <v>41</v>
      </c>
      <c r="C231" s="3">
        <v>96.1</v>
      </c>
      <c r="D231">
        <v>1</v>
      </c>
      <c r="E231">
        <v>1</v>
      </c>
      <c r="F231">
        <v>1</v>
      </c>
    </row>
    <row r="232" spans="1:6">
      <c r="A232" t="s">
        <v>68</v>
      </c>
      <c r="B232" t="s">
        <v>42</v>
      </c>
      <c r="C232" s="3">
        <v>97.8</v>
      </c>
      <c r="D232">
        <v>1</v>
      </c>
      <c r="E232">
        <v>1</v>
      </c>
      <c r="F232">
        <v>1</v>
      </c>
    </row>
    <row r="233" spans="1:6">
      <c r="A233" t="s">
        <v>68</v>
      </c>
      <c r="B233" t="s">
        <v>46</v>
      </c>
      <c r="C233" s="3">
        <v>93.7</v>
      </c>
      <c r="D233">
        <v>1</v>
      </c>
      <c r="E233">
        <v>1</v>
      </c>
      <c r="F233">
        <v>1</v>
      </c>
    </row>
    <row r="234" spans="1:6">
      <c r="A234" t="s">
        <v>68</v>
      </c>
      <c r="B234" t="s">
        <v>392</v>
      </c>
      <c r="C234" s="3"/>
      <c r="D234">
        <v>0</v>
      </c>
      <c r="E234">
        <v>1</v>
      </c>
      <c r="F234">
        <v>1</v>
      </c>
    </row>
    <row r="235" spans="1:6">
      <c r="A235" t="s">
        <v>68</v>
      </c>
      <c r="B235" t="s">
        <v>393</v>
      </c>
      <c r="C235" s="3"/>
      <c r="D235">
        <v>0</v>
      </c>
      <c r="E235">
        <v>1</v>
      </c>
      <c r="F235">
        <v>1</v>
      </c>
    </row>
    <row r="236" spans="1:6">
      <c r="A236" t="s">
        <v>68</v>
      </c>
      <c r="B236" t="s">
        <v>394</v>
      </c>
      <c r="C236" s="3"/>
      <c r="D236">
        <v>0</v>
      </c>
      <c r="E236">
        <v>1</v>
      </c>
      <c r="F236">
        <v>1</v>
      </c>
    </row>
    <row r="237" spans="1:6">
      <c r="A237" t="s">
        <v>68</v>
      </c>
      <c r="B237" t="s">
        <v>39</v>
      </c>
      <c r="C237" s="3">
        <v>20.0670695462151</v>
      </c>
      <c r="D237">
        <v>1</v>
      </c>
      <c r="E237">
        <v>1</v>
      </c>
      <c r="F237">
        <v>1</v>
      </c>
    </row>
    <row r="238" spans="1:6">
      <c r="A238" t="s">
        <v>68</v>
      </c>
      <c r="B238" t="s">
        <v>43</v>
      </c>
      <c r="C238" s="3">
        <v>0.799999999999997</v>
      </c>
      <c r="D238">
        <v>1</v>
      </c>
      <c r="E238">
        <v>1</v>
      </c>
      <c r="F238">
        <v>1</v>
      </c>
    </row>
    <row r="239" spans="1:6">
      <c r="A239" t="s">
        <v>68</v>
      </c>
      <c r="B239" t="s">
        <v>44</v>
      </c>
      <c r="C239" s="3">
        <v>0.699999999999989</v>
      </c>
      <c r="D239">
        <v>1</v>
      </c>
      <c r="E239">
        <v>1</v>
      </c>
      <c r="F239">
        <v>1</v>
      </c>
    </row>
    <row r="240" spans="1:6">
      <c r="A240" t="s">
        <v>68</v>
      </c>
      <c r="B240" t="s">
        <v>45</v>
      </c>
      <c r="C240" s="3">
        <v>-0.400000000000006</v>
      </c>
      <c r="D240">
        <v>1</v>
      </c>
      <c r="E240">
        <v>1</v>
      </c>
      <c r="F240">
        <v>1</v>
      </c>
    </row>
    <row r="241" spans="1:6">
      <c r="A241" t="s">
        <v>68</v>
      </c>
      <c r="B241" t="s">
        <v>396</v>
      </c>
      <c r="C241" s="3"/>
      <c r="D241">
        <v>0</v>
      </c>
      <c r="E241">
        <v>1</v>
      </c>
      <c r="F241">
        <v>1</v>
      </c>
    </row>
    <row r="242" spans="1:6">
      <c r="A242" t="s">
        <v>69</v>
      </c>
      <c r="B242" t="s">
        <v>34</v>
      </c>
      <c r="C242" s="3">
        <v>15.23</v>
      </c>
      <c r="D242">
        <v>1</v>
      </c>
      <c r="E242">
        <v>1</v>
      </c>
      <c r="F242">
        <v>1</v>
      </c>
    </row>
    <row r="243" spans="1:6">
      <c r="A243" t="s">
        <v>69</v>
      </c>
      <c r="B243" t="s">
        <v>35</v>
      </c>
      <c r="C243" s="3">
        <v>8.2785</v>
      </c>
      <c r="D243">
        <v>1</v>
      </c>
      <c r="E243">
        <v>1</v>
      </c>
      <c r="F243">
        <v>1</v>
      </c>
    </row>
    <row r="244" spans="1:6">
      <c r="A244" t="s">
        <v>69</v>
      </c>
      <c r="B244" t="s">
        <v>36</v>
      </c>
      <c r="C244" s="3">
        <v>126.081555</v>
      </c>
      <c r="D244">
        <v>1</v>
      </c>
      <c r="E244">
        <v>1</v>
      </c>
      <c r="F244">
        <v>1</v>
      </c>
    </row>
    <row r="245" spans="1:6">
      <c r="A245" t="s">
        <v>69</v>
      </c>
      <c r="B245" t="s">
        <v>40</v>
      </c>
      <c r="C245" s="3">
        <v>98.3</v>
      </c>
      <c r="D245">
        <v>1</v>
      </c>
      <c r="E245">
        <v>1</v>
      </c>
      <c r="F245">
        <v>1</v>
      </c>
    </row>
    <row r="246" spans="1:6">
      <c r="A246" t="s">
        <v>69</v>
      </c>
      <c r="B246" t="s">
        <v>41</v>
      </c>
      <c r="C246" s="3">
        <v>96.6</v>
      </c>
      <c r="D246">
        <v>1</v>
      </c>
      <c r="E246">
        <v>1</v>
      </c>
      <c r="F246">
        <v>1</v>
      </c>
    </row>
    <row r="247" spans="1:6">
      <c r="A247" t="s">
        <v>69</v>
      </c>
      <c r="B247" t="s">
        <v>42</v>
      </c>
      <c r="C247" s="3">
        <v>97.8</v>
      </c>
      <c r="D247">
        <v>1</v>
      </c>
      <c r="E247">
        <v>1</v>
      </c>
      <c r="F247">
        <v>1</v>
      </c>
    </row>
    <row r="248" spans="1:6">
      <c r="A248" t="s">
        <v>69</v>
      </c>
      <c r="B248" t="s">
        <v>46</v>
      </c>
      <c r="C248" s="3">
        <v>95.1</v>
      </c>
      <c r="D248">
        <v>1</v>
      </c>
      <c r="E248">
        <v>1</v>
      </c>
      <c r="F248">
        <v>1</v>
      </c>
    </row>
    <row r="249" spans="1:6">
      <c r="A249" t="s">
        <v>69</v>
      </c>
      <c r="B249" t="s">
        <v>392</v>
      </c>
      <c r="C249" s="3"/>
      <c r="D249">
        <v>0</v>
      </c>
      <c r="E249">
        <v>1</v>
      </c>
      <c r="F249">
        <v>1</v>
      </c>
    </row>
    <row r="250" spans="1:6">
      <c r="A250" t="s">
        <v>69</v>
      </c>
      <c r="B250" t="s">
        <v>393</v>
      </c>
      <c r="C250" s="3"/>
      <c r="D250">
        <v>0</v>
      </c>
      <c r="E250">
        <v>1</v>
      </c>
      <c r="F250">
        <v>1</v>
      </c>
    </row>
    <row r="251" spans="1:6">
      <c r="A251" t="s">
        <v>69</v>
      </c>
      <c r="B251" t="s">
        <v>394</v>
      </c>
      <c r="C251" s="3"/>
      <c r="D251">
        <v>0</v>
      </c>
      <c r="E251">
        <v>1</v>
      </c>
      <c r="F251">
        <v>1</v>
      </c>
    </row>
    <row r="252" spans="1:6">
      <c r="A252" t="s">
        <v>69</v>
      </c>
      <c r="B252" t="s">
        <v>39</v>
      </c>
      <c r="C252" s="3">
        <v>-0.401640584019803</v>
      </c>
      <c r="D252">
        <v>1</v>
      </c>
      <c r="E252">
        <v>1</v>
      </c>
      <c r="F252">
        <v>1</v>
      </c>
    </row>
    <row r="253" spans="1:6">
      <c r="A253" t="s">
        <v>69</v>
      </c>
      <c r="B253" t="s">
        <v>43</v>
      </c>
      <c r="C253" s="3">
        <v>2.2</v>
      </c>
      <c r="D253">
        <v>1</v>
      </c>
      <c r="E253">
        <v>1</v>
      </c>
      <c r="F253">
        <v>1</v>
      </c>
    </row>
    <row r="254" spans="1:6">
      <c r="A254" t="s">
        <v>69</v>
      </c>
      <c r="B254" t="s">
        <v>44</v>
      </c>
      <c r="C254" s="3">
        <v>0.5</v>
      </c>
      <c r="D254">
        <v>1</v>
      </c>
      <c r="E254">
        <v>1</v>
      </c>
      <c r="F254">
        <v>1</v>
      </c>
    </row>
    <row r="255" spans="1:6">
      <c r="A255" t="s">
        <v>69</v>
      </c>
      <c r="B255" t="s">
        <v>45</v>
      </c>
      <c r="C255" s="3">
        <v>0</v>
      </c>
      <c r="D255">
        <v>1</v>
      </c>
      <c r="E255">
        <v>1</v>
      </c>
      <c r="F255">
        <v>1</v>
      </c>
    </row>
    <row r="256" spans="1:6">
      <c r="A256" t="s">
        <v>69</v>
      </c>
      <c r="B256" t="s">
        <v>396</v>
      </c>
      <c r="C256" s="3"/>
      <c r="D256">
        <v>0</v>
      </c>
      <c r="E256">
        <v>1</v>
      </c>
      <c r="F256">
        <v>1</v>
      </c>
    </row>
    <row r="257" spans="1:6">
      <c r="A257" t="s">
        <v>70</v>
      </c>
      <c r="B257" t="s">
        <v>34</v>
      </c>
      <c r="C257" s="3">
        <v>15.86</v>
      </c>
      <c r="D257">
        <v>1</v>
      </c>
      <c r="E257">
        <v>1</v>
      </c>
      <c r="F257">
        <v>1</v>
      </c>
    </row>
    <row r="258" spans="1:6">
      <c r="A258" t="s">
        <v>70</v>
      </c>
      <c r="B258" t="s">
        <v>35</v>
      </c>
      <c r="C258" s="3">
        <v>8.278</v>
      </c>
      <c r="D258">
        <v>1</v>
      </c>
      <c r="E258">
        <v>1</v>
      </c>
      <c r="F258">
        <v>1</v>
      </c>
    </row>
    <row r="259" spans="1:6">
      <c r="A259" t="s">
        <v>70</v>
      </c>
      <c r="B259" t="s">
        <v>36</v>
      </c>
      <c r="C259" s="3">
        <v>131.28908</v>
      </c>
      <c r="D259">
        <v>1</v>
      </c>
      <c r="E259">
        <v>1</v>
      </c>
      <c r="F259">
        <v>1</v>
      </c>
    </row>
    <row r="260" spans="1:6">
      <c r="A260" t="s">
        <v>70</v>
      </c>
      <c r="B260" t="s">
        <v>40</v>
      </c>
      <c r="C260" s="3">
        <v>99.4</v>
      </c>
      <c r="D260">
        <v>1</v>
      </c>
      <c r="E260">
        <v>1</v>
      </c>
      <c r="F260">
        <v>1</v>
      </c>
    </row>
    <row r="261" spans="1:6">
      <c r="A261" t="s">
        <v>70</v>
      </c>
      <c r="B261" t="s">
        <v>41</v>
      </c>
      <c r="C261" s="3">
        <v>96.4</v>
      </c>
      <c r="D261">
        <v>1</v>
      </c>
      <c r="E261">
        <v>1</v>
      </c>
      <c r="F261">
        <v>1</v>
      </c>
    </row>
    <row r="262" spans="1:6">
      <c r="A262" t="s">
        <v>70</v>
      </c>
      <c r="B262" t="s">
        <v>42</v>
      </c>
      <c r="C262" s="3">
        <v>97.9</v>
      </c>
      <c r="D262">
        <v>1</v>
      </c>
      <c r="E262">
        <v>1</v>
      </c>
      <c r="F262">
        <v>1</v>
      </c>
    </row>
    <row r="263" spans="1:6">
      <c r="A263" t="s">
        <v>70</v>
      </c>
      <c r="B263" t="s">
        <v>46</v>
      </c>
      <c r="C263" s="3">
        <v>95.1</v>
      </c>
      <c r="D263">
        <v>1</v>
      </c>
      <c r="E263">
        <v>1</v>
      </c>
      <c r="F263">
        <v>1</v>
      </c>
    </row>
    <row r="264" spans="1:6">
      <c r="A264" t="s">
        <v>70</v>
      </c>
      <c r="B264" t="s">
        <v>392</v>
      </c>
      <c r="C264" s="3"/>
      <c r="D264">
        <v>0</v>
      </c>
      <c r="E264">
        <v>1</v>
      </c>
      <c r="F264">
        <v>1</v>
      </c>
    </row>
    <row r="265" spans="1:6">
      <c r="A265" t="s">
        <v>70</v>
      </c>
      <c r="B265" t="s">
        <v>393</v>
      </c>
      <c r="C265" s="3"/>
      <c r="D265">
        <v>0</v>
      </c>
      <c r="E265">
        <v>1</v>
      </c>
      <c r="F265">
        <v>1</v>
      </c>
    </row>
    <row r="266" spans="1:6">
      <c r="A266" t="s">
        <v>70</v>
      </c>
      <c r="B266" t="s">
        <v>394</v>
      </c>
      <c r="C266" s="3"/>
      <c r="D266">
        <v>0</v>
      </c>
      <c r="E266">
        <v>1</v>
      </c>
      <c r="F266">
        <v>1</v>
      </c>
    </row>
    <row r="267" spans="1:6">
      <c r="A267" t="s">
        <v>70</v>
      </c>
      <c r="B267" t="s">
        <v>39</v>
      </c>
      <c r="C267" s="3">
        <v>4.04726500606437</v>
      </c>
      <c r="D267">
        <v>1</v>
      </c>
      <c r="E267">
        <v>1</v>
      </c>
      <c r="F267">
        <v>1</v>
      </c>
    </row>
    <row r="268" spans="1:6">
      <c r="A268" t="s">
        <v>70</v>
      </c>
      <c r="B268" t="s">
        <v>43</v>
      </c>
      <c r="C268" s="3">
        <v>1.10000000000001</v>
      </c>
      <c r="D268">
        <v>1</v>
      </c>
      <c r="E268">
        <v>1</v>
      </c>
      <c r="F268">
        <v>1</v>
      </c>
    </row>
    <row r="269" spans="1:6">
      <c r="A269" t="s">
        <v>70</v>
      </c>
      <c r="B269" t="s">
        <v>44</v>
      </c>
      <c r="C269" s="3">
        <v>-0.199999999999989</v>
      </c>
      <c r="D269">
        <v>1</v>
      </c>
      <c r="E269">
        <v>1</v>
      </c>
      <c r="F269">
        <v>1</v>
      </c>
    </row>
    <row r="270" spans="1:6">
      <c r="A270" t="s">
        <v>70</v>
      </c>
      <c r="B270" t="s">
        <v>45</v>
      </c>
      <c r="C270" s="3">
        <v>0.100000000000009</v>
      </c>
      <c r="D270">
        <v>1</v>
      </c>
      <c r="E270">
        <v>1</v>
      </c>
      <c r="F270">
        <v>1</v>
      </c>
    </row>
    <row r="271" spans="1:6">
      <c r="A271" t="s">
        <v>70</v>
      </c>
      <c r="B271" t="s">
        <v>396</v>
      </c>
      <c r="C271" s="3"/>
      <c r="D271">
        <v>0</v>
      </c>
      <c r="E271">
        <v>1</v>
      </c>
      <c r="F271">
        <v>1</v>
      </c>
    </row>
    <row r="272" spans="1:6">
      <c r="A272" t="s">
        <v>71</v>
      </c>
      <c r="B272" t="s">
        <v>34</v>
      </c>
      <c r="C272" s="3">
        <v>19.08</v>
      </c>
      <c r="D272">
        <v>1</v>
      </c>
      <c r="E272">
        <v>1</v>
      </c>
      <c r="F272">
        <v>1</v>
      </c>
    </row>
    <row r="273" spans="1:6">
      <c r="A273" t="s">
        <v>71</v>
      </c>
      <c r="B273" t="s">
        <v>35</v>
      </c>
      <c r="C273" s="3">
        <v>8.2776</v>
      </c>
      <c r="D273">
        <v>1</v>
      </c>
      <c r="E273">
        <v>1</v>
      </c>
      <c r="F273">
        <v>1</v>
      </c>
    </row>
    <row r="274" spans="1:6">
      <c r="A274" t="s">
        <v>71</v>
      </c>
      <c r="B274" t="s">
        <v>36</v>
      </c>
      <c r="C274" s="3">
        <v>157.936608</v>
      </c>
      <c r="D274">
        <v>1</v>
      </c>
      <c r="E274">
        <v>1</v>
      </c>
      <c r="F274">
        <v>1</v>
      </c>
    </row>
    <row r="275" spans="1:6">
      <c r="A275" t="s">
        <v>71</v>
      </c>
      <c r="B275" t="s">
        <v>40</v>
      </c>
      <c r="C275" s="3">
        <v>100.3</v>
      </c>
      <c r="D275">
        <v>1</v>
      </c>
      <c r="E275">
        <v>1</v>
      </c>
      <c r="F275">
        <v>1</v>
      </c>
    </row>
    <row r="276" spans="1:6">
      <c r="A276" t="s">
        <v>71</v>
      </c>
      <c r="B276" t="s">
        <v>41</v>
      </c>
      <c r="C276" s="3">
        <v>97.5</v>
      </c>
      <c r="D276">
        <v>1</v>
      </c>
      <c r="E276">
        <v>1</v>
      </c>
      <c r="F276">
        <v>1</v>
      </c>
    </row>
    <row r="277" spans="1:6">
      <c r="A277" t="s">
        <v>71</v>
      </c>
      <c r="B277" t="s">
        <v>42</v>
      </c>
      <c r="C277" s="3">
        <v>98.6</v>
      </c>
      <c r="D277">
        <v>1</v>
      </c>
      <c r="E277">
        <v>1</v>
      </c>
      <c r="F277">
        <v>1</v>
      </c>
    </row>
    <row r="278" spans="1:6">
      <c r="A278" t="s">
        <v>71</v>
      </c>
      <c r="B278" t="s">
        <v>46</v>
      </c>
      <c r="C278" s="3">
        <v>96.6</v>
      </c>
      <c r="D278">
        <v>1</v>
      </c>
      <c r="E278">
        <v>1</v>
      </c>
      <c r="F278">
        <v>1</v>
      </c>
    </row>
    <row r="279" spans="1:6">
      <c r="A279" t="s">
        <v>71</v>
      </c>
      <c r="B279" t="s">
        <v>392</v>
      </c>
      <c r="C279" s="3"/>
      <c r="D279">
        <v>0</v>
      </c>
      <c r="E279">
        <v>1</v>
      </c>
      <c r="F279">
        <v>1</v>
      </c>
    </row>
    <row r="280" spans="1:6">
      <c r="A280" t="s">
        <v>71</v>
      </c>
      <c r="B280" t="s">
        <v>393</v>
      </c>
      <c r="C280" s="3"/>
      <c r="D280">
        <v>0</v>
      </c>
      <c r="E280">
        <v>1</v>
      </c>
      <c r="F280">
        <v>1</v>
      </c>
    </row>
    <row r="281" spans="1:6">
      <c r="A281" t="s">
        <v>71</v>
      </c>
      <c r="B281" t="s">
        <v>394</v>
      </c>
      <c r="C281" s="3"/>
      <c r="D281">
        <v>0</v>
      </c>
      <c r="E281">
        <v>1</v>
      </c>
      <c r="F281">
        <v>1</v>
      </c>
    </row>
    <row r="282" spans="1:6">
      <c r="A282" t="s">
        <v>71</v>
      </c>
      <c r="B282" t="s">
        <v>39</v>
      </c>
      <c r="C282" s="3">
        <v>18.4792127795502</v>
      </c>
      <c r="D282">
        <v>1</v>
      </c>
      <c r="E282">
        <v>1</v>
      </c>
      <c r="F282">
        <v>1</v>
      </c>
    </row>
    <row r="283" spans="1:6">
      <c r="A283" t="s">
        <v>71</v>
      </c>
      <c r="B283" t="s">
        <v>43</v>
      </c>
      <c r="C283" s="3">
        <v>0.899999999999991</v>
      </c>
      <c r="D283">
        <v>1</v>
      </c>
      <c r="E283">
        <v>1</v>
      </c>
      <c r="F283">
        <v>1</v>
      </c>
    </row>
    <row r="284" spans="1:6">
      <c r="A284" t="s">
        <v>71</v>
      </c>
      <c r="B284" t="s">
        <v>44</v>
      </c>
      <c r="C284" s="3">
        <v>1.09999999999999</v>
      </c>
      <c r="D284">
        <v>1</v>
      </c>
      <c r="E284">
        <v>1</v>
      </c>
      <c r="F284">
        <v>1</v>
      </c>
    </row>
    <row r="285" spans="1:6">
      <c r="A285" t="s">
        <v>71</v>
      </c>
      <c r="B285" t="s">
        <v>45</v>
      </c>
      <c r="C285" s="3">
        <v>0.699999999999989</v>
      </c>
      <c r="D285">
        <v>1</v>
      </c>
      <c r="E285">
        <v>1</v>
      </c>
      <c r="F285">
        <v>1</v>
      </c>
    </row>
    <row r="286" spans="1:6">
      <c r="A286" t="s">
        <v>71</v>
      </c>
      <c r="B286" t="s">
        <v>396</v>
      </c>
      <c r="C286" s="3"/>
      <c r="D286">
        <v>0</v>
      </c>
      <c r="E286">
        <v>1</v>
      </c>
      <c r="F286">
        <v>1</v>
      </c>
    </row>
    <row r="287" spans="1:6">
      <c r="A287" t="s">
        <v>72</v>
      </c>
      <c r="B287" t="s">
        <v>34</v>
      </c>
      <c r="C287" s="3">
        <v>20.22</v>
      </c>
      <c r="D287">
        <v>1</v>
      </c>
      <c r="E287">
        <v>1</v>
      </c>
      <c r="F287">
        <v>1</v>
      </c>
    </row>
    <row r="288" spans="1:6">
      <c r="A288" t="s">
        <v>72</v>
      </c>
      <c r="B288" t="s">
        <v>35</v>
      </c>
      <c r="C288" s="3">
        <v>8.2772</v>
      </c>
      <c r="D288">
        <v>1</v>
      </c>
      <c r="E288">
        <v>1</v>
      </c>
      <c r="F288">
        <v>1</v>
      </c>
    </row>
    <row r="289" spans="1:6">
      <c r="A289" t="s">
        <v>72</v>
      </c>
      <c r="B289" t="s">
        <v>36</v>
      </c>
      <c r="C289" s="3">
        <v>167.364984</v>
      </c>
      <c r="D289">
        <v>1</v>
      </c>
      <c r="E289">
        <v>1</v>
      </c>
      <c r="F289">
        <v>1</v>
      </c>
    </row>
    <row r="290" spans="1:6">
      <c r="A290" t="s">
        <v>72</v>
      </c>
      <c r="B290" t="s">
        <v>40</v>
      </c>
      <c r="C290" s="3">
        <v>103.1</v>
      </c>
      <c r="D290">
        <v>1</v>
      </c>
      <c r="E290">
        <v>1</v>
      </c>
      <c r="F290">
        <v>1</v>
      </c>
    </row>
    <row r="291" spans="1:6">
      <c r="A291" t="s">
        <v>72</v>
      </c>
      <c r="B291" t="s">
        <v>41</v>
      </c>
      <c r="C291" s="3">
        <v>97.7</v>
      </c>
      <c r="D291">
        <v>1</v>
      </c>
      <c r="E291">
        <v>1</v>
      </c>
      <c r="F291">
        <v>1</v>
      </c>
    </row>
    <row r="292" spans="1:6">
      <c r="A292" t="s">
        <v>72</v>
      </c>
      <c r="B292" t="s">
        <v>42</v>
      </c>
      <c r="C292" s="3">
        <v>98.7</v>
      </c>
      <c r="D292">
        <v>1</v>
      </c>
      <c r="E292">
        <v>1</v>
      </c>
      <c r="F292">
        <v>1</v>
      </c>
    </row>
    <row r="293" spans="1:6">
      <c r="A293" t="s">
        <v>72</v>
      </c>
      <c r="B293" t="s">
        <v>46</v>
      </c>
      <c r="C293" s="3">
        <v>96.7</v>
      </c>
      <c r="D293">
        <v>1</v>
      </c>
      <c r="E293">
        <v>1</v>
      </c>
      <c r="F293">
        <v>1</v>
      </c>
    </row>
    <row r="294" spans="1:6">
      <c r="A294" t="s">
        <v>72</v>
      </c>
      <c r="B294" t="s">
        <v>392</v>
      </c>
      <c r="C294" s="3"/>
      <c r="D294">
        <v>0</v>
      </c>
      <c r="E294">
        <v>1</v>
      </c>
      <c r="F294">
        <v>1</v>
      </c>
    </row>
    <row r="295" spans="1:6">
      <c r="A295" t="s">
        <v>72</v>
      </c>
      <c r="B295" t="s">
        <v>393</v>
      </c>
      <c r="C295" s="3"/>
      <c r="D295">
        <v>0</v>
      </c>
      <c r="E295">
        <v>1</v>
      </c>
      <c r="F295">
        <v>1</v>
      </c>
    </row>
    <row r="296" spans="1:6">
      <c r="A296" t="s">
        <v>72</v>
      </c>
      <c r="B296" t="s">
        <v>394</v>
      </c>
      <c r="C296" s="3"/>
      <c r="D296">
        <v>0</v>
      </c>
      <c r="E296">
        <v>1</v>
      </c>
      <c r="F296">
        <v>1</v>
      </c>
    </row>
    <row r="297" spans="1:6">
      <c r="A297" t="s">
        <v>72</v>
      </c>
      <c r="B297" t="s">
        <v>39</v>
      </c>
      <c r="C297" s="3">
        <v>5.79832232191178</v>
      </c>
      <c r="D297">
        <v>1</v>
      </c>
      <c r="E297">
        <v>1</v>
      </c>
      <c r="F297">
        <v>1</v>
      </c>
    </row>
    <row r="298" spans="1:6">
      <c r="A298" t="s">
        <v>72</v>
      </c>
      <c r="B298" t="s">
        <v>43</v>
      </c>
      <c r="C298" s="3">
        <v>2.8</v>
      </c>
      <c r="D298">
        <v>1</v>
      </c>
      <c r="E298">
        <v>1</v>
      </c>
      <c r="F298">
        <v>1</v>
      </c>
    </row>
    <row r="299" spans="1:6">
      <c r="A299" t="s">
        <v>72</v>
      </c>
      <c r="B299" t="s">
        <v>44</v>
      </c>
      <c r="C299" s="3">
        <v>0.200000000000003</v>
      </c>
      <c r="D299">
        <v>1</v>
      </c>
      <c r="E299">
        <v>1</v>
      </c>
      <c r="F299">
        <v>1</v>
      </c>
    </row>
    <row r="300" spans="1:6">
      <c r="A300" t="s">
        <v>72</v>
      </c>
      <c r="B300" t="s">
        <v>45</v>
      </c>
      <c r="C300" s="3">
        <v>0.100000000000009</v>
      </c>
      <c r="D300">
        <v>1</v>
      </c>
      <c r="E300">
        <v>1</v>
      </c>
      <c r="F300">
        <v>1</v>
      </c>
    </row>
    <row r="301" spans="1:6">
      <c r="A301" t="s">
        <v>72</v>
      </c>
      <c r="B301" t="s">
        <v>396</v>
      </c>
      <c r="C301" s="3"/>
      <c r="D301">
        <v>0</v>
      </c>
      <c r="E301">
        <v>1</v>
      </c>
      <c r="F301">
        <v>1</v>
      </c>
    </row>
    <row r="302" spans="1:6">
      <c r="A302" t="s">
        <v>73</v>
      </c>
      <c r="B302" t="s">
        <v>34</v>
      </c>
      <c r="C302" s="3">
        <v>22.54</v>
      </c>
      <c r="D302">
        <v>1</v>
      </c>
      <c r="E302">
        <v>1</v>
      </c>
      <c r="F302">
        <v>1</v>
      </c>
    </row>
    <row r="303" spans="1:6">
      <c r="A303" t="s">
        <v>73</v>
      </c>
      <c r="B303" t="s">
        <v>35</v>
      </c>
      <c r="C303" s="3">
        <v>8.2774</v>
      </c>
      <c r="D303">
        <v>1</v>
      </c>
      <c r="E303">
        <v>1</v>
      </c>
      <c r="F303">
        <v>1</v>
      </c>
    </row>
    <row r="304" spans="1:6">
      <c r="A304" t="s">
        <v>73</v>
      </c>
      <c r="B304" t="s">
        <v>36</v>
      </c>
      <c r="C304" s="3">
        <v>186.572596</v>
      </c>
      <c r="D304">
        <v>1</v>
      </c>
      <c r="E304">
        <v>1</v>
      </c>
      <c r="F304">
        <v>1</v>
      </c>
    </row>
    <row r="305" spans="1:6">
      <c r="A305" t="s">
        <v>73</v>
      </c>
      <c r="B305" t="s">
        <v>40</v>
      </c>
      <c r="C305" s="3">
        <v>103.1</v>
      </c>
      <c r="D305">
        <v>1</v>
      </c>
      <c r="E305">
        <v>1</v>
      </c>
      <c r="F305">
        <v>1</v>
      </c>
    </row>
    <row r="306" spans="1:6">
      <c r="A306" t="s">
        <v>73</v>
      </c>
      <c r="B306" t="s">
        <v>41</v>
      </c>
      <c r="C306" s="3">
        <v>97.9</v>
      </c>
      <c r="D306">
        <v>1</v>
      </c>
      <c r="E306">
        <v>1</v>
      </c>
      <c r="F306">
        <v>1</v>
      </c>
    </row>
    <row r="307" spans="1:6">
      <c r="A307" t="s">
        <v>73</v>
      </c>
      <c r="B307" t="s">
        <v>42</v>
      </c>
      <c r="C307" s="3">
        <v>99.2</v>
      </c>
      <c r="D307">
        <v>1</v>
      </c>
      <c r="E307">
        <v>1</v>
      </c>
      <c r="F307">
        <v>1</v>
      </c>
    </row>
    <row r="308" spans="1:6">
      <c r="A308" t="s">
        <v>73</v>
      </c>
      <c r="B308" t="s">
        <v>46</v>
      </c>
      <c r="C308" s="3">
        <v>98.2</v>
      </c>
      <c r="D308">
        <v>1</v>
      </c>
      <c r="E308">
        <v>1</v>
      </c>
      <c r="F308">
        <v>1</v>
      </c>
    </row>
    <row r="309" spans="1:6">
      <c r="A309" t="s">
        <v>73</v>
      </c>
      <c r="B309" t="s">
        <v>392</v>
      </c>
      <c r="C309" s="3"/>
      <c r="D309">
        <v>0</v>
      </c>
      <c r="E309">
        <v>1</v>
      </c>
      <c r="F309">
        <v>1</v>
      </c>
    </row>
    <row r="310" spans="1:6">
      <c r="A310" t="s">
        <v>73</v>
      </c>
      <c r="B310" t="s">
        <v>393</v>
      </c>
      <c r="C310" s="3"/>
      <c r="D310">
        <v>0</v>
      </c>
      <c r="E310">
        <v>1</v>
      </c>
      <c r="F310">
        <v>1</v>
      </c>
    </row>
    <row r="311" spans="1:6">
      <c r="A311" t="s">
        <v>73</v>
      </c>
      <c r="B311" t="s">
        <v>394</v>
      </c>
      <c r="C311" s="3"/>
      <c r="D311">
        <v>0</v>
      </c>
      <c r="E311">
        <v>1</v>
      </c>
      <c r="F311">
        <v>1</v>
      </c>
    </row>
    <row r="312" spans="1:6">
      <c r="A312" t="s">
        <v>73</v>
      </c>
      <c r="B312" t="s">
        <v>39</v>
      </c>
      <c r="C312" s="3">
        <v>10.8643457487744</v>
      </c>
      <c r="D312">
        <v>1</v>
      </c>
      <c r="E312">
        <v>1</v>
      </c>
      <c r="F312">
        <v>1</v>
      </c>
    </row>
    <row r="313" spans="1:6">
      <c r="A313" t="s">
        <v>73</v>
      </c>
      <c r="B313" t="s">
        <v>43</v>
      </c>
      <c r="C313" s="3">
        <v>0</v>
      </c>
      <c r="D313">
        <v>1</v>
      </c>
      <c r="E313">
        <v>1</v>
      </c>
      <c r="F313">
        <v>1</v>
      </c>
    </row>
    <row r="314" spans="1:6">
      <c r="A314" t="s">
        <v>73</v>
      </c>
      <c r="B314" t="s">
        <v>44</v>
      </c>
      <c r="C314" s="3">
        <v>0.200000000000003</v>
      </c>
      <c r="D314">
        <v>1</v>
      </c>
      <c r="E314">
        <v>1</v>
      </c>
      <c r="F314">
        <v>1</v>
      </c>
    </row>
    <row r="315" spans="1:6">
      <c r="A315" t="s">
        <v>73</v>
      </c>
      <c r="B315" t="s">
        <v>45</v>
      </c>
      <c r="C315" s="3">
        <v>0.5</v>
      </c>
      <c r="D315">
        <v>1</v>
      </c>
      <c r="E315">
        <v>1</v>
      </c>
      <c r="F315">
        <v>1</v>
      </c>
    </row>
    <row r="316" spans="1:6">
      <c r="A316" t="s">
        <v>73</v>
      </c>
      <c r="B316" t="s">
        <v>396</v>
      </c>
      <c r="C316" s="3"/>
      <c r="D316">
        <v>0</v>
      </c>
      <c r="E316">
        <v>1</v>
      </c>
      <c r="F316">
        <v>1</v>
      </c>
    </row>
    <row r="317" spans="1:6">
      <c r="A317" t="s">
        <v>74</v>
      </c>
      <c r="B317" t="s">
        <v>34</v>
      </c>
      <c r="C317" s="3">
        <v>22</v>
      </c>
      <c r="D317">
        <v>1</v>
      </c>
      <c r="E317">
        <v>1</v>
      </c>
      <c r="F317">
        <v>1</v>
      </c>
    </row>
    <row r="318" spans="1:6">
      <c r="A318" t="s">
        <v>74</v>
      </c>
      <c r="B318" t="s">
        <v>35</v>
      </c>
      <c r="C318" s="3">
        <v>8.2775</v>
      </c>
      <c r="D318">
        <v>1</v>
      </c>
      <c r="E318">
        <v>1</v>
      </c>
      <c r="F318">
        <v>1</v>
      </c>
    </row>
    <row r="319" spans="1:6">
      <c r="A319" t="s">
        <v>74</v>
      </c>
      <c r="B319" t="s">
        <v>36</v>
      </c>
      <c r="C319" s="3">
        <v>182.105</v>
      </c>
      <c r="D319">
        <v>1</v>
      </c>
      <c r="E319">
        <v>1</v>
      </c>
      <c r="F319">
        <v>1</v>
      </c>
    </row>
    <row r="320" spans="1:6">
      <c r="A320" t="s">
        <v>74</v>
      </c>
      <c r="B320" t="s">
        <v>40</v>
      </c>
      <c r="C320" s="3">
        <v>107.1</v>
      </c>
      <c r="D320">
        <v>1</v>
      </c>
      <c r="E320">
        <v>1</v>
      </c>
      <c r="F320">
        <v>1</v>
      </c>
    </row>
    <row r="321" spans="1:6">
      <c r="A321" t="s">
        <v>74</v>
      </c>
      <c r="B321" t="s">
        <v>41</v>
      </c>
      <c r="C321" s="3">
        <v>99.3</v>
      </c>
      <c r="D321">
        <v>1</v>
      </c>
      <c r="E321">
        <v>1</v>
      </c>
      <c r="F321">
        <v>1</v>
      </c>
    </row>
    <row r="322" spans="1:6">
      <c r="A322" t="s">
        <v>74</v>
      </c>
      <c r="B322" t="s">
        <v>42</v>
      </c>
      <c r="C322" s="3">
        <v>99.4</v>
      </c>
      <c r="D322">
        <v>1</v>
      </c>
      <c r="E322">
        <v>1</v>
      </c>
      <c r="F322">
        <v>1</v>
      </c>
    </row>
    <row r="323" spans="1:6">
      <c r="A323" t="s">
        <v>74</v>
      </c>
      <c r="B323" t="s">
        <v>46</v>
      </c>
      <c r="C323" s="3">
        <v>98.9</v>
      </c>
      <c r="D323">
        <v>1</v>
      </c>
      <c r="E323">
        <v>1</v>
      </c>
      <c r="F323">
        <v>1</v>
      </c>
    </row>
    <row r="324" spans="1:6">
      <c r="A324" t="s">
        <v>74</v>
      </c>
      <c r="B324" t="s">
        <v>392</v>
      </c>
      <c r="C324" s="3"/>
      <c r="D324">
        <v>0</v>
      </c>
      <c r="E324">
        <v>1</v>
      </c>
      <c r="F324">
        <v>1</v>
      </c>
    </row>
    <row r="325" spans="1:6">
      <c r="A325" t="s">
        <v>74</v>
      </c>
      <c r="B325" t="s">
        <v>393</v>
      </c>
      <c r="C325" s="3"/>
      <c r="D325">
        <v>0</v>
      </c>
      <c r="E325">
        <v>1</v>
      </c>
      <c r="F325">
        <v>1</v>
      </c>
    </row>
    <row r="326" spans="1:6">
      <c r="A326" t="s">
        <v>74</v>
      </c>
      <c r="B326" t="s">
        <v>394</v>
      </c>
      <c r="C326" s="3"/>
      <c r="D326">
        <v>0</v>
      </c>
      <c r="E326">
        <v>1</v>
      </c>
      <c r="F326">
        <v>1</v>
      </c>
    </row>
    <row r="327" spans="1:6">
      <c r="A327" t="s">
        <v>74</v>
      </c>
      <c r="B327" t="s">
        <v>39</v>
      </c>
      <c r="C327" s="3">
        <v>-2.42369742380257</v>
      </c>
      <c r="D327">
        <v>1</v>
      </c>
      <c r="E327">
        <v>1</v>
      </c>
      <c r="F327">
        <v>1</v>
      </c>
    </row>
    <row r="328" spans="1:6">
      <c r="A328" t="s">
        <v>74</v>
      </c>
      <c r="B328" t="s">
        <v>43</v>
      </c>
      <c r="C328" s="3">
        <v>4</v>
      </c>
      <c r="D328">
        <v>1</v>
      </c>
      <c r="E328">
        <v>1</v>
      </c>
      <c r="F328">
        <v>1</v>
      </c>
    </row>
    <row r="329" spans="1:6">
      <c r="A329" t="s">
        <v>74</v>
      </c>
      <c r="B329" t="s">
        <v>44</v>
      </c>
      <c r="C329" s="3">
        <v>1.39999999999999</v>
      </c>
      <c r="D329">
        <v>1</v>
      </c>
      <c r="E329">
        <v>1</v>
      </c>
      <c r="F329">
        <v>1</v>
      </c>
    </row>
    <row r="330" spans="1:6">
      <c r="A330" t="s">
        <v>74</v>
      </c>
      <c r="B330" t="s">
        <v>45</v>
      </c>
      <c r="C330" s="3">
        <v>0.200000000000003</v>
      </c>
      <c r="D330">
        <v>1</v>
      </c>
      <c r="E330">
        <v>1</v>
      </c>
      <c r="F330">
        <v>1</v>
      </c>
    </row>
    <row r="331" spans="1:6">
      <c r="A331" t="s">
        <v>74</v>
      </c>
      <c r="B331" t="s">
        <v>396</v>
      </c>
      <c r="C331" s="3"/>
      <c r="D331">
        <v>0</v>
      </c>
      <c r="E331">
        <v>1</v>
      </c>
      <c r="F331">
        <v>1</v>
      </c>
    </row>
    <row r="332" spans="1:6">
      <c r="A332" t="s">
        <v>75</v>
      </c>
      <c r="B332" t="s">
        <v>34</v>
      </c>
      <c r="C332" s="3">
        <v>24.58</v>
      </c>
      <c r="D332">
        <v>1</v>
      </c>
      <c r="E332">
        <v>1</v>
      </c>
      <c r="F332">
        <v>1</v>
      </c>
    </row>
    <row r="333" spans="1:6">
      <c r="A333" t="s">
        <v>75</v>
      </c>
      <c r="B333" t="s">
        <v>35</v>
      </c>
      <c r="C333" s="3">
        <v>8.2782</v>
      </c>
      <c r="D333">
        <v>1</v>
      </c>
      <c r="E333">
        <v>1</v>
      </c>
      <c r="F333">
        <v>1</v>
      </c>
    </row>
    <row r="334" spans="1:6">
      <c r="A334" t="s">
        <v>75</v>
      </c>
      <c r="B334" t="s">
        <v>36</v>
      </c>
      <c r="C334" s="3">
        <v>203.478156</v>
      </c>
      <c r="D334">
        <v>1</v>
      </c>
      <c r="E334">
        <v>1</v>
      </c>
      <c r="F334">
        <v>1</v>
      </c>
    </row>
    <row r="335" spans="1:6">
      <c r="A335" t="s">
        <v>75</v>
      </c>
      <c r="B335" t="s">
        <v>40</v>
      </c>
      <c r="C335" s="3">
        <v>104.6</v>
      </c>
      <c r="D335">
        <v>1</v>
      </c>
      <c r="E335">
        <v>1</v>
      </c>
      <c r="F335">
        <v>1</v>
      </c>
    </row>
    <row r="336" spans="1:6">
      <c r="A336" t="s">
        <v>75</v>
      </c>
      <c r="B336" t="s">
        <v>41</v>
      </c>
      <c r="C336" s="3">
        <v>98.9</v>
      </c>
      <c r="D336">
        <v>1</v>
      </c>
      <c r="E336">
        <v>1</v>
      </c>
      <c r="F336">
        <v>1</v>
      </c>
    </row>
    <row r="337" spans="1:6">
      <c r="A337" t="s">
        <v>75</v>
      </c>
      <c r="B337" t="s">
        <v>42</v>
      </c>
      <c r="C337" s="3">
        <v>99.1</v>
      </c>
      <c r="D337">
        <v>1</v>
      </c>
      <c r="E337">
        <v>1</v>
      </c>
      <c r="F337">
        <v>1</v>
      </c>
    </row>
    <row r="338" spans="1:6">
      <c r="A338" t="s">
        <v>75</v>
      </c>
      <c r="B338" t="s">
        <v>46</v>
      </c>
      <c r="C338" s="3">
        <v>98.3</v>
      </c>
      <c r="D338">
        <v>1</v>
      </c>
      <c r="E338">
        <v>1</v>
      </c>
      <c r="F338">
        <v>1</v>
      </c>
    </row>
    <row r="339" spans="1:6">
      <c r="A339" t="s">
        <v>75</v>
      </c>
      <c r="B339" t="s">
        <v>392</v>
      </c>
      <c r="C339" s="3"/>
      <c r="D339">
        <v>0</v>
      </c>
      <c r="E339">
        <v>1</v>
      </c>
      <c r="F339">
        <v>1</v>
      </c>
    </row>
    <row r="340" spans="1:6">
      <c r="A340" t="s">
        <v>75</v>
      </c>
      <c r="B340" t="s">
        <v>393</v>
      </c>
      <c r="C340" s="3"/>
      <c r="D340">
        <v>0</v>
      </c>
      <c r="E340">
        <v>1</v>
      </c>
      <c r="F340">
        <v>1</v>
      </c>
    </row>
    <row r="341" spans="1:6">
      <c r="A341" t="s">
        <v>75</v>
      </c>
      <c r="B341" t="s">
        <v>394</v>
      </c>
      <c r="C341" s="3"/>
      <c r="D341">
        <v>0</v>
      </c>
      <c r="E341">
        <v>1</v>
      </c>
      <c r="F341">
        <v>1</v>
      </c>
    </row>
    <row r="342" spans="1:6">
      <c r="A342" t="s">
        <v>75</v>
      </c>
      <c r="B342" t="s">
        <v>39</v>
      </c>
      <c r="C342" s="3">
        <v>11.0975213800214</v>
      </c>
      <c r="D342">
        <v>1</v>
      </c>
      <c r="E342">
        <v>1</v>
      </c>
      <c r="F342">
        <v>1</v>
      </c>
    </row>
    <row r="343" spans="1:6">
      <c r="A343" t="s">
        <v>75</v>
      </c>
      <c r="B343" t="s">
        <v>43</v>
      </c>
      <c r="C343" s="3">
        <v>-2.5</v>
      </c>
      <c r="D343">
        <v>1</v>
      </c>
      <c r="E343">
        <v>1</v>
      </c>
      <c r="F343">
        <v>1</v>
      </c>
    </row>
    <row r="344" spans="1:6">
      <c r="A344" t="s">
        <v>75</v>
      </c>
      <c r="B344" t="s">
        <v>44</v>
      </c>
      <c r="C344" s="3">
        <v>-0.399999999999991</v>
      </c>
      <c r="D344">
        <v>1</v>
      </c>
      <c r="E344">
        <v>1</v>
      </c>
      <c r="F344">
        <v>1</v>
      </c>
    </row>
    <row r="345" spans="1:6">
      <c r="A345" t="s">
        <v>75</v>
      </c>
      <c r="B345" t="s">
        <v>45</v>
      </c>
      <c r="C345" s="3">
        <v>-0.300000000000011</v>
      </c>
      <c r="D345">
        <v>1</v>
      </c>
      <c r="E345">
        <v>1</v>
      </c>
      <c r="F345">
        <v>1</v>
      </c>
    </row>
    <row r="346" spans="1:6">
      <c r="A346" t="s">
        <v>75</v>
      </c>
      <c r="B346" t="s">
        <v>396</v>
      </c>
      <c r="C346" s="3"/>
      <c r="D346">
        <v>0</v>
      </c>
      <c r="E346">
        <v>1</v>
      </c>
      <c r="F346">
        <v>1</v>
      </c>
    </row>
    <row r="347" spans="1:6">
      <c r="A347" t="s">
        <v>76</v>
      </c>
      <c r="B347" t="s">
        <v>34</v>
      </c>
      <c r="C347" s="3">
        <v>25.47</v>
      </c>
      <c r="D347">
        <v>1</v>
      </c>
      <c r="E347">
        <v>1</v>
      </c>
      <c r="F347">
        <v>1</v>
      </c>
    </row>
    <row r="348" spans="1:6">
      <c r="A348" t="s">
        <v>76</v>
      </c>
      <c r="B348" t="s">
        <v>35</v>
      </c>
      <c r="C348" s="3">
        <v>8.2794</v>
      </c>
      <c r="D348">
        <v>1</v>
      </c>
      <c r="E348">
        <v>1</v>
      </c>
      <c r="F348">
        <v>1</v>
      </c>
    </row>
    <row r="349" spans="1:6">
      <c r="A349" t="s">
        <v>76</v>
      </c>
      <c r="B349" t="s">
        <v>36</v>
      </c>
      <c r="C349" s="3">
        <v>210.876318</v>
      </c>
      <c r="D349">
        <v>1</v>
      </c>
      <c r="E349">
        <v>1</v>
      </c>
      <c r="F349">
        <v>1</v>
      </c>
    </row>
    <row r="350" spans="1:6">
      <c r="A350" t="s">
        <v>76</v>
      </c>
      <c r="B350" t="s">
        <v>40</v>
      </c>
      <c r="C350" s="3">
        <v>110.3</v>
      </c>
      <c r="D350">
        <v>1</v>
      </c>
      <c r="E350">
        <v>1</v>
      </c>
      <c r="F350">
        <v>1</v>
      </c>
    </row>
    <row r="351" spans="1:6">
      <c r="A351" t="s">
        <v>76</v>
      </c>
      <c r="B351" t="s">
        <v>41</v>
      </c>
      <c r="C351" s="3">
        <v>99.2</v>
      </c>
      <c r="D351">
        <v>1</v>
      </c>
      <c r="E351">
        <v>1</v>
      </c>
      <c r="F351">
        <v>1</v>
      </c>
    </row>
    <row r="352" spans="1:6">
      <c r="A352" t="s">
        <v>76</v>
      </c>
      <c r="B352" t="s">
        <v>42</v>
      </c>
      <c r="C352" s="3">
        <v>99</v>
      </c>
      <c r="D352">
        <v>1</v>
      </c>
      <c r="E352">
        <v>1</v>
      </c>
      <c r="F352">
        <v>1</v>
      </c>
    </row>
    <row r="353" spans="1:6">
      <c r="A353" t="s">
        <v>76</v>
      </c>
      <c r="B353" t="s">
        <v>46</v>
      </c>
      <c r="C353" s="3">
        <v>100.8</v>
      </c>
      <c r="D353">
        <v>1</v>
      </c>
      <c r="E353">
        <v>1</v>
      </c>
      <c r="F353">
        <v>1</v>
      </c>
    </row>
    <row r="354" spans="1:6">
      <c r="A354" t="s">
        <v>76</v>
      </c>
      <c r="B354" t="s">
        <v>392</v>
      </c>
      <c r="C354" s="3"/>
      <c r="D354">
        <v>0</v>
      </c>
      <c r="E354">
        <v>1</v>
      </c>
      <c r="F354">
        <v>1</v>
      </c>
    </row>
    <row r="355" spans="1:6">
      <c r="A355" t="s">
        <v>76</v>
      </c>
      <c r="B355" t="s">
        <v>393</v>
      </c>
      <c r="C355" s="3"/>
      <c r="D355">
        <v>0</v>
      </c>
      <c r="E355">
        <v>1</v>
      </c>
      <c r="F355">
        <v>1</v>
      </c>
    </row>
    <row r="356" spans="1:6">
      <c r="A356" t="s">
        <v>76</v>
      </c>
      <c r="B356" t="s">
        <v>394</v>
      </c>
      <c r="C356" s="3"/>
      <c r="D356">
        <v>0</v>
      </c>
      <c r="E356">
        <v>1</v>
      </c>
      <c r="F356">
        <v>1</v>
      </c>
    </row>
    <row r="357" spans="1:6">
      <c r="A357" t="s">
        <v>76</v>
      </c>
      <c r="B357" t="s">
        <v>39</v>
      </c>
      <c r="C357" s="3">
        <v>3.57131333969978</v>
      </c>
      <c r="D357">
        <v>1</v>
      </c>
      <c r="E357">
        <v>1</v>
      </c>
      <c r="F357">
        <v>1</v>
      </c>
    </row>
    <row r="358" spans="1:6">
      <c r="A358" t="s">
        <v>76</v>
      </c>
      <c r="B358" t="s">
        <v>43</v>
      </c>
      <c r="C358" s="3">
        <v>5.7</v>
      </c>
      <c r="D358">
        <v>1</v>
      </c>
      <c r="E358">
        <v>1</v>
      </c>
      <c r="F358">
        <v>1</v>
      </c>
    </row>
    <row r="359" spans="1:6">
      <c r="A359" t="s">
        <v>76</v>
      </c>
      <c r="B359" t="s">
        <v>44</v>
      </c>
      <c r="C359" s="3">
        <v>0.299999999999997</v>
      </c>
      <c r="D359">
        <v>1</v>
      </c>
      <c r="E359">
        <v>1</v>
      </c>
      <c r="F359">
        <v>1</v>
      </c>
    </row>
    <row r="360" spans="1:6">
      <c r="A360" t="s">
        <v>76</v>
      </c>
      <c r="B360" t="s">
        <v>45</v>
      </c>
      <c r="C360" s="3">
        <v>-0.0999999999999943</v>
      </c>
      <c r="D360">
        <v>1</v>
      </c>
      <c r="E360">
        <v>1</v>
      </c>
      <c r="F360">
        <v>1</v>
      </c>
    </row>
    <row r="361" spans="1:6">
      <c r="A361" t="s">
        <v>76</v>
      </c>
      <c r="B361" t="s">
        <v>396</v>
      </c>
      <c r="C361" s="3"/>
      <c r="D361">
        <v>0</v>
      </c>
      <c r="E361">
        <v>1</v>
      </c>
      <c r="F361">
        <v>1</v>
      </c>
    </row>
    <row r="362" spans="1:6">
      <c r="A362" t="s">
        <v>77</v>
      </c>
      <c r="B362" t="s">
        <v>34</v>
      </c>
      <c r="C362" s="3">
        <v>25.51</v>
      </c>
      <c r="D362">
        <v>1</v>
      </c>
      <c r="E362">
        <v>1</v>
      </c>
      <c r="F362">
        <v>1</v>
      </c>
    </row>
    <row r="363" spans="1:6">
      <c r="A363" t="s">
        <v>77</v>
      </c>
      <c r="B363" t="s">
        <v>35</v>
      </c>
      <c r="C363" s="3">
        <v>8.2792</v>
      </c>
      <c r="D363">
        <v>1</v>
      </c>
      <c r="E363">
        <v>1</v>
      </c>
      <c r="F363">
        <v>1</v>
      </c>
    </row>
    <row r="364" spans="1:6">
      <c r="A364" t="s">
        <v>77</v>
      </c>
      <c r="B364" t="s">
        <v>36</v>
      </c>
      <c r="C364" s="3">
        <v>211.202392</v>
      </c>
      <c r="D364">
        <v>1</v>
      </c>
      <c r="E364">
        <v>1</v>
      </c>
      <c r="F364">
        <v>1</v>
      </c>
    </row>
    <row r="365" spans="1:6">
      <c r="A365" t="s">
        <v>77</v>
      </c>
      <c r="B365" t="s">
        <v>40</v>
      </c>
      <c r="C365" s="3">
        <v>113.2</v>
      </c>
      <c r="D365">
        <v>1</v>
      </c>
      <c r="E365">
        <v>1</v>
      </c>
      <c r="F365">
        <v>1</v>
      </c>
    </row>
    <row r="366" spans="1:6">
      <c r="A366" t="s">
        <v>77</v>
      </c>
      <c r="B366" t="s">
        <v>41</v>
      </c>
      <c r="C366" s="3">
        <v>100</v>
      </c>
      <c r="D366">
        <v>1</v>
      </c>
      <c r="E366">
        <v>1</v>
      </c>
      <c r="F366">
        <v>1</v>
      </c>
    </row>
    <row r="367" spans="1:6">
      <c r="A367" t="s">
        <v>77</v>
      </c>
      <c r="B367" t="s">
        <v>42</v>
      </c>
      <c r="C367" s="3">
        <v>99.8</v>
      </c>
      <c r="D367">
        <v>1</v>
      </c>
      <c r="E367">
        <v>1</v>
      </c>
      <c r="F367">
        <v>1</v>
      </c>
    </row>
    <row r="368" spans="1:6">
      <c r="A368" t="s">
        <v>77</v>
      </c>
      <c r="B368" t="s">
        <v>46</v>
      </c>
      <c r="C368" s="3">
        <v>102.1</v>
      </c>
      <c r="D368">
        <v>1</v>
      </c>
      <c r="E368">
        <v>1</v>
      </c>
      <c r="F368">
        <v>1</v>
      </c>
    </row>
    <row r="369" spans="1:6">
      <c r="A369" t="s">
        <v>77</v>
      </c>
      <c r="B369" t="s">
        <v>392</v>
      </c>
      <c r="C369" s="3"/>
      <c r="D369">
        <v>0</v>
      </c>
      <c r="E369">
        <v>1</v>
      </c>
      <c r="F369">
        <v>1</v>
      </c>
    </row>
    <row r="370" spans="1:6">
      <c r="A370" t="s">
        <v>77</v>
      </c>
      <c r="B370" t="s">
        <v>393</v>
      </c>
      <c r="C370" s="3"/>
      <c r="D370">
        <v>0</v>
      </c>
      <c r="E370">
        <v>1</v>
      </c>
      <c r="F370">
        <v>1</v>
      </c>
    </row>
    <row r="371" spans="1:6">
      <c r="A371" t="s">
        <v>77</v>
      </c>
      <c r="B371" t="s">
        <v>394</v>
      </c>
      <c r="C371" s="3"/>
      <c r="D371">
        <v>0</v>
      </c>
      <c r="E371">
        <v>1</v>
      </c>
      <c r="F371">
        <v>1</v>
      </c>
    </row>
    <row r="372" spans="1:6">
      <c r="A372" t="s">
        <v>77</v>
      </c>
      <c r="B372" t="s">
        <v>39</v>
      </c>
      <c r="C372" s="3">
        <v>0.1545086530754</v>
      </c>
      <c r="D372">
        <v>1</v>
      </c>
      <c r="E372">
        <v>1</v>
      </c>
      <c r="F372">
        <v>1</v>
      </c>
    </row>
    <row r="373" spans="1:6">
      <c r="A373" t="s">
        <v>77</v>
      </c>
      <c r="B373" t="s">
        <v>43</v>
      </c>
      <c r="C373" s="3">
        <v>2.90000000000001</v>
      </c>
      <c r="D373">
        <v>1</v>
      </c>
      <c r="E373">
        <v>1</v>
      </c>
      <c r="F373">
        <v>1</v>
      </c>
    </row>
    <row r="374" spans="1:6">
      <c r="A374" t="s">
        <v>77</v>
      </c>
      <c r="B374" t="s">
        <v>44</v>
      </c>
      <c r="C374" s="3">
        <v>0.799999999999997</v>
      </c>
      <c r="D374">
        <v>1</v>
      </c>
      <c r="E374">
        <v>1</v>
      </c>
      <c r="F374">
        <v>1</v>
      </c>
    </row>
    <row r="375" spans="1:6">
      <c r="A375" t="s">
        <v>77</v>
      </c>
      <c r="B375" t="s">
        <v>45</v>
      </c>
      <c r="C375" s="3">
        <v>0.799999999999997</v>
      </c>
      <c r="D375">
        <v>1</v>
      </c>
      <c r="E375">
        <v>1</v>
      </c>
      <c r="F375">
        <v>1</v>
      </c>
    </row>
    <row r="376" spans="1:6">
      <c r="A376" t="s">
        <v>77</v>
      </c>
      <c r="B376" t="s">
        <v>396</v>
      </c>
      <c r="C376" s="3"/>
      <c r="D376">
        <v>0</v>
      </c>
      <c r="E376">
        <v>1</v>
      </c>
      <c r="F376">
        <v>1</v>
      </c>
    </row>
    <row r="377" spans="1:6">
      <c r="A377" t="s">
        <v>78</v>
      </c>
      <c r="B377" t="s">
        <v>34</v>
      </c>
      <c r="C377" s="3">
        <v>27.78</v>
      </c>
      <c r="D377">
        <v>1</v>
      </c>
      <c r="E377">
        <v>1</v>
      </c>
      <c r="F377">
        <v>1</v>
      </c>
    </row>
    <row r="378" spans="1:6">
      <c r="A378" t="s">
        <v>78</v>
      </c>
      <c r="B378" t="s">
        <v>35</v>
      </c>
      <c r="C378" s="3">
        <v>8.2781</v>
      </c>
      <c r="D378">
        <v>1</v>
      </c>
      <c r="E378">
        <v>1</v>
      </c>
      <c r="F378">
        <v>1</v>
      </c>
    </row>
    <row r="379" spans="1:6">
      <c r="A379" t="s">
        <v>78</v>
      </c>
      <c r="B379" t="s">
        <v>36</v>
      </c>
      <c r="C379" s="3">
        <v>229.965618</v>
      </c>
      <c r="D379">
        <v>1</v>
      </c>
      <c r="E379">
        <v>1</v>
      </c>
      <c r="F379">
        <v>1</v>
      </c>
    </row>
    <row r="380" spans="1:6">
      <c r="A380" t="s">
        <v>78</v>
      </c>
      <c r="B380" t="s">
        <v>40</v>
      </c>
      <c r="C380" s="3">
        <v>114.1</v>
      </c>
      <c r="D380">
        <v>1</v>
      </c>
      <c r="E380">
        <v>1</v>
      </c>
      <c r="F380">
        <v>1</v>
      </c>
    </row>
    <row r="381" spans="1:6">
      <c r="A381" t="s">
        <v>78</v>
      </c>
      <c r="B381" t="s">
        <v>41</v>
      </c>
      <c r="C381" s="3">
        <v>101</v>
      </c>
      <c r="D381">
        <v>1</v>
      </c>
      <c r="E381">
        <v>1</v>
      </c>
      <c r="F381">
        <v>1</v>
      </c>
    </row>
    <row r="382" spans="1:6">
      <c r="A382" t="s">
        <v>78</v>
      </c>
      <c r="B382" t="s">
        <v>42</v>
      </c>
      <c r="C382" s="3">
        <v>100.7</v>
      </c>
      <c r="D382">
        <v>1</v>
      </c>
      <c r="E382">
        <v>1</v>
      </c>
      <c r="F382">
        <v>1</v>
      </c>
    </row>
    <row r="383" spans="1:6">
      <c r="A383" t="s">
        <v>78</v>
      </c>
      <c r="B383" t="s">
        <v>46</v>
      </c>
      <c r="C383" s="3">
        <v>103.6</v>
      </c>
      <c r="D383">
        <v>1</v>
      </c>
      <c r="E383">
        <v>1</v>
      </c>
      <c r="F383">
        <v>1</v>
      </c>
    </row>
    <row r="384" spans="1:6">
      <c r="A384" t="s">
        <v>78</v>
      </c>
      <c r="B384" t="s">
        <v>392</v>
      </c>
      <c r="C384" s="3"/>
      <c r="D384">
        <v>0</v>
      </c>
      <c r="E384">
        <v>1</v>
      </c>
      <c r="F384">
        <v>1</v>
      </c>
    </row>
    <row r="385" spans="1:6">
      <c r="A385" t="s">
        <v>78</v>
      </c>
      <c r="B385" t="s">
        <v>393</v>
      </c>
      <c r="C385" s="3"/>
      <c r="D385">
        <v>0</v>
      </c>
      <c r="E385">
        <v>1</v>
      </c>
      <c r="F385">
        <v>1</v>
      </c>
    </row>
    <row r="386" spans="1:6">
      <c r="A386" t="s">
        <v>78</v>
      </c>
      <c r="B386" t="s">
        <v>394</v>
      </c>
      <c r="C386" s="3"/>
      <c r="D386">
        <v>0</v>
      </c>
      <c r="E386">
        <v>1</v>
      </c>
      <c r="F386">
        <v>1</v>
      </c>
    </row>
    <row r="387" spans="1:6">
      <c r="A387" t="s">
        <v>78</v>
      </c>
      <c r="B387" t="s">
        <v>39</v>
      </c>
      <c r="C387" s="3">
        <v>8.51129332668386</v>
      </c>
      <c r="D387">
        <v>1</v>
      </c>
      <c r="E387">
        <v>1</v>
      </c>
      <c r="F387">
        <v>1</v>
      </c>
    </row>
    <row r="388" spans="1:6">
      <c r="A388" t="s">
        <v>78</v>
      </c>
      <c r="B388" t="s">
        <v>43</v>
      </c>
      <c r="C388" s="3">
        <v>0.899999999999991</v>
      </c>
      <c r="D388">
        <v>1</v>
      </c>
      <c r="E388">
        <v>1</v>
      </c>
      <c r="F388">
        <v>1</v>
      </c>
    </row>
    <row r="389" spans="1:6">
      <c r="A389" t="s">
        <v>78</v>
      </c>
      <c r="B389" t="s">
        <v>44</v>
      </c>
      <c r="C389" s="3">
        <v>1</v>
      </c>
      <c r="D389">
        <v>1</v>
      </c>
      <c r="E389">
        <v>1</v>
      </c>
      <c r="F389">
        <v>1</v>
      </c>
    </row>
    <row r="390" spans="1:6">
      <c r="A390" t="s">
        <v>78</v>
      </c>
      <c r="B390" t="s">
        <v>45</v>
      </c>
      <c r="C390" s="3">
        <v>0.900000000000006</v>
      </c>
      <c r="D390">
        <v>1</v>
      </c>
      <c r="E390">
        <v>1</v>
      </c>
      <c r="F390">
        <v>1</v>
      </c>
    </row>
    <row r="391" spans="1:6">
      <c r="A391" t="s">
        <v>78</v>
      </c>
      <c r="B391" t="s">
        <v>396</v>
      </c>
      <c r="C391" s="3"/>
      <c r="D391">
        <v>0</v>
      </c>
      <c r="E391">
        <v>1</v>
      </c>
      <c r="F391">
        <v>1</v>
      </c>
    </row>
    <row r="392" spans="1:6">
      <c r="A392" t="s">
        <v>79</v>
      </c>
      <c r="B392" t="s">
        <v>34</v>
      </c>
      <c r="C392" s="3">
        <v>27.49</v>
      </c>
      <c r="D392">
        <v>1</v>
      </c>
      <c r="E392">
        <v>1</v>
      </c>
      <c r="F392">
        <v>1</v>
      </c>
    </row>
    <row r="393" spans="1:6">
      <c r="A393" t="s">
        <v>79</v>
      </c>
      <c r="B393" t="s">
        <v>35</v>
      </c>
      <c r="C393" s="3">
        <v>8.2786</v>
      </c>
      <c r="D393">
        <v>1</v>
      </c>
      <c r="E393">
        <v>1</v>
      </c>
      <c r="F393">
        <v>1</v>
      </c>
    </row>
    <row r="394" spans="1:6">
      <c r="A394" t="s">
        <v>79</v>
      </c>
      <c r="B394" t="s">
        <v>36</v>
      </c>
      <c r="C394" s="3">
        <v>227.578714</v>
      </c>
      <c r="D394">
        <v>1</v>
      </c>
      <c r="E394">
        <v>1</v>
      </c>
      <c r="F394">
        <v>1</v>
      </c>
    </row>
    <row r="395" spans="1:6">
      <c r="A395" t="s">
        <v>79</v>
      </c>
      <c r="B395" t="s">
        <v>40</v>
      </c>
      <c r="C395" s="3">
        <v>115.7</v>
      </c>
      <c r="D395">
        <v>1</v>
      </c>
      <c r="E395">
        <v>1</v>
      </c>
      <c r="F395">
        <v>1</v>
      </c>
    </row>
    <row r="396" spans="1:6">
      <c r="A396" t="s">
        <v>79</v>
      </c>
      <c r="B396" t="s">
        <v>41</v>
      </c>
      <c r="C396" s="3">
        <v>101.9</v>
      </c>
      <c r="D396">
        <v>1</v>
      </c>
      <c r="E396">
        <v>1</v>
      </c>
      <c r="F396">
        <v>1</v>
      </c>
    </row>
    <row r="397" spans="1:6">
      <c r="A397" t="s">
        <v>79</v>
      </c>
      <c r="B397" t="s">
        <v>42</v>
      </c>
      <c r="C397" s="3">
        <v>99.8</v>
      </c>
      <c r="D397">
        <v>1</v>
      </c>
      <c r="E397">
        <v>1</v>
      </c>
      <c r="F397">
        <v>1</v>
      </c>
    </row>
    <row r="398" spans="1:6">
      <c r="A398" t="s">
        <v>79</v>
      </c>
      <c r="B398" t="s">
        <v>46</v>
      </c>
      <c r="C398" s="3">
        <v>104.8</v>
      </c>
      <c r="D398">
        <v>1</v>
      </c>
      <c r="E398">
        <v>1</v>
      </c>
      <c r="F398">
        <v>1</v>
      </c>
    </row>
    <row r="399" spans="1:6">
      <c r="A399" t="s">
        <v>79</v>
      </c>
      <c r="B399" t="s">
        <v>392</v>
      </c>
      <c r="C399" s="3"/>
      <c r="D399">
        <v>0</v>
      </c>
      <c r="E399">
        <v>1</v>
      </c>
      <c r="F399">
        <v>1</v>
      </c>
    </row>
    <row r="400" spans="1:6">
      <c r="A400" t="s">
        <v>79</v>
      </c>
      <c r="B400" t="s">
        <v>393</v>
      </c>
      <c r="C400" s="3"/>
      <c r="D400">
        <v>0</v>
      </c>
      <c r="E400">
        <v>1</v>
      </c>
      <c r="F400">
        <v>1</v>
      </c>
    </row>
    <row r="401" spans="1:6">
      <c r="A401" t="s">
        <v>79</v>
      </c>
      <c r="B401" t="s">
        <v>394</v>
      </c>
      <c r="C401" s="3"/>
      <c r="D401">
        <v>0</v>
      </c>
      <c r="E401">
        <v>1</v>
      </c>
      <c r="F401">
        <v>1</v>
      </c>
    </row>
    <row r="402" spans="1:6">
      <c r="A402" t="s">
        <v>79</v>
      </c>
      <c r="B402" t="s">
        <v>39</v>
      </c>
      <c r="C402" s="3">
        <v>-1.04336366396602</v>
      </c>
      <c r="D402">
        <v>1</v>
      </c>
      <c r="E402">
        <v>1</v>
      </c>
      <c r="F402">
        <v>1</v>
      </c>
    </row>
    <row r="403" spans="1:6">
      <c r="A403" t="s">
        <v>79</v>
      </c>
      <c r="B403" t="s">
        <v>43</v>
      </c>
      <c r="C403" s="3">
        <v>1.60000000000001</v>
      </c>
      <c r="D403">
        <v>1</v>
      </c>
      <c r="E403">
        <v>1</v>
      </c>
      <c r="F403">
        <v>1</v>
      </c>
    </row>
    <row r="404" spans="1:6">
      <c r="A404" t="s">
        <v>79</v>
      </c>
      <c r="B404" t="s">
        <v>44</v>
      </c>
      <c r="C404" s="3">
        <v>0.900000000000006</v>
      </c>
      <c r="D404">
        <v>1</v>
      </c>
      <c r="E404">
        <v>1</v>
      </c>
      <c r="F404">
        <v>1</v>
      </c>
    </row>
    <row r="405" spans="1:6">
      <c r="A405" t="s">
        <v>79</v>
      </c>
      <c r="B405" t="s">
        <v>45</v>
      </c>
      <c r="C405" s="3">
        <v>-0.900000000000006</v>
      </c>
      <c r="D405">
        <v>1</v>
      </c>
      <c r="E405">
        <v>1</v>
      </c>
      <c r="F405">
        <v>1</v>
      </c>
    </row>
    <row r="406" spans="1:6">
      <c r="A406" t="s">
        <v>79</v>
      </c>
      <c r="B406" t="s">
        <v>396</v>
      </c>
      <c r="C406" s="3"/>
      <c r="D406">
        <v>0</v>
      </c>
      <c r="E406">
        <v>1</v>
      </c>
      <c r="F406">
        <v>1</v>
      </c>
    </row>
    <row r="407" spans="1:6">
      <c r="A407" t="s">
        <v>80</v>
      </c>
      <c r="B407" t="s">
        <v>34</v>
      </c>
      <c r="C407" s="3">
        <v>22.76</v>
      </c>
      <c r="D407">
        <v>1</v>
      </c>
      <c r="E407">
        <v>1</v>
      </c>
      <c r="F407">
        <v>1</v>
      </c>
    </row>
    <row r="408" spans="1:6">
      <c r="A408" t="s">
        <v>80</v>
      </c>
      <c r="B408" t="s">
        <v>35</v>
      </c>
      <c r="C408" s="3">
        <v>8.2793</v>
      </c>
      <c r="D408">
        <v>1</v>
      </c>
      <c r="E408">
        <v>1</v>
      </c>
      <c r="F408">
        <v>1</v>
      </c>
    </row>
    <row r="409" spans="1:6">
      <c r="A409" t="s">
        <v>80</v>
      </c>
      <c r="B409" t="s">
        <v>36</v>
      </c>
      <c r="C409" s="3">
        <v>188.436868</v>
      </c>
      <c r="D409">
        <v>1</v>
      </c>
      <c r="E409">
        <v>1</v>
      </c>
      <c r="F409">
        <v>1</v>
      </c>
    </row>
    <row r="410" spans="1:6">
      <c r="A410" t="s">
        <v>80</v>
      </c>
      <c r="B410" t="s">
        <v>40</v>
      </c>
      <c r="C410" s="3">
        <v>116.5</v>
      </c>
      <c r="D410">
        <v>1</v>
      </c>
      <c r="E410">
        <v>1</v>
      </c>
      <c r="F410">
        <v>1</v>
      </c>
    </row>
    <row r="411" spans="1:6">
      <c r="A411" t="s">
        <v>80</v>
      </c>
      <c r="B411" t="s">
        <v>41</v>
      </c>
      <c r="C411" s="3">
        <v>102.6</v>
      </c>
      <c r="D411">
        <v>1</v>
      </c>
      <c r="E411">
        <v>1</v>
      </c>
      <c r="F411">
        <v>1</v>
      </c>
    </row>
    <row r="412" spans="1:6">
      <c r="A412" t="s">
        <v>80</v>
      </c>
      <c r="B412" t="s">
        <v>42</v>
      </c>
      <c r="C412" s="3">
        <v>99.7</v>
      </c>
      <c r="D412">
        <v>1</v>
      </c>
      <c r="E412">
        <v>1</v>
      </c>
      <c r="F412">
        <v>1</v>
      </c>
    </row>
    <row r="413" spans="1:6">
      <c r="A413" t="s">
        <v>80</v>
      </c>
      <c r="B413" t="s">
        <v>46</v>
      </c>
      <c r="C413" s="3">
        <v>105.3</v>
      </c>
      <c r="D413">
        <v>1</v>
      </c>
      <c r="E413">
        <v>1</v>
      </c>
      <c r="F413">
        <v>1</v>
      </c>
    </row>
    <row r="414" spans="1:6">
      <c r="A414" t="s">
        <v>80</v>
      </c>
      <c r="B414" t="s">
        <v>392</v>
      </c>
      <c r="C414" s="3"/>
      <c r="D414">
        <v>0</v>
      </c>
      <c r="E414">
        <v>1</v>
      </c>
      <c r="F414">
        <v>1</v>
      </c>
    </row>
    <row r="415" spans="1:6">
      <c r="A415" t="s">
        <v>80</v>
      </c>
      <c r="B415" t="s">
        <v>393</v>
      </c>
      <c r="C415" s="3"/>
      <c r="D415">
        <v>0</v>
      </c>
      <c r="E415">
        <v>1</v>
      </c>
      <c r="F415">
        <v>1</v>
      </c>
    </row>
    <row r="416" spans="1:6">
      <c r="A416" t="s">
        <v>80</v>
      </c>
      <c r="B416" t="s">
        <v>394</v>
      </c>
      <c r="C416" s="3"/>
      <c r="D416">
        <v>0</v>
      </c>
      <c r="E416">
        <v>1</v>
      </c>
      <c r="F416">
        <v>1</v>
      </c>
    </row>
    <row r="417" spans="1:6">
      <c r="A417" t="s">
        <v>80</v>
      </c>
      <c r="B417" t="s">
        <v>39</v>
      </c>
      <c r="C417" s="3">
        <v>-18.8733141134025</v>
      </c>
      <c r="D417">
        <v>1</v>
      </c>
      <c r="E417">
        <v>1</v>
      </c>
      <c r="F417">
        <v>1</v>
      </c>
    </row>
    <row r="418" spans="1:6">
      <c r="A418" t="s">
        <v>80</v>
      </c>
      <c r="B418" t="s">
        <v>43</v>
      </c>
      <c r="C418" s="3">
        <v>0.799999999999997</v>
      </c>
      <c r="D418">
        <v>1</v>
      </c>
      <c r="E418">
        <v>1</v>
      </c>
      <c r="F418">
        <v>1</v>
      </c>
    </row>
    <row r="419" spans="1:6">
      <c r="A419" t="s">
        <v>80</v>
      </c>
      <c r="B419" t="s">
        <v>44</v>
      </c>
      <c r="C419" s="3">
        <v>0.699999999999989</v>
      </c>
      <c r="D419">
        <v>1</v>
      </c>
      <c r="E419">
        <v>1</v>
      </c>
      <c r="F419">
        <v>1</v>
      </c>
    </row>
    <row r="420" spans="1:6">
      <c r="A420" t="s">
        <v>80</v>
      </c>
      <c r="B420" t="s">
        <v>45</v>
      </c>
      <c r="C420" s="3">
        <v>-0.0999999999999943</v>
      </c>
      <c r="D420">
        <v>1</v>
      </c>
      <c r="E420">
        <v>1</v>
      </c>
      <c r="F420">
        <v>1</v>
      </c>
    </row>
    <row r="421" spans="1:6">
      <c r="A421" t="s">
        <v>80</v>
      </c>
      <c r="B421" t="s">
        <v>396</v>
      </c>
      <c r="C421" s="3"/>
      <c r="D421">
        <v>0</v>
      </c>
      <c r="E421">
        <v>1</v>
      </c>
      <c r="F421">
        <v>1</v>
      </c>
    </row>
    <row r="422" spans="1:6">
      <c r="A422" t="s">
        <v>81</v>
      </c>
      <c r="B422" t="s">
        <v>34</v>
      </c>
      <c r="C422" s="3">
        <v>27.74</v>
      </c>
      <c r="D422">
        <v>1</v>
      </c>
      <c r="E422">
        <v>1</v>
      </c>
      <c r="F422">
        <v>1</v>
      </c>
    </row>
    <row r="423" spans="1:6">
      <c r="A423" t="s">
        <v>81</v>
      </c>
      <c r="B423" t="s">
        <v>35</v>
      </c>
      <c r="C423" s="3">
        <v>8.2781</v>
      </c>
      <c r="D423">
        <v>1</v>
      </c>
      <c r="E423">
        <v>1</v>
      </c>
      <c r="F423">
        <v>1</v>
      </c>
    </row>
    <row r="424" spans="1:6">
      <c r="A424" t="s">
        <v>81</v>
      </c>
      <c r="B424" t="s">
        <v>36</v>
      </c>
      <c r="C424" s="3">
        <v>229.634494</v>
      </c>
      <c r="D424">
        <v>1</v>
      </c>
      <c r="E424">
        <v>1</v>
      </c>
      <c r="F424">
        <v>1</v>
      </c>
    </row>
    <row r="425" spans="1:6">
      <c r="A425" t="s">
        <v>81</v>
      </c>
      <c r="B425" t="s">
        <v>40</v>
      </c>
      <c r="C425" s="3">
        <v>111.9</v>
      </c>
      <c r="D425">
        <v>1</v>
      </c>
      <c r="E425">
        <v>1</v>
      </c>
      <c r="F425">
        <v>1</v>
      </c>
    </row>
    <row r="426" spans="1:6">
      <c r="A426" t="s">
        <v>81</v>
      </c>
      <c r="B426" t="s">
        <v>41</v>
      </c>
      <c r="C426" s="3">
        <v>102.5</v>
      </c>
      <c r="D426">
        <v>1</v>
      </c>
      <c r="E426">
        <v>1</v>
      </c>
      <c r="F426">
        <v>1</v>
      </c>
    </row>
    <row r="427" spans="1:6">
      <c r="A427" t="s">
        <v>81</v>
      </c>
      <c r="B427" t="s">
        <v>42</v>
      </c>
      <c r="C427" s="3">
        <v>100.1</v>
      </c>
      <c r="D427">
        <v>1</v>
      </c>
      <c r="E427">
        <v>1</v>
      </c>
      <c r="F427">
        <v>1</v>
      </c>
    </row>
    <row r="428" spans="1:6">
      <c r="A428" t="s">
        <v>81</v>
      </c>
      <c r="B428" t="s">
        <v>46</v>
      </c>
      <c r="C428" s="3">
        <v>105.5</v>
      </c>
      <c r="D428">
        <v>1</v>
      </c>
      <c r="E428">
        <v>1</v>
      </c>
      <c r="F428">
        <v>1</v>
      </c>
    </row>
    <row r="429" spans="1:6">
      <c r="A429" t="s">
        <v>81</v>
      </c>
      <c r="B429" t="s">
        <v>392</v>
      </c>
      <c r="C429" s="3"/>
      <c r="D429">
        <v>0</v>
      </c>
      <c r="E429">
        <v>1</v>
      </c>
      <c r="F429">
        <v>1</v>
      </c>
    </row>
    <row r="430" spans="1:6">
      <c r="A430" t="s">
        <v>81</v>
      </c>
      <c r="B430" t="s">
        <v>393</v>
      </c>
      <c r="C430" s="3"/>
      <c r="D430">
        <v>0</v>
      </c>
      <c r="E430">
        <v>1</v>
      </c>
      <c r="F430">
        <v>1</v>
      </c>
    </row>
    <row r="431" spans="1:6">
      <c r="A431" t="s">
        <v>81</v>
      </c>
      <c r="B431" t="s">
        <v>394</v>
      </c>
      <c r="C431" s="3"/>
      <c r="D431">
        <v>0</v>
      </c>
      <c r="E431">
        <v>1</v>
      </c>
      <c r="F431">
        <v>1</v>
      </c>
    </row>
    <row r="432" spans="1:6">
      <c r="A432" t="s">
        <v>81</v>
      </c>
      <c r="B432" t="s">
        <v>39</v>
      </c>
      <c r="C432" s="3">
        <v>19.7725855334173</v>
      </c>
      <c r="D432">
        <v>1</v>
      </c>
      <c r="E432">
        <v>1</v>
      </c>
      <c r="F432">
        <v>1</v>
      </c>
    </row>
    <row r="433" spans="1:6">
      <c r="A433" t="s">
        <v>81</v>
      </c>
      <c r="B433" t="s">
        <v>43</v>
      </c>
      <c r="C433" s="3">
        <v>-4.59999999999999</v>
      </c>
      <c r="D433">
        <v>1</v>
      </c>
      <c r="E433">
        <v>1</v>
      </c>
      <c r="F433">
        <v>1</v>
      </c>
    </row>
    <row r="434" spans="1:6">
      <c r="A434" t="s">
        <v>81</v>
      </c>
      <c r="B434" t="s">
        <v>44</v>
      </c>
      <c r="C434" s="3">
        <v>-0.0999999999999943</v>
      </c>
      <c r="D434">
        <v>1</v>
      </c>
      <c r="E434">
        <v>1</v>
      </c>
      <c r="F434">
        <v>1</v>
      </c>
    </row>
    <row r="435" spans="1:6">
      <c r="A435" t="s">
        <v>81</v>
      </c>
      <c r="B435" t="s">
        <v>45</v>
      </c>
      <c r="C435" s="3">
        <v>0.399999999999991</v>
      </c>
      <c r="D435">
        <v>1</v>
      </c>
      <c r="E435">
        <v>1</v>
      </c>
      <c r="F435">
        <v>1</v>
      </c>
    </row>
    <row r="436" spans="1:6">
      <c r="A436" t="s">
        <v>81</v>
      </c>
      <c r="B436" t="s">
        <v>396</v>
      </c>
      <c r="C436" s="3"/>
      <c r="D436">
        <v>0</v>
      </c>
      <c r="E436">
        <v>1</v>
      </c>
      <c r="F436">
        <v>1</v>
      </c>
    </row>
    <row r="437" spans="1:6">
      <c r="A437" t="s">
        <v>82</v>
      </c>
      <c r="B437" t="s">
        <v>34</v>
      </c>
      <c r="C437" s="3">
        <v>29.8</v>
      </c>
      <c r="D437">
        <v>1</v>
      </c>
      <c r="E437">
        <v>1</v>
      </c>
      <c r="F437">
        <v>1</v>
      </c>
    </row>
    <row r="438" spans="1:6">
      <c r="A438" t="s">
        <v>82</v>
      </c>
      <c r="B438" t="s">
        <v>35</v>
      </c>
      <c r="C438" s="3">
        <v>8.2772</v>
      </c>
      <c r="D438">
        <v>1</v>
      </c>
      <c r="E438">
        <v>1</v>
      </c>
      <c r="F438">
        <v>1</v>
      </c>
    </row>
    <row r="439" spans="1:6">
      <c r="A439" t="s">
        <v>82</v>
      </c>
      <c r="B439" t="s">
        <v>36</v>
      </c>
      <c r="C439" s="3">
        <v>246.66056</v>
      </c>
      <c r="D439">
        <v>1</v>
      </c>
      <c r="E439">
        <v>1</v>
      </c>
      <c r="F439">
        <v>1</v>
      </c>
    </row>
    <row r="440" spans="1:6">
      <c r="A440" t="s">
        <v>82</v>
      </c>
      <c r="B440" t="s">
        <v>40</v>
      </c>
      <c r="C440" s="3">
        <v>114.2</v>
      </c>
      <c r="D440">
        <v>1</v>
      </c>
      <c r="E440">
        <v>1</v>
      </c>
      <c r="F440">
        <v>1</v>
      </c>
    </row>
    <row r="441" spans="1:6">
      <c r="A441" t="s">
        <v>82</v>
      </c>
      <c r="B441" t="s">
        <v>41</v>
      </c>
      <c r="C441" s="3">
        <v>102.9</v>
      </c>
      <c r="D441">
        <v>1</v>
      </c>
      <c r="E441">
        <v>1</v>
      </c>
      <c r="F441">
        <v>1</v>
      </c>
    </row>
    <row r="442" spans="1:6">
      <c r="A442" t="s">
        <v>82</v>
      </c>
      <c r="B442" t="s">
        <v>42</v>
      </c>
      <c r="C442" s="3">
        <v>100.5</v>
      </c>
      <c r="D442">
        <v>1</v>
      </c>
      <c r="E442">
        <v>1</v>
      </c>
      <c r="F442">
        <v>1</v>
      </c>
    </row>
    <row r="443" spans="1:6">
      <c r="A443" t="s">
        <v>82</v>
      </c>
      <c r="B443" t="s">
        <v>46</v>
      </c>
      <c r="C443" s="3">
        <v>107.1</v>
      </c>
      <c r="D443">
        <v>1</v>
      </c>
      <c r="E443">
        <v>1</v>
      </c>
      <c r="F443">
        <v>1</v>
      </c>
    </row>
    <row r="444" spans="1:6">
      <c r="A444" t="s">
        <v>82</v>
      </c>
      <c r="B444" t="s">
        <v>392</v>
      </c>
      <c r="C444" s="3"/>
      <c r="D444">
        <v>0</v>
      </c>
      <c r="E444">
        <v>1</v>
      </c>
      <c r="F444">
        <v>1</v>
      </c>
    </row>
    <row r="445" spans="1:6">
      <c r="A445" t="s">
        <v>82</v>
      </c>
      <c r="B445" t="s">
        <v>393</v>
      </c>
      <c r="C445" s="3"/>
      <c r="D445">
        <v>0</v>
      </c>
      <c r="E445">
        <v>1</v>
      </c>
      <c r="F445">
        <v>1</v>
      </c>
    </row>
    <row r="446" spans="1:6">
      <c r="A446" t="s">
        <v>82</v>
      </c>
      <c r="B446" t="s">
        <v>394</v>
      </c>
      <c r="C446" s="3"/>
      <c r="D446">
        <v>0</v>
      </c>
      <c r="E446">
        <v>1</v>
      </c>
      <c r="F446">
        <v>1</v>
      </c>
    </row>
    <row r="447" spans="1:6">
      <c r="A447" t="s">
        <v>82</v>
      </c>
      <c r="B447" t="s">
        <v>39</v>
      </c>
      <c r="C447" s="3">
        <v>7.15242521140228</v>
      </c>
      <c r="D447">
        <v>1</v>
      </c>
      <c r="E447">
        <v>1</v>
      </c>
      <c r="F447">
        <v>1</v>
      </c>
    </row>
    <row r="448" spans="1:6">
      <c r="A448" t="s">
        <v>82</v>
      </c>
      <c r="B448" t="s">
        <v>43</v>
      </c>
      <c r="C448" s="3">
        <v>2.3</v>
      </c>
      <c r="D448">
        <v>1</v>
      </c>
      <c r="E448">
        <v>1</v>
      </c>
      <c r="F448">
        <v>1</v>
      </c>
    </row>
    <row r="449" spans="1:6">
      <c r="A449" t="s">
        <v>82</v>
      </c>
      <c r="B449" t="s">
        <v>44</v>
      </c>
      <c r="C449" s="3">
        <v>0.400000000000006</v>
      </c>
      <c r="D449">
        <v>1</v>
      </c>
      <c r="E449">
        <v>1</v>
      </c>
      <c r="F449">
        <v>1</v>
      </c>
    </row>
    <row r="450" spans="1:6">
      <c r="A450" t="s">
        <v>82</v>
      </c>
      <c r="B450" t="s">
        <v>45</v>
      </c>
      <c r="C450" s="3">
        <v>0.400000000000006</v>
      </c>
      <c r="D450">
        <v>1</v>
      </c>
      <c r="E450">
        <v>1</v>
      </c>
      <c r="F450">
        <v>1</v>
      </c>
    </row>
    <row r="451" spans="1:6">
      <c r="A451" t="s">
        <v>82</v>
      </c>
      <c r="B451" t="s">
        <v>396</v>
      </c>
      <c r="C451" s="3"/>
      <c r="D451">
        <v>0</v>
      </c>
      <c r="E451">
        <v>1</v>
      </c>
      <c r="F451">
        <v>1</v>
      </c>
    </row>
    <row r="452" spans="1:6">
      <c r="A452" t="s">
        <v>83</v>
      </c>
      <c r="B452" t="s">
        <v>34</v>
      </c>
      <c r="C452" s="3">
        <v>28.68</v>
      </c>
      <c r="D452">
        <v>1</v>
      </c>
      <c r="E452">
        <v>1</v>
      </c>
      <c r="F452">
        <v>1</v>
      </c>
    </row>
    <row r="453" spans="1:6">
      <c r="A453" t="s">
        <v>83</v>
      </c>
      <c r="B453" t="s">
        <v>35</v>
      </c>
      <c r="C453" s="3">
        <v>8.2794</v>
      </c>
      <c r="D453">
        <v>1</v>
      </c>
      <c r="E453">
        <v>1</v>
      </c>
      <c r="F453">
        <v>1</v>
      </c>
    </row>
    <row r="454" spans="1:6">
      <c r="A454" t="s">
        <v>83</v>
      </c>
      <c r="B454" t="s">
        <v>36</v>
      </c>
      <c r="C454" s="3">
        <v>237.453192</v>
      </c>
      <c r="D454">
        <v>1</v>
      </c>
      <c r="E454">
        <v>1</v>
      </c>
      <c r="F454">
        <v>1</v>
      </c>
    </row>
    <row r="455" spans="1:6">
      <c r="A455" t="s">
        <v>83</v>
      </c>
      <c r="B455" t="s">
        <v>40</v>
      </c>
      <c r="C455" s="3">
        <v>115.2</v>
      </c>
      <c r="D455">
        <v>1</v>
      </c>
      <c r="E455">
        <v>1</v>
      </c>
      <c r="F455">
        <v>1</v>
      </c>
    </row>
    <row r="456" spans="1:6">
      <c r="A456" t="s">
        <v>83</v>
      </c>
      <c r="B456" t="s">
        <v>41</v>
      </c>
      <c r="C456" s="3">
        <v>104.5</v>
      </c>
      <c r="D456">
        <v>1</v>
      </c>
      <c r="E456">
        <v>1</v>
      </c>
      <c r="F456">
        <v>1</v>
      </c>
    </row>
    <row r="457" spans="1:6">
      <c r="A457" t="s">
        <v>83</v>
      </c>
      <c r="B457" t="s">
        <v>42</v>
      </c>
      <c r="C457" s="3">
        <v>100.5</v>
      </c>
      <c r="D457">
        <v>1</v>
      </c>
      <c r="E457">
        <v>1</v>
      </c>
      <c r="F457">
        <v>1</v>
      </c>
    </row>
    <row r="458" spans="1:6">
      <c r="A458" t="s">
        <v>83</v>
      </c>
      <c r="B458" t="s">
        <v>46</v>
      </c>
      <c r="C458" s="3">
        <v>108.6</v>
      </c>
      <c r="D458">
        <v>1</v>
      </c>
      <c r="E458">
        <v>1</v>
      </c>
      <c r="F458">
        <v>1</v>
      </c>
    </row>
    <row r="459" spans="1:6">
      <c r="A459" t="s">
        <v>83</v>
      </c>
      <c r="B459" t="s">
        <v>392</v>
      </c>
      <c r="C459" s="3"/>
      <c r="D459">
        <v>0</v>
      </c>
      <c r="E459">
        <v>1</v>
      </c>
      <c r="F459">
        <v>1</v>
      </c>
    </row>
    <row r="460" spans="1:6">
      <c r="A460" t="s">
        <v>83</v>
      </c>
      <c r="B460" t="s">
        <v>393</v>
      </c>
      <c r="C460" s="3"/>
      <c r="D460">
        <v>0</v>
      </c>
      <c r="E460">
        <v>1</v>
      </c>
      <c r="F460">
        <v>1</v>
      </c>
    </row>
    <row r="461" spans="1:6">
      <c r="A461" t="s">
        <v>83</v>
      </c>
      <c r="B461" t="s">
        <v>394</v>
      </c>
      <c r="C461" s="3"/>
      <c r="D461">
        <v>0</v>
      </c>
      <c r="E461">
        <v>1</v>
      </c>
      <c r="F461">
        <v>1</v>
      </c>
    </row>
    <row r="462" spans="1:6">
      <c r="A462" t="s">
        <v>83</v>
      </c>
      <c r="B462" t="s">
        <v>39</v>
      </c>
      <c r="C462" s="3">
        <v>-3.80426227320491</v>
      </c>
      <c r="D462">
        <v>1</v>
      </c>
      <c r="E462">
        <v>1</v>
      </c>
      <c r="F462">
        <v>1</v>
      </c>
    </row>
    <row r="463" spans="1:6">
      <c r="A463" t="s">
        <v>83</v>
      </c>
      <c r="B463" t="s">
        <v>43</v>
      </c>
      <c r="C463" s="3">
        <v>1</v>
      </c>
      <c r="D463">
        <v>1</v>
      </c>
      <c r="E463">
        <v>1</v>
      </c>
      <c r="F463">
        <v>1</v>
      </c>
    </row>
    <row r="464" spans="1:6">
      <c r="A464" t="s">
        <v>83</v>
      </c>
      <c r="B464" t="s">
        <v>44</v>
      </c>
      <c r="C464" s="3">
        <v>1.59999999999999</v>
      </c>
      <c r="D464">
        <v>1</v>
      </c>
      <c r="E464">
        <v>1</v>
      </c>
      <c r="F464">
        <v>1</v>
      </c>
    </row>
    <row r="465" spans="1:6">
      <c r="A465" t="s">
        <v>83</v>
      </c>
      <c r="B465" t="s">
        <v>45</v>
      </c>
      <c r="C465" s="3">
        <v>0</v>
      </c>
      <c r="D465">
        <v>1</v>
      </c>
      <c r="E465">
        <v>1</v>
      </c>
      <c r="F465">
        <v>1</v>
      </c>
    </row>
    <row r="466" spans="1:6">
      <c r="A466" t="s">
        <v>83</v>
      </c>
      <c r="B466" t="s">
        <v>396</v>
      </c>
      <c r="C466" s="3"/>
      <c r="D466">
        <v>0</v>
      </c>
      <c r="E466">
        <v>1</v>
      </c>
      <c r="F466">
        <v>1</v>
      </c>
    </row>
    <row r="467" spans="1:6">
      <c r="A467" t="s">
        <v>84</v>
      </c>
      <c r="B467" t="s">
        <v>34</v>
      </c>
      <c r="C467" s="3">
        <v>30.2</v>
      </c>
      <c r="D467">
        <v>1</v>
      </c>
      <c r="E467">
        <v>1</v>
      </c>
      <c r="F467">
        <v>1</v>
      </c>
    </row>
    <row r="468" spans="1:6">
      <c r="A468" t="s">
        <v>84</v>
      </c>
      <c r="B468" t="s">
        <v>35</v>
      </c>
      <c r="C468" s="3">
        <v>8.2796</v>
      </c>
      <c r="D468">
        <v>1</v>
      </c>
      <c r="E468">
        <v>1</v>
      </c>
      <c r="F468">
        <v>1</v>
      </c>
    </row>
    <row r="469" spans="1:6">
      <c r="A469" t="s">
        <v>84</v>
      </c>
      <c r="B469" t="s">
        <v>36</v>
      </c>
      <c r="C469" s="3">
        <v>250.04392</v>
      </c>
      <c r="D469">
        <v>1</v>
      </c>
      <c r="E469">
        <v>1</v>
      </c>
      <c r="F469">
        <v>1</v>
      </c>
    </row>
    <row r="470" spans="1:6">
      <c r="A470" t="s">
        <v>84</v>
      </c>
      <c r="B470" t="s">
        <v>40</v>
      </c>
      <c r="C470" s="3">
        <v>117.8</v>
      </c>
      <c r="D470">
        <v>1</v>
      </c>
      <c r="E470">
        <v>1</v>
      </c>
      <c r="F470">
        <v>1</v>
      </c>
    </row>
    <row r="471" spans="1:6">
      <c r="A471" t="s">
        <v>84</v>
      </c>
      <c r="B471" t="s">
        <v>41</v>
      </c>
      <c r="C471" s="3">
        <v>103.9</v>
      </c>
      <c r="D471">
        <v>1</v>
      </c>
      <c r="E471">
        <v>1</v>
      </c>
      <c r="F471">
        <v>1</v>
      </c>
    </row>
    <row r="472" spans="1:6">
      <c r="A472" t="s">
        <v>84</v>
      </c>
      <c r="B472" t="s">
        <v>42</v>
      </c>
      <c r="C472" s="3">
        <v>100.3</v>
      </c>
      <c r="D472">
        <v>1</v>
      </c>
      <c r="E472">
        <v>1</v>
      </c>
      <c r="F472">
        <v>1</v>
      </c>
    </row>
    <row r="473" spans="1:6">
      <c r="A473" t="s">
        <v>84</v>
      </c>
      <c r="B473" t="s">
        <v>46</v>
      </c>
      <c r="C473" s="3">
        <v>104.6</v>
      </c>
      <c r="D473">
        <v>1</v>
      </c>
      <c r="E473">
        <v>1</v>
      </c>
      <c r="F473">
        <v>1</v>
      </c>
    </row>
    <row r="474" spans="1:6">
      <c r="A474" t="s">
        <v>84</v>
      </c>
      <c r="B474" t="s">
        <v>392</v>
      </c>
      <c r="C474" s="3"/>
      <c r="D474">
        <v>0</v>
      </c>
      <c r="E474">
        <v>1</v>
      </c>
      <c r="F474">
        <v>1</v>
      </c>
    </row>
    <row r="475" spans="1:6">
      <c r="A475" t="s">
        <v>84</v>
      </c>
      <c r="B475" t="s">
        <v>393</v>
      </c>
      <c r="C475" s="3"/>
      <c r="D475">
        <v>0</v>
      </c>
      <c r="E475">
        <v>1</v>
      </c>
      <c r="F475">
        <v>1</v>
      </c>
    </row>
    <row r="476" spans="1:6">
      <c r="A476" t="s">
        <v>84</v>
      </c>
      <c r="B476" t="s">
        <v>394</v>
      </c>
      <c r="C476" s="3"/>
      <c r="D476">
        <v>0</v>
      </c>
      <c r="E476">
        <v>1</v>
      </c>
      <c r="F476">
        <v>1</v>
      </c>
    </row>
    <row r="477" spans="1:6">
      <c r="A477" t="s">
        <v>84</v>
      </c>
      <c r="B477" t="s">
        <v>39</v>
      </c>
      <c r="C477" s="3">
        <v>5.1666064697476</v>
      </c>
      <c r="D477">
        <v>1</v>
      </c>
      <c r="E477">
        <v>1</v>
      </c>
      <c r="F477">
        <v>1</v>
      </c>
    </row>
    <row r="478" spans="1:6">
      <c r="A478" t="s">
        <v>84</v>
      </c>
      <c r="B478" t="s">
        <v>43</v>
      </c>
      <c r="C478" s="3">
        <v>2.59999999999999</v>
      </c>
      <c r="D478">
        <v>1</v>
      </c>
      <c r="E478">
        <v>1</v>
      </c>
      <c r="F478">
        <v>1</v>
      </c>
    </row>
    <row r="479" spans="1:6">
      <c r="A479" t="s">
        <v>84</v>
      </c>
      <c r="B479" t="s">
        <v>44</v>
      </c>
      <c r="C479" s="3">
        <v>-0.599999999999994</v>
      </c>
      <c r="D479">
        <v>1</v>
      </c>
      <c r="E479">
        <v>1</v>
      </c>
      <c r="F479">
        <v>1</v>
      </c>
    </row>
    <row r="480" spans="1:6">
      <c r="A480" t="s">
        <v>84</v>
      </c>
      <c r="B480" t="s">
        <v>45</v>
      </c>
      <c r="C480" s="3">
        <v>-0.200000000000003</v>
      </c>
      <c r="D480">
        <v>1</v>
      </c>
      <c r="E480">
        <v>1</v>
      </c>
      <c r="F480">
        <v>1</v>
      </c>
    </row>
    <row r="481" spans="1:6">
      <c r="A481" t="s">
        <v>84</v>
      </c>
      <c r="B481" t="s">
        <v>396</v>
      </c>
      <c r="C481" s="3"/>
      <c r="D481">
        <v>0</v>
      </c>
      <c r="E481">
        <v>1</v>
      </c>
      <c r="F481">
        <v>1</v>
      </c>
    </row>
    <row r="482" spans="1:6">
      <c r="A482" t="s">
        <v>85</v>
      </c>
      <c r="B482" t="s">
        <v>34</v>
      </c>
      <c r="C482" s="3">
        <v>33.14</v>
      </c>
      <c r="D482">
        <v>1</v>
      </c>
      <c r="E482">
        <v>1</v>
      </c>
      <c r="F482">
        <v>1</v>
      </c>
    </row>
    <row r="483" spans="1:6">
      <c r="A483" t="s">
        <v>85</v>
      </c>
      <c r="B483" t="s">
        <v>35</v>
      </c>
      <c r="C483" s="3">
        <v>8.2785</v>
      </c>
      <c r="D483">
        <v>1</v>
      </c>
      <c r="E483">
        <v>1</v>
      </c>
      <c r="F483">
        <v>1</v>
      </c>
    </row>
    <row r="484" spans="1:6">
      <c r="A484" t="s">
        <v>85</v>
      </c>
      <c r="B484" t="s">
        <v>36</v>
      </c>
      <c r="C484" s="3">
        <v>274.34949</v>
      </c>
      <c r="D484">
        <v>1</v>
      </c>
      <c r="E484">
        <v>1</v>
      </c>
      <c r="F484">
        <v>1</v>
      </c>
    </row>
    <row r="485" spans="1:6">
      <c r="A485" t="s">
        <v>85</v>
      </c>
      <c r="B485" t="s">
        <v>40</v>
      </c>
      <c r="C485" s="3">
        <v>117.6</v>
      </c>
      <c r="D485">
        <v>1</v>
      </c>
      <c r="E485">
        <v>1</v>
      </c>
      <c r="F485">
        <v>1</v>
      </c>
    </row>
    <row r="486" spans="1:6">
      <c r="A486" t="s">
        <v>85</v>
      </c>
      <c r="B486" t="s">
        <v>41</v>
      </c>
      <c r="C486" s="3">
        <v>103.7</v>
      </c>
      <c r="D486">
        <v>1</v>
      </c>
      <c r="E486">
        <v>1</v>
      </c>
      <c r="F486">
        <v>1</v>
      </c>
    </row>
    <row r="487" spans="1:6">
      <c r="A487" t="s">
        <v>85</v>
      </c>
      <c r="B487" t="s">
        <v>42</v>
      </c>
      <c r="C487" s="3">
        <v>100</v>
      </c>
      <c r="D487">
        <v>1</v>
      </c>
      <c r="E487">
        <v>1</v>
      </c>
      <c r="F487">
        <v>1</v>
      </c>
    </row>
    <row r="488" spans="1:6">
      <c r="A488" t="s">
        <v>85</v>
      </c>
      <c r="B488" t="s">
        <v>46</v>
      </c>
      <c r="C488" s="3">
        <v>105.1</v>
      </c>
      <c r="D488">
        <v>1</v>
      </c>
      <c r="E488">
        <v>1</v>
      </c>
      <c r="F488">
        <v>1</v>
      </c>
    </row>
    <row r="489" spans="1:6">
      <c r="A489" t="s">
        <v>85</v>
      </c>
      <c r="B489" t="s">
        <v>392</v>
      </c>
      <c r="C489" s="3"/>
      <c r="D489">
        <v>0</v>
      </c>
      <c r="E489">
        <v>1</v>
      </c>
      <c r="F489">
        <v>1</v>
      </c>
    </row>
    <row r="490" spans="1:6">
      <c r="A490" t="s">
        <v>85</v>
      </c>
      <c r="B490" t="s">
        <v>393</v>
      </c>
      <c r="C490" s="3"/>
      <c r="D490">
        <v>0</v>
      </c>
      <c r="E490">
        <v>1</v>
      </c>
      <c r="F490">
        <v>1</v>
      </c>
    </row>
    <row r="491" spans="1:6">
      <c r="A491" t="s">
        <v>85</v>
      </c>
      <c r="B491" t="s">
        <v>394</v>
      </c>
      <c r="C491" s="3"/>
      <c r="D491">
        <v>0</v>
      </c>
      <c r="E491">
        <v>1</v>
      </c>
      <c r="F491">
        <v>1</v>
      </c>
    </row>
    <row r="492" spans="1:6">
      <c r="A492" t="s">
        <v>85</v>
      </c>
      <c r="B492" t="s">
        <v>39</v>
      </c>
      <c r="C492" s="3">
        <v>9.2766222131623</v>
      </c>
      <c r="D492">
        <v>1</v>
      </c>
      <c r="E492">
        <v>1</v>
      </c>
      <c r="F492">
        <v>1</v>
      </c>
    </row>
    <row r="493" spans="1:6">
      <c r="A493" t="s">
        <v>85</v>
      </c>
      <c r="B493" t="s">
        <v>43</v>
      </c>
      <c r="C493" s="3">
        <v>-0.200000000000003</v>
      </c>
      <c r="D493">
        <v>1</v>
      </c>
      <c r="E493">
        <v>1</v>
      </c>
      <c r="F493">
        <v>1</v>
      </c>
    </row>
    <row r="494" spans="1:6">
      <c r="A494" t="s">
        <v>85</v>
      </c>
      <c r="B494" t="s">
        <v>44</v>
      </c>
      <c r="C494" s="3">
        <v>-0.200000000000003</v>
      </c>
      <c r="D494">
        <v>1</v>
      </c>
      <c r="E494">
        <v>1</v>
      </c>
      <c r="F494">
        <v>1</v>
      </c>
    </row>
    <row r="495" spans="1:6">
      <c r="A495" t="s">
        <v>85</v>
      </c>
      <c r="B495" t="s">
        <v>45</v>
      </c>
      <c r="C495" s="3">
        <v>-0.299999999999997</v>
      </c>
      <c r="D495">
        <v>1</v>
      </c>
      <c r="E495">
        <v>1</v>
      </c>
      <c r="F495">
        <v>1</v>
      </c>
    </row>
    <row r="496" spans="1:6">
      <c r="A496" t="s">
        <v>85</v>
      </c>
      <c r="B496" t="s">
        <v>396</v>
      </c>
      <c r="C496" s="3"/>
      <c r="D496">
        <v>0</v>
      </c>
      <c r="E496">
        <v>1</v>
      </c>
      <c r="F496">
        <v>1</v>
      </c>
    </row>
    <row r="497" spans="1:6">
      <c r="A497" t="s">
        <v>86</v>
      </c>
      <c r="B497" t="s">
        <v>34</v>
      </c>
      <c r="C497" s="3">
        <v>30.96</v>
      </c>
      <c r="D497">
        <v>1</v>
      </c>
      <c r="E497">
        <v>1</v>
      </c>
      <c r="F497">
        <v>1</v>
      </c>
    </row>
    <row r="498" spans="1:6">
      <c r="A498" t="s">
        <v>86</v>
      </c>
      <c r="B498" t="s">
        <v>35</v>
      </c>
      <c r="C498" s="3">
        <v>8.2785</v>
      </c>
      <c r="D498">
        <v>1</v>
      </c>
      <c r="E498">
        <v>1</v>
      </c>
      <c r="F498">
        <v>1</v>
      </c>
    </row>
    <row r="499" spans="1:6">
      <c r="A499" t="s">
        <v>86</v>
      </c>
      <c r="B499" t="s">
        <v>36</v>
      </c>
      <c r="C499" s="3">
        <v>256.30236</v>
      </c>
      <c r="D499">
        <v>1</v>
      </c>
      <c r="E499">
        <v>1</v>
      </c>
      <c r="F499">
        <v>1</v>
      </c>
    </row>
    <row r="500" spans="1:6">
      <c r="A500" t="s">
        <v>86</v>
      </c>
      <c r="B500" t="s">
        <v>40</v>
      </c>
      <c r="C500" s="3">
        <v>118.1</v>
      </c>
      <c r="D500">
        <v>1</v>
      </c>
      <c r="E500">
        <v>1</v>
      </c>
      <c r="F500">
        <v>1</v>
      </c>
    </row>
    <row r="501" spans="1:6">
      <c r="A501" t="s">
        <v>86</v>
      </c>
      <c r="B501" t="s">
        <v>41</v>
      </c>
      <c r="C501" s="3">
        <v>103.6</v>
      </c>
      <c r="D501">
        <v>1</v>
      </c>
      <c r="E501">
        <v>1</v>
      </c>
      <c r="F501">
        <v>1</v>
      </c>
    </row>
    <row r="502" spans="1:6">
      <c r="A502" t="s">
        <v>86</v>
      </c>
      <c r="B502" t="s">
        <v>42</v>
      </c>
      <c r="C502" s="3">
        <v>100</v>
      </c>
      <c r="D502">
        <v>1</v>
      </c>
      <c r="E502">
        <v>1</v>
      </c>
      <c r="F502">
        <v>1</v>
      </c>
    </row>
    <row r="503" spans="1:6">
      <c r="A503" t="s">
        <v>86</v>
      </c>
      <c r="B503" t="s">
        <v>46</v>
      </c>
      <c r="C503" s="3">
        <v>105.2</v>
      </c>
      <c r="D503">
        <v>1</v>
      </c>
      <c r="E503">
        <v>1</v>
      </c>
      <c r="F503">
        <v>1</v>
      </c>
    </row>
    <row r="504" spans="1:6">
      <c r="A504" t="s">
        <v>86</v>
      </c>
      <c r="B504" t="s">
        <v>392</v>
      </c>
      <c r="C504" s="3"/>
      <c r="D504">
        <v>0</v>
      </c>
      <c r="E504">
        <v>1</v>
      </c>
      <c r="F504">
        <v>1</v>
      </c>
    </row>
    <row r="505" spans="1:6">
      <c r="A505" t="s">
        <v>86</v>
      </c>
      <c r="B505" t="s">
        <v>393</v>
      </c>
      <c r="C505" s="3"/>
      <c r="D505">
        <v>0</v>
      </c>
      <c r="E505">
        <v>1</v>
      </c>
      <c r="F505">
        <v>1</v>
      </c>
    </row>
    <row r="506" spans="1:6">
      <c r="A506" t="s">
        <v>86</v>
      </c>
      <c r="B506" t="s">
        <v>394</v>
      </c>
      <c r="C506" s="3"/>
      <c r="D506">
        <v>0</v>
      </c>
      <c r="E506">
        <v>1</v>
      </c>
      <c r="F506">
        <v>1</v>
      </c>
    </row>
    <row r="507" spans="1:6">
      <c r="A507" t="s">
        <v>86</v>
      </c>
      <c r="B507" t="s">
        <v>39</v>
      </c>
      <c r="C507" s="3">
        <v>-6.80449632768906</v>
      </c>
      <c r="D507">
        <v>1</v>
      </c>
      <c r="E507">
        <v>1</v>
      </c>
      <c r="F507">
        <v>1</v>
      </c>
    </row>
    <row r="508" spans="1:6">
      <c r="A508" t="s">
        <v>86</v>
      </c>
      <c r="B508" t="s">
        <v>43</v>
      </c>
      <c r="C508" s="3">
        <v>0.5</v>
      </c>
      <c r="D508">
        <v>1</v>
      </c>
      <c r="E508">
        <v>1</v>
      </c>
      <c r="F508">
        <v>1</v>
      </c>
    </row>
    <row r="509" spans="1:6">
      <c r="A509" t="s">
        <v>86</v>
      </c>
      <c r="B509" t="s">
        <v>44</v>
      </c>
      <c r="C509" s="3">
        <v>-0.100000000000009</v>
      </c>
      <c r="D509">
        <v>1</v>
      </c>
      <c r="E509">
        <v>1</v>
      </c>
      <c r="F509">
        <v>1</v>
      </c>
    </row>
    <row r="510" spans="1:6">
      <c r="A510" t="s">
        <v>86</v>
      </c>
      <c r="B510" t="s">
        <v>45</v>
      </c>
      <c r="C510" s="3">
        <v>0</v>
      </c>
      <c r="D510">
        <v>1</v>
      </c>
      <c r="E510">
        <v>1</v>
      </c>
      <c r="F510">
        <v>1</v>
      </c>
    </row>
    <row r="511" spans="1:6">
      <c r="A511" t="s">
        <v>86</v>
      </c>
      <c r="B511" t="s">
        <v>396</v>
      </c>
      <c r="C511" s="3"/>
      <c r="D511">
        <v>0</v>
      </c>
      <c r="E511">
        <v>1</v>
      </c>
      <c r="F511">
        <v>1</v>
      </c>
    </row>
    <row r="512" spans="1:6">
      <c r="A512" t="s">
        <v>87</v>
      </c>
      <c r="B512" t="s">
        <v>34</v>
      </c>
      <c r="C512" s="3">
        <v>32.55</v>
      </c>
      <c r="D512">
        <v>1</v>
      </c>
      <c r="E512">
        <v>1</v>
      </c>
      <c r="F512">
        <v>1</v>
      </c>
    </row>
    <row r="513" spans="1:6">
      <c r="A513" t="s">
        <v>87</v>
      </c>
      <c r="B513" t="s">
        <v>35</v>
      </c>
      <c r="C513" s="3">
        <v>8.2774</v>
      </c>
      <c r="D513">
        <v>1</v>
      </c>
      <c r="E513">
        <v>1</v>
      </c>
      <c r="F513">
        <v>1</v>
      </c>
    </row>
    <row r="514" spans="1:6">
      <c r="A514" t="s">
        <v>87</v>
      </c>
      <c r="B514" t="s">
        <v>36</v>
      </c>
      <c r="C514" s="3">
        <v>269.42937</v>
      </c>
      <c r="D514">
        <v>1</v>
      </c>
      <c r="E514">
        <v>1</v>
      </c>
      <c r="F514">
        <v>1</v>
      </c>
    </row>
    <row r="515" spans="1:6">
      <c r="A515" t="s">
        <v>87</v>
      </c>
      <c r="B515" t="s">
        <v>40</v>
      </c>
      <c r="C515" s="3">
        <v>116.7</v>
      </c>
      <c r="D515">
        <v>1</v>
      </c>
      <c r="E515">
        <v>1</v>
      </c>
      <c r="F515">
        <v>1</v>
      </c>
    </row>
    <row r="516" spans="1:6">
      <c r="A516" t="s">
        <v>87</v>
      </c>
      <c r="B516" t="s">
        <v>41</v>
      </c>
      <c r="C516" s="3">
        <v>103.5</v>
      </c>
      <c r="D516">
        <v>1</v>
      </c>
      <c r="E516">
        <v>1</v>
      </c>
      <c r="F516">
        <v>1</v>
      </c>
    </row>
    <row r="517" spans="1:6">
      <c r="A517" t="s">
        <v>87</v>
      </c>
      <c r="B517" t="s">
        <v>42</v>
      </c>
      <c r="C517" s="3">
        <v>101.3</v>
      </c>
      <c r="D517">
        <v>1</v>
      </c>
      <c r="E517">
        <v>1</v>
      </c>
      <c r="F517">
        <v>1</v>
      </c>
    </row>
    <row r="518" spans="1:6">
      <c r="A518" t="s">
        <v>87</v>
      </c>
      <c r="B518" t="s">
        <v>46</v>
      </c>
      <c r="C518" s="3">
        <v>105</v>
      </c>
      <c r="D518">
        <v>1</v>
      </c>
      <c r="E518">
        <v>1</v>
      </c>
      <c r="F518">
        <v>1</v>
      </c>
    </row>
    <row r="519" spans="1:6">
      <c r="A519" t="s">
        <v>87</v>
      </c>
      <c r="B519" t="s">
        <v>392</v>
      </c>
      <c r="C519" s="3"/>
      <c r="D519">
        <v>0</v>
      </c>
      <c r="E519">
        <v>1</v>
      </c>
      <c r="F519">
        <v>1</v>
      </c>
    </row>
    <row r="520" spans="1:6">
      <c r="A520" t="s">
        <v>87</v>
      </c>
      <c r="B520" t="s">
        <v>393</v>
      </c>
      <c r="C520" s="3"/>
      <c r="D520">
        <v>0</v>
      </c>
      <c r="E520">
        <v>1</v>
      </c>
      <c r="F520">
        <v>1</v>
      </c>
    </row>
    <row r="521" spans="1:6">
      <c r="A521" t="s">
        <v>87</v>
      </c>
      <c r="B521" t="s">
        <v>394</v>
      </c>
      <c r="C521" s="3"/>
      <c r="D521">
        <v>0</v>
      </c>
      <c r="E521">
        <v>1</v>
      </c>
      <c r="F521">
        <v>1</v>
      </c>
    </row>
    <row r="522" spans="1:6">
      <c r="A522" t="s">
        <v>87</v>
      </c>
      <c r="B522" t="s">
        <v>39</v>
      </c>
      <c r="C522" s="3">
        <v>4.9948436791499</v>
      </c>
      <c r="D522">
        <v>1</v>
      </c>
      <c r="E522">
        <v>1</v>
      </c>
      <c r="F522">
        <v>1</v>
      </c>
    </row>
    <row r="523" spans="1:6">
      <c r="A523" t="s">
        <v>87</v>
      </c>
      <c r="B523" t="s">
        <v>43</v>
      </c>
      <c r="C523" s="3">
        <v>-1.39999999999999</v>
      </c>
      <c r="D523">
        <v>1</v>
      </c>
      <c r="E523">
        <v>1</v>
      </c>
      <c r="F523">
        <v>1</v>
      </c>
    </row>
    <row r="524" spans="1:6">
      <c r="A524" t="s">
        <v>87</v>
      </c>
      <c r="B524" t="s">
        <v>44</v>
      </c>
      <c r="C524" s="3">
        <v>-0.0999999999999943</v>
      </c>
      <c r="D524">
        <v>1</v>
      </c>
      <c r="E524">
        <v>1</v>
      </c>
      <c r="F524">
        <v>1</v>
      </c>
    </row>
    <row r="525" spans="1:6">
      <c r="A525" t="s">
        <v>87</v>
      </c>
      <c r="B525" t="s">
        <v>45</v>
      </c>
      <c r="C525" s="3">
        <v>1.3</v>
      </c>
      <c r="D525">
        <v>1</v>
      </c>
      <c r="E525">
        <v>1</v>
      </c>
      <c r="F525">
        <v>1</v>
      </c>
    </row>
    <row r="526" spans="1:6">
      <c r="A526" t="s">
        <v>87</v>
      </c>
      <c r="B526" t="s">
        <v>396</v>
      </c>
      <c r="C526" s="3"/>
      <c r="D526">
        <v>0</v>
      </c>
      <c r="E526">
        <v>1</v>
      </c>
      <c r="F526">
        <v>1</v>
      </c>
    </row>
    <row r="527" spans="1:6">
      <c r="A527" t="s">
        <v>88</v>
      </c>
      <c r="B527" t="s">
        <v>34</v>
      </c>
      <c r="C527" s="3">
        <v>25.66</v>
      </c>
      <c r="D527">
        <v>1</v>
      </c>
      <c r="E527">
        <v>1</v>
      </c>
      <c r="F527">
        <v>1</v>
      </c>
    </row>
    <row r="528" spans="1:6">
      <c r="A528" t="s">
        <v>88</v>
      </c>
      <c r="B528" t="s">
        <v>35</v>
      </c>
      <c r="C528" s="3">
        <v>8.2771</v>
      </c>
      <c r="D528">
        <v>1</v>
      </c>
      <c r="E528">
        <v>1</v>
      </c>
      <c r="F528">
        <v>1</v>
      </c>
    </row>
    <row r="529" spans="1:6">
      <c r="A529" t="s">
        <v>88</v>
      </c>
      <c r="B529" t="s">
        <v>36</v>
      </c>
      <c r="C529" s="3">
        <v>212.390386</v>
      </c>
      <c r="D529">
        <v>1</v>
      </c>
      <c r="E529">
        <v>1</v>
      </c>
      <c r="F529">
        <v>1</v>
      </c>
    </row>
    <row r="530" spans="1:6">
      <c r="A530" t="s">
        <v>88</v>
      </c>
      <c r="B530" t="s">
        <v>40</v>
      </c>
      <c r="C530" s="3">
        <v>113.5</v>
      </c>
      <c r="D530">
        <v>1</v>
      </c>
      <c r="E530">
        <v>1</v>
      </c>
      <c r="F530">
        <v>1</v>
      </c>
    </row>
    <row r="531" spans="1:6">
      <c r="A531" t="s">
        <v>88</v>
      </c>
      <c r="B531" t="s">
        <v>41</v>
      </c>
      <c r="C531" s="3">
        <v>102.8</v>
      </c>
      <c r="D531">
        <v>1</v>
      </c>
      <c r="E531">
        <v>1</v>
      </c>
      <c r="F531">
        <v>1</v>
      </c>
    </row>
    <row r="532" spans="1:6">
      <c r="A532" t="s">
        <v>88</v>
      </c>
      <c r="B532" t="s">
        <v>42</v>
      </c>
      <c r="C532" s="3">
        <v>101.5</v>
      </c>
      <c r="D532">
        <v>1</v>
      </c>
      <c r="E532">
        <v>1</v>
      </c>
      <c r="F532">
        <v>1</v>
      </c>
    </row>
    <row r="533" spans="1:6">
      <c r="A533" t="s">
        <v>88</v>
      </c>
      <c r="B533" t="s">
        <v>46</v>
      </c>
      <c r="C533" s="3">
        <v>104.7</v>
      </c>
      <c r="D533">
        <v>1</v>
      </c>
      <c r="E533">
        <v>1</v>
      </c>
      <c r="F533">
        <v>1</v>
      </c>
    </row>
    <row r="534" spans="1:6">
      <c r="A534" t="s">
        <v>88</v>
      </c>
      <c r="B534" t="s">
        <v>392</v>
      </c>
      <c r="C534" s="3"/>
      <c r="D534">
        <v>0</v>
      </c>
      <c r="E534">
        <v>1</v>
      </c>
      <c r="F534">
        <v>1</v>
      </c>
    </row>
    <row r="535" spans="1:6">
      <c r="A535" t="s">
        <v>88</v>
      </c>
      <c r="B535" t="s">
        <v>393</v>
      </c>
      <c r="C535" s="3"/>
      <c r="D535">
        <v>0</v>
      </c>
      <c r="E535">
        <v>1</v>
      </c>
      <c r="F535">
        <v>1</v>
      </c>
    </row>
    <row r="536" spans="1:6">
      <c r="A536" t="s">
        <v>88</v>
      </c>
      <c r="B536" t="s">
        <v>394</v>
      </c>
      <c r="C536" s="3"/>
      <c r="D536">
        <v>0</v>
      </c>
      <c r="E536">
        <v>1</v>
      </c>
      <c r="F536">
        <v>1</v>
      </c>
    </row>
    <row r="537" spans="1:6">
      <c r="A537" t="s">
        <v>88</v>
      </c>
      <c r="B537" t="s">
        <v>39</v>
      </c>
      <c r="C537" s="3">
        <v>-23.7880253388684</v>
      </c>
      <c r="D537">
        <v>1</v>
      </c>
      <c r="E537">
        <v>1</v>
      </c>
      <c r="F537">
        <v>1</v>
      </c>
    </row>
    <row r="538" spans="1:6">
      <c r="A538" t="s">
        <v>88</v>
      </c>
      <c r="B538" t="s">
        <v>43</v>
      </c>
      <c r="C538" s="3">
        <v>-3.2</v>
      </c>
      <c r="D538">
        <v>1</v>
      </c>
      <c r="E538">
        <v>1</v>
      </c>
      <c r="F538">
        <v>1</v>
      </c>
    </row>
    <row r="539" spans="1:6">
      <c r="A539" t="s">
        <v>88</v>
      </c>
      <c r="B539" t="s">
        <v>44</v>
      </c>
      <c r="C539" s="3">
        <v>-0.700000000000003</v>
      </c>
      <c r="D539">
        <v>1</v>
      </c>
      <c r="E539">
        <v>1</v>
      </c>
      <c r="F539">
        <v>1</v>
      </c>
    </row>
    <row r="540" spans="1:6">
      <c r="A540" t="s">
        <v>88</v>
      </c>
      <c r="B540" t="s">
        <v>45</v>
      </c>
      <c r="C540" s="3">
        <v>0.200000000000003</v>
      </c>
      <c r="D540">
        <v>1</v>
      </c>
      <c r="E540">
        <v>1</v>
      </c>
      <c r="F540">
        <v>1</v>
      </c>
    </row>
    <row r="541" spans="1:6">
      <c r="A541" t="s">
        <v>88</v>
      </c>
      <c r="B541" t="s">
        <v>396</v>
      </c>
      <c r="C541" s="3"/>
      <c r="D541">
        <v>0</v>
      </c>
      <c r="E541">
        <v>1</v>
      </c>
      <c r="F541">
        <v>1</v>
      </c>
    </row>
    <row r="542" spans="1:6">
      <c r="A542" t="s">
        <v>89</v>
      </c>
      <c r="B542" t="s">
        <v>34</v>
      </c>
      <c r="C542" s="3">
        <v>25.62</v>
      </c>
      <c r="D542">
        <v>1</v>
      </c>
      <c r="E542">
        <v>1</v>
      </c>
      <c r="F542">
        <v>1</v>
      </c>
    </row>
    <row r="543" spans="1:6">
      <c r="A543" t="s">
        <v>89</v>
      </c>
      <c r="B543" t="s">
        <v>35</v>
      </c>
      <c r="C543" s="3">
        <v>8.2776</v>
      </c>
      <c r="D543">
        <v>1</v>
      </c>
      <c r="E543">
        <v>1</v>
      </c>
      <c r="F543">
        <v>1</v>
      </c>
    </row>
    <row r="544" spans="1:6">
      <c r="A544" t="s">
        <v>89</v>
      </c>
      <c r="B544" t="s">
        <v>36</v>
      </c>
      <c r="C544" s="3">
        <v>212.072112</v>
      </c>
      <c r="D544">
        <v>1</v>
      </c>
      <c r="E544">
        <v>1</v>
      </c>
      <c r="F544">
        <v>1</v>
      </c>
    </row>
    <row r="545" spans="1:6">
      <c r="A545" t="s">
        <v>89</v>
      </c>
      <c r="B545" t="s">
        <v>40</v>
      </c>
      <c r="C545" s="3">
        <v>110</v>
      </c>
      <c r="D545">
        <v>1</v>
      </c>
      <c r="E545">
        <v>1</v>
      </c>
      <c r="F545">
        <v>1</v>
      </c>
    </row>
    <row r="546" spans="1:6">
      <c r="A546" t="s">
        <v>89</v>
      </c>
      <c r="B546" t="s">
        <v>41</v>
      </c>
      <c r="C546" s="3">
        <v>101.4</v>
      </c>
      <c r="D546">
        <v>1</v>
      </c>
      <c r="E546">
        <v>1</v>
      </c>
      <c r="F546">
        <v>1</v>
      </c>
    </row>
    <row r="547" spans="1:6">
      <c r="A547" t="s">
        <v>89</v>
      </c>
      <c r="B547" t="s">
        <v>42</v>
      </c>
      <c r="C547" s="3">
        <v>101.2</v>
      </c>
      <c r="D547">
        <v>1</v>
      </c>
      <c r="E547">
        <v>1</v>
      </c>
      <c r="F547">
        <v>1</v>
      </c>
    </row>
    <row r="548" spans="1:6">
      <c r="A548" t="s">
        <v>89</v>
      </c>
      <c r="B548" t="s">
        <v>46</v>
      </c>
      <c r="C548" s="3">
        <v>103.6</v>
      </c>
      <c r="D548">
        <v>1</v>
      </c>
      <c r="E548">
        <v>1</v>
      </c>
      <c r="F548">
        <v>1</v>
      </c>
    </row>
    <row r="549" spans="1:6">
      <c r="A549" t="s">
        <v>89</v>
      </c>
      <c r="B549" t="s">
        <v>392</v>
      </c>
      <c r="C549" s="3"/>
      <c r="D549">
        <v>0</v>
      </c>
      <c r="E549">
        <v>1</v>
      </c>
      <c r="F549">
        <v>1</v>
      </c>
    </row>
    <row r="550" spans="1:6">
      <c r="A550" t="s">
        <v>89</v>
      </c>
      <c r="B550" t="s">
        <v>393</v>
      </c>
      <c r="C550" s="3"/>
      <c r="D550">
        <v>0</v>
      </c>
      <c r="E550">
        <v>1</v>
      </c>
      <c r="F550">
        <v>1</v>
      </c>
    </row>
    <row r="551" spans="1:6">
      <c r="A551" t="s">
        <v>89</v>
      </c>
      <c r="B551" t="s">
        <v>394</v>
      </c>
      <c r="C551" s="3"/>
      <c r="D551">
        <v>0</v>
      </c>
      <c r="E551">
        <v>1</v>
      </c>
      <c r="F551">
        <v>1</v>
      </c>
    </row>
    <row r="552" spans="1:6">
      <c r="A552" t="s">
        <v>89</v>
      </c>
      <c r="B552" t="s">
        <v>39</v>
      </c>
      <c r="C552" s="3">
        <v>-0.149965691267792</v>
      </c>
      <c r="D552">
        <v>1</v>
      </c>
      <c r="E552">
        <v>1</v>
      </c>
      <c r="F552">
        <v>1</v>
      </c>
    </row>
    <row r="553" spans="1:6">
      <c r="A553" t="s">
        <v>89</v>
      </c>
      <c r="B553" t="s">
        <v>43</v>
      </c>
      <c r="C553" s="3">
        <v>-3.5</v>
      </c>
      <c r="D553">
        <v>1</v>
      </c>
      <c r="E553">
        <v>1</v>
      </c>
      <c r="F553">
        <v>1</v>
      </c>
    </row>
    <row r="554" spans="1:6">
      <c r="A554" t="s">
        <v>89</v>
      </c>
      <c r="B554" t="s">
        <v>44</v>
      </c>
      <c r="C554" s="3">
        <v>-1.39999999999999</v>
      </c>
      <c r="D554">
        <v>1</v>
      </c>
      <c r="E554">
        <v>1</v>
      </c>
      <c r="F554">
        <v>1</v>
      </c>
    </row>
    <row r="555" spans="1:6">
      <c r="A555" t="s">
        <v>89</v>
      </c>
      <c r="B555" t="s">
        <v>45</v>
      </c>
      <c r="C555" s="3">
        <v>-0.299999999999997</v>
      </c>
      <c r="D555">
        <v>1</v>
      </c>
      <c r="E555">
        <v>1</v>
      </c>
      <c r="F555">
        <v>1</v>
      </c>
    </row>
    <row r="556" spans="1:6">
      <c r="A556" t="s">
        <v>89</v>
      </c>
      <c r="B556" t="s">
        <v>396</v>
      </c>
      <c r="C556" s="3"/>
      <c r="D556">
        <v>0</v>
      </c>
      <c r="E556">
        <v>1</v>
      </c>
      <c r="F556">
        <v>1</v>
      </c>
    </row>
    <row r="557" spans="1:6">
      <c r="A557" t="s">
        <v>90</v>
      </c>
      <c r="B557" t="s">
        <v>34</v>
      </c>
      <c r="C557" s="3">
        <v>27.5</v>
      </c>
      <c r="D557">
        <v>1</v>
      </c>
      <c r="E557">
        <v>1</v>
      </c>
      <c r="F557">
        <v>1</v>
      </c>
    </row>
    <row r="558" spans="1:6">
      <c r="A558" t="s">
        <v>90</v>
      </c>
      <c r="B558" t="s">
        <v>35</v>
      </c>
      <c r="C558" s="3">
        <v>8.2771</v>
      </c>
      <c r="D558">
        <v>1</v>
      </c>
      <c r="E558">
        <v>1</v>
      </c>
      <c r="F558">
        <v>1</v>
      </c>
    </row>
    <row r="559" spans="1:6">
      <c r="A559" t="s">
        <v>90</v>
      </c>
      <c r="B559" t="s">
        <v>36</v>
      </c>
      <c r="C559" s="3">
        <v>227.62025</v>
      </c>
      <c r="D559">
        <v>1</v>
      </c>
      <c r="E559">
        <v>1</v>
      </c>
      <c r="F559">
        <v>1</v>
      </c>
    </row>
    <row r="560" spans="1:6">
      <c r="A560" t="s">
        <v>90</v>
      </c>
      <c r="B560" t="s">
        <v>40</v>
      </c>
      <c r="C560" s="3">
        <v>105.9</v>
      </c>
      <c r="D560">
        <v>1</v>
      </c>
      <c r="E560">
        <v>1</v>
      </c>
      <c r="F560">
        <v>1</v>
      </c>
    </row>
    <row r="561" spans="1:6">
      <c r="A561" t="s">
        <v>90</v>
      </c>
      <c r="B561" t="s">
        <v>41</v>
      </c>
      <c r="C561" s="3">
        <v>100.9</v>
      </c>
      <c r="D561">
        <v>1</v>
      </c>
      <c r="E561">
        <v>1</v>
      </c>
      <c r="F561">
        <v>1</v>
      </c>
    </row>
    <row r="562" spans="1:6">
      <c r="A562" t="s">
        <v>90</v>
      </c>
      <c r="B562" t="s">
        <v>42</v>
      </c>
      <c r="C562" s="3">
        <v>100</v>
      </c>
      <c r="D562">
        <v>1</v>
      </c>
      <c r="E562">
        <v>1</v>
      </c>
      <c r="F562">
        <v>1</v>
      </c>
    </row>
    <row r="563" spans="1:6">
      <c r="A563" t="s">
        <v>90</v>
      </c>
      <c r="B563" t="s">
        <v>46</v>
      </c>
      <c r="C563" s="3">
        <v>102.7</v>
      </c>
      <c r="D563">
        <v>1</v>
      </c>
      <c r="E563">
        <v>1</v>
      </c>
      <c r="F563">
        <v>1</v>
      </c>
    </row>
    <row r="564" spans="1:6">
      <c r="A564" t="s">
        <v>90</v>
      </c>
      <c r="B564" t="s">
        <v>392</v>
      </c>
      <c r="C564" s="3"/>
      <c r="D564">
        <v>0</v>
      </c>
      <c r="E564">
        <v>1</v>
      </c>
      <c r="F564">
        <v>1</v>
      </c>
    </row>
    <row r="565" spans="1:6">
      <c r="A565" t="s">
        <v>90</v>
      </c>
      <c r="B565" t="s">
        <v>393</v>
      </c>
      <c r="C565" s="3"/>
      <c r="D565">
        <v>0</v>
      </c>
      <c r="E565">
        <v>1</v>
      </c>
      <c r="F565">
        <v>1</v>
      </c>
    </row>
    <row r="566" spans="1:6">
      <c r="A566" t="s">
        <v>90</v>
      </c>
      <c r="B566" t="s">
        <v>394</v>
      </c>
      <c r="C566" s="3"/>
      <c r="D566">
        <v>0</v>
      </c>
      <c r="E566">
        <v>1</v>
      </c>
      <c r="F566">
        <v>1</v>
      </c>
    </row>
    <row r="567" spans="1:6">
      <c r="A567" t="s">
        <v>90</v>
      </c>
      <c r="B567" t="s">
        <v>39</v>
      </c>
      <c r="C567" s="3">
        <v>7.0752302397713</v>
      </c>
      <c r="D567">
        <v>1</v>
      </c>
      <c r="E567">
        <v>1</v>
      </c>
      <c r="F567">
        <v>1</v>
      </c>
    </row>
    <row r="568" spans="1:6">
      <c r="A568" t="s">
        <v>90</v>
      </c>
      <c r="B568" t="s">
        <v>43</v>
      </c>
      <c r="C568" s="3">
        <v>-4.09999999999999</v>
      </c>
      <c r="D568">
        <v>1</v>
      </c>
      <c r="E568">
        <v>1</v>
      </c>
      <c r="F568">
        <v>1</v>
      </c>
    </row>
    <row r="569" spans="1:6">
      <c r="A569" t="s">
        <v>90</v>
      </c>
      <c r="B569" t="s">
        <v>44</v>
      </c>
      <c r="C569" s="3">
        <v>-0.5</v>
      </c>
      <c r="D569">
        <v>1</v>
      </c>
      <c r="E569">
        <v>1</v>
      </c>
      <c r="F569">
        <v>1</v>
      </c>
    </row>
    <row r="570" spans="1:6">
      <c r="A570" t="s">
        <v>90</v>
      </c>
      <c r="B570" t="s">
        <v>45</v>
      </c>
      <c r="C570" s="3">
        <v>-1.2</v>
      </c>
      <c r="D570">
        <v>1</v>
      </c>
      <c r="E570">
        <v>1</v>
      </c>
      <c r="F570">
        <v>1</v>
      </c>
    </row>
    <row r="571" spans="1:6">
      <c r="A571" t="s">
        <v>90</v>
      </c>
      <c r="B571" t="s">
        <v>396</v>
      </c>
      <c r="C571" s="3"/>
      <c r="D571">
        <v>0</v>
      </c>
      <c r="E571">
        <v>1</v>
      </c>
      <c r="F571">
        <v>1</v>
      </c>
    </row>
    <row r="572" spans="1:6">
      <c r="A572" t="s">
        <v>91</v>
      </c>
      <c r="B572" t="s">
        <v>34</v>
      </c>
      <c r="C572" s="3">
        <v>24.5</v>
      </c>
      <c r="D572">
        <v>1</v>
      </c>
      <c r="E572">
        <v>1</v>
      </c>
      <c r="F572">
        <v>1</v>
      </c>
    </row>
    <row r="573" spans="1:6">
      <c r="A573" t="s">
        <v>91</v>
      </c>
      <c r="B573" t="s">
        <v>35</v>
      </c>
      <c r="C573" s="3">
        <v>8.2775</v>
      </c>
      <c r="D573">
        <v>1</v>
      </c>
      <c r="E573">
        <v>1</v>
      </c>
      <c r="F573">
        <v>1</v>
      </c>
    </row>
    <row r="574" spans="1:6">
      <c r="A574" t="s">
        <v>91</v>
      </c>
      <c r="B574" t="s">
        <v>36</v>
      </c>
      <c r="C574" s="3">
        <v>202.79875</v>
      </c>
      <c r="D574">
        <v>1</v>
      </c>
      <c r="E574">
        <v>1</v>
      </c>
      <c r="F574">
        <v>1</v>
      </c>
    </row>
    <row r="575" spans="1:6">
      <c r="A575" t="s">
        <v>91</v>
      </c>
      <c r="B575" t="s">
        <v>40</v>
      </c>
      <c r="C575" s="3">
        <v>104.3</v>
      </c>
      <c r="D575">
        <v>1</v>
      </c>
      <c r="E575">
        <v>1</v>
      </c>
      <c r="F575">
        <v>1</v>
      </c>
    </row>
    <row r="576" spans="1:6">
      <c r="A576" t="s">
        <v>91</v>
      </c>
      <c r="B576" t="s">
        <v>41</v>
      </c>
      <c r="C576" s="3">
        <v>100.2</v>
      </c>
      <c r="D576">
        <v>1</v>
      </c>
      <c r="E576">
        <v>1</v>
      </c>
      <c r="F576">
        <v>1</v>
      </c>
    </row>
    <row r="577" spans="1:6">
      <c r="A577" t="s">
        <v>91</v>
      </c>
      <c r="B577" t="s">
        <v>42</v>
      </c>
      <c r="C577" s="3">
        <v>100.8</v>
      </c>
      <c r="D577">
        <v>1</v>
      </c>
      <c r="E577">
        <v>1</v>
      </c>
      <c r="F577">
        <v>1</v>
      </c>
    </row>
    <row r="578" spans="1:6">
      <c r="A578" t="s">
        <v>91</v>
      </c>
      <c r="B578" t="s">
        <v>46</v>
      </c>
      <c r="C578" s="3">
        <v>102.1</v>
      </c>
      <c r="D578">
        <v>1</v>
      </c>
      <c r="E578">
        <v>1</v>
      </c>
      <c r="F578">
        <v>1</v>
      </c>
    </row>
    <row r="579" spans="1:6">
      <c r="A579" t="s">
        <v>91</v>
      </c>
      <c r="B579" t="s">
        <v>392</v>
      </c>
      <c r="C579" s="3"/>
      <c r="D579">
        <v>0</v>
      </c>
      <c r="E579">
        <v>1</v>
      </c>
      <c r="F579">
        <v>1</v>
      </c>
    </row>
    <row r="580" spans="1:6">
      <c r="A580" t="s">
        <v>91</v>
      </c>
      <c r="B580" t="s">
        <v>393</v>
      </c>
      <c r="C580" s="3"/>
      <c r="D580">
        <v>0</v>
      </c>
      <c r="E580">
        <v>1</v>
      </c>
      <c r="F580">
        <v>1</v>
      </c>
    </row>
    <row r="581" spans="1:6">
      <c r="A581" t="s">
        <v>91</v>
      </c>
      <c r="B581" t="s">
        <v>394</v>
      </c>
      <c r="C581" s="3"/>
      <c r="D581">
        <v>0</v>
      </c>
      <c r="E581">
        <v>1</v>
      </c>
      <c r="F581">
        <v>1</v>
      </c>
    </row>
    <row r="582" spans="1:6">
      <c r="A582" t="s">
        <v>91</v>
      </c>
      <c r="B582" t="s">
        <v>39</v>
      </c>
      <c r="C582" s="3">
        <v>-11.546456218496</v>
      </c>
      <c r="D582">
        <v>1</v>
      </c>
      <c r="E582">
        <v>1</v>
      </c>
      <c r="F582">
        <v>1</v>
      </c>
    </row>
    <row r="583" spans="1:6">
      <c r="A583" t="s">
        <v>91</v>
      </c>
      <c r="B583" t="s">
        <v>43</v>
      </c>
      <c r="C583" s="3">
        <v>-1.60000000000001</v>
      </c>
      <c r="D583">
        <v>1</v>
      </c>
      <c r="E583">
        <v>1</v>
      </c>
      <c r="F583">
        <v>1</v>
      </c>
    </row>
    <row r="584" spans="1:6">
      <c r="A584" t="s">
        <v>91</v>
      </c>
      <c r="B584" t="s">
        <v>44</v>
      </c>
      <c r="C584" s="3">
        <v>-0.700000000000003</v>
      </c>
      <c r="D584">
        <v>1</v>
      </c>
      <c r="E584">
        <v>1</v>
      </c>
      <c r="F584">
        <v>1</v>
      </c>
    </row>
    <row r="585" spans="1:6">
      <c r="A585" t="s">
        <v>91</v>
      </c>
      <c r="B585" t="s">
        <v>45</v>
      </c>
      <c r="C585" s="3">
        <v>0.799999999999997</v>
      </c>
      <c r="D585">
        <v>1</v>
      </c>
      <c r="E585">
        <v>1</v>
      </c>
      <c r="F585">
        <v>1</v>
      </c>
    </row>
    <row r="586" spans="1:6">
      <c r="A586" t="s">
        <v>91</v>
      </c>
      <c r="B586" t="s">
        <v>396</v>
      </c>
      <c r="C586" s="3"/>
      <c r="D586">
        <v>0</v>
      </c>
      <c r="E586">
        <v>1</v>
      </c>
      <c r="F586">
        <v>1</v>
      </c>
    </row>
    <row r="587" spans="1:6">
      <c r="A587" t="s">
        <v>92</v>
      </c>
      <c r="B587" t="s">
        <v>34</v>
      </c>
      <c r="C587" s="3">
        <v>25.66</v>
      </c>
      <c r="D587">
        <v>1</v>
      </c>
      <c r="E587">
        <v>1</v>
      </c>
      <c r="F587">
        <v>1</v>
      </c>
    </row>
    <row r="588" spans="1:6">
      <c r="A588" t="s">
        <v>92</v>
      </c>
      <c r="B588" t="s">
        <v>35</v>
      </c>
      <c r="C588" s="3">
        <v>8.2771</v>
      </c>
      <c r="D588">
        <v>1</v>
      </c>
      <c r="E588">
        <v>1</v>
      </c>
      <c r="F588">
        <v>1</v>
      </c>
    </row>
    <row r="589" spans="1:6">
      <c r="A589" t="s">
        <v>92</v>
      </c>
      <c r="B589" t="s">
        <v>36</v>
      </c>
      <c r="C589" s="3">
        <v>212.390386</v>
      </c>
      <c r="D589">
        <v>1</v>
      </c>
      <c r="E589">
        <v>1</v>
      </c>
      <c r="F589">
        <v>1</v>
      </c>
    </row>
    <row r="590" spans="1:6">
      <c r="A590" t="s">
        <v>92</v>
      </c>
      <c r="B590" t="s">
        <v>40</v>
      </c>
      <c r="C590" s="3">
        <v>102.7</v>
      </c>
      <c r="D590">
        <v>1</v>
      </c>
      <c r="E590">
        <v>1</v>
      </c>
      <c r="F590">
        <v>1</v>
      </c>
    </row>
    <row r="591" spans="1:6">
      <c r="A591" t="s">
        <v>92</v>
      </c>
      <c r="B591" t="s">
        <v>41</v>
      </c>
      <c r="C591" s="3">
        <v>99.9</v>
      </c>
      <c r="D591">
        <v>1</v>
      </c>
      <c r="E591">
        <v>1</v>
      </c>
      <c r="F591">
        <v>1</v>
      </c>
    </row>
    <row r="592" spans="1:6">
      <c r="A592" t="s">
        <v>92</v>
      </c>
      <c r="B592" t="s">
        <v>42</v>
      </c>
      <c r="C592" s="3">
        <v>101.6</v>
      </c>
      <c r="D592">
        <v>1</v>
      </c>
      <c r="E592">
        <v>1</v>
      </c>
      <c r="F592">
        <v>1</v>
      </c>
    </row>
    <row r="593" spans="1:6">
      <c r="A593" t="s">
        <v>92</v>
      </c>
      <c r="B593" t="s">
        <v>46</v>
      </c>
      <c r="C593" s="3">
        <v>100.9</v>
      </c>
      <c r="D593">
        <v>1</v>
      </c>
      <c r="E593">
        <v>1</v>
      </c>
      <c r="F593">
        <v>1</v>
      </c>
    </row>
    <row r="594" spans="1:6">
      <c r="A594" t="s">
        <v>92</v>
      </c>
      <c r="B594" t="s">
        <v>392</v>
      </c>
      <c r="C594" s="3"/>
      <c r="D594">
        <v>0</v>
      </c>
      <c r="E594">
        <v>1</v>
      </c>
      <c r="F594">
        <v>1</v>
      </c>
    </row>
    <row r="595" spans="1:6">
      <c r="A595" t="s">
        <v>92</v>
      </c>
      <c r="B595" t="s">
        <v>393</v>
      </c>
      <c r="C595" s="3"/>
      <c r="D595">
        <v>0</v>
      </c>
      <c r="E595">
        <v>1</v>
      </c>
      <c r="F595">
        <v>1</v>
      </c>
    </row>
    <row r="596" spans="1:6">
      <c r="A596" t="s">
        <v>92</v>
      </c>
      <c r="B596" t="s">
        <v>394</v>
      </c>
      <c r="C596" s="3"/>
      <c r="D596">
        <v>0</v>
      </c>
      <c r="E596">
        <v>1</v>
      </c>
      <c r="F596">
        <v>1</v>
      </c>
    </row>
    <row r="597" spans="1:6">
      <c r="A597" t="s">
        <v>92</v>
      </c>
      <c r="B597" t="s">
        <v>39</v>
      </c>
      <c r="C597" s="3">
        <v>4.62119166999243</v>
      </c>
      <c r="D597">
        <v>1</v>
      </c>
      <c r="E597">
        <v>1</v>
      </c>
      <c r="F597">
        <v>1</v>
      </c>
    </row>
    <row r="598" spans="1:6">
      <c r="A598" t="s">
        <v>92</v>
      </c>
      <c r="B598" t="s">
        <v>43</v>
      </c>
      <c r="C598" s="3">
        <v>-1.59999999999999</v>
      </c>
      <c r="D598">
        <v>1</v>
      </c>
      <c r="E598">
        <v>1</v>
      </c>
      <c r="F598">
        <v>1</v>
      </c>
    </row>
    <row r="599" spans="1:6">
      <c r="A599" t="s">
        <v>92</v>
      </c>
      <c r="B599" t="s">
        <v>44</v>
      </c>
      <c r="C599" s="3">
        <v>-0.299999999999997</v>
      </c>
      <c r="D599">
        <v>1</v>
      </c>
      <c r="E599">
        <v>1</v>
      </c>
      <c r="F599">
        <v>1</v>
      </c>
    </row>
    <row r="600" spans="1:6">
      <c r="A600" t="s">
        <v>92</v>
      </c>
      <c r="B600" t="s">
        <v>45</v>
      </c>
      <c r="C600" s="3">
        <v>0.799999999999997</v>
      </c>
      <c r="D600">
        <v>1</v>
      </c>
      <c r="E600">
        <v>1</v>
      </c>
      <c r="F600">
        <v>1</v>
      </c>
    </row>
    <row r="601" spans="1:6">
      <c r="A601" t="s">
        <v>92</v>
      </c>
      <c r="B601" t="s">
        <v>396</v>
      </c>
      <c r="C601" s="3"/>
      <c r="D601">
        <v>0</v>
      </c>
      <c r="E601">
        <v>1</v>
      </c>
      <c r="F601">
        <v>1</v>
      </c>
    </row>
    <row r="602" spans="1:6">
      <c r="A602" t="s">
        <v>93</v>
      </c>
      <c r="B602" t="s">
        <v>34</v>
      </c>
      <c r="C602" s="3">
        <v>28.31</v>
      </c>
      <c r="D602">
        <v>1</v>
      </c>
      <c r="E602">
        <v>1</v>
      </c>
      <c r="F602">
        <v>1</v>
      </c>
    </row>
    <row r="603" spans="1:6">
      <c r="A603" t="s">
        <v>93</v>
      </c>
      <c r="B603" t="s">
        <v>35</v>
      </c>
      <c r="C603" s="3">
        <v>8.277</v>
      </c>
      <c r="D603">
        <v>1</v>
      </c>
      <c r="E603">
        <v>1</v>
      </c>
      <c r="F603">
        <v>1</v>
      </c>
    </row>
    <row r="604" spans="1:6">
      <c r="A604" t="s">
        <v>93</v>
      </c>
      <c r="B604" t="s">
        <v>36</v>
      </c>
      <c r="C604" s="3">
        <v>234.32187</v>
      </c>
      <c r="D604">
        <v>1</v>
      </c>
      <c r="E604">
        <v>1</v>
      </c>
      <c r="F604">
        <v>1</v>
      </c>
    </row>
    <row r="605" spans="1:6">
      <c r="A605" t="s">
        <v>93</v>
      </c>
      <c r="B605" t="s">
        <v>40</v>
      </c>
      <c r="C605" s="3">
        <v>104.4</v>
      </c>
      <c r="D605">
        <v>1</v>
      </c>
      <c r="E605">
        <v>1</v>
      </c>
      <c r="F605">
        <v>1</v>
      </c>
    </row>
    <row r="606" spans="1:6">
      <c r="A606" t="s">
        <v>93</v>
      </c>
      <c r="B606" t="s">
        <v>41</v>
      </c>
      <c r="C606" s="3">
        <v>99.8</v>
      </c>
      <c r="D606">
        <v>1</v>
      </c>
      <c r="E606">
        <v>1</v>
      </c>
      <c r="F606">
        <v>1</v>
      </c>
    </row>
    <row r="607" spans="1:6">
      <c r="A607" t="s">
        <v>93</v>
      </c>
      <c r="B607" t="s">
        <v>42</v>
      </c>
      <c r="C607" s="3">
        <v>101.7</v>
      </c>
      <c r="D607">
        <v>1</v>
      </c>
      <c r="E607">
        <v>1</v>
      </c>
      <c r="F607">
        <v>1</v>
      </c>
    </row>
    <row r="608" spans="1:6">
      <c r="A608" t="s">
        <v>93</v>
      </c>
      <c r="B608" t="s">
        <v>46</v>
      </c>
      <c r="C608" s="3">
        <v>101.1</v>
      </c>
      <c r="D608">
        <v>1</v>
      </c>
      <c r="E608">
        <v>1</v>
      </c>
      <c r="F608">
        <v>1</v>
      </c>
    </row>
    <row r="609" spans="1:6">
      <c r="A609" t="s">
        <v>93</v>
      </c>
      <c r="B609" t="s">
        <v>392</v>
      </c>
      <c r="C609" s="3"/>
      <c r="D609">
        <v>0</v>
      </c>
      <c r="E609">
        <v>1</v>
      </c>
      <c r="F609">
        <v>1</v>
      </c>
    </row>
    <row r="610" spans="1:6">
      <c r="A610" t="s">
        <v>93</v>
      </c>
      <c r="B610" t="s">
        <v>393</v>
      </c>
      <c r="C610" s="3"/>
      <c r="D610">
        <v>0</v>
      </c>
      <c r="E610">
        <v>1</v>
      </c>
      <c r="F610">
        <v>1</v>
      </c>
    </row>
    <row r="611" spans="1:6">
      <c r="A611" t="s">
        <v>93</v>
      </c>
      <c r="B611" t="s">
        <v>394</v>
      </c>
      <c r="C611" s="3"/>
      <c r="D611">
        <v>0</v>
      </c>
      <c r="E611">
        <v>1</v>
      </c>
      <c r="F611">
        <v>1</v>
      </c>
    </row>
    <row r="612" spans="1:6">
      <c r="A612" t="s">
        <v>93</v>
      </c>
      <c r="B612" t="s">
        <v>39</v>
      </c>
      <c r="C612" s="3">
        <v>9.82696583371969</v>
      </c>
      <c r="D612">
        <v>1</v>
      </c>
      <c r="E612">
        <v>1</v>
      </c>
      <c r="F612">
        <v>1</v>
      </c>
    </row>
    <row r="613" spans="1:6">
      <c r="A613" t="s">
        <v>93</v>
      </c>
      <c r="B613" t="s">
        <v>43</v>
      </c>
      <c r="C613" s="3">
        <v>1.7</v>
      </c>
      <c r="D613">
        <v>1</v>
      </c>
      <c r="E613">
        <v>1</v>
      </c>
      <c r="F613">
        <v>1</v>
      </c>
    </row>
    <row r="614" spans="1:6">
      <c r="A614" t="s">
        <v>93</v>
      </c>
      <c r="B614" t="s">
        <v>44</v>
      </c>
      <c r="C614" s="3">
        <v>-0.100000000000009</v>
      </c>
      <c r="D614">
        <v>1</v>
      </c>
      <c r="E614">
        <v>1</v>
      </c>
      <c r="F614">
        <v>1</v>
      </c>
    </row>
    <row r="615" spans="1:6">
      <c r="A615" t="s">
        <v>93</v>
      </c>
      <c r="B615" t="s">
        <v>45</v>
      </c>
      <c r="C615" s="3">
        <v>0.100000000000009</v>
      </c>
      <c r="D615">
        <v>1</v>
      </c>
      <c r="E615">
        <v>1</v>
      </c>
      <c r="F615">
        <v>1</v>
      </c>
    </row>
    <row r="616" spans="1:6">
      <c r="A616" t="s">
        <v>93</v>
      </c>
      <c r="B616" t="s">
        <v>396</v>
      </c>
      <c r="C616" s="3"/>
      <c r="D616">
        <v>0</v>
      </c>
      <c r="E616">
        <v>1</v>
      </c>
      <c r="F616">
        <v>1</v>
      </c>
    </row>
    <row r="617" spans="1:6">
      <c r="A617" t="s">
        <v>94</v>
      </c>
      <c r="B617" t="s">
        <v>34</v>
      </c>
      <c r="C617" s="3">
        <v>27.85</v>
      </c>
      <c r="D617">
        <v>1</v>
      </c>
      <c r="E617">
        <v>1</v>
      </c>
      <c r="F617">
        <v>1</v>
      </c>
    </row>
    <row r="618" spans="1:6">
      <c r="A618" t="s">
        <v>94</v>
      </c>
      <c r="B618" t="s">
        <v>35</v>
      </c>
      <c r="C618" s="3">
        <v>8.277</v>
      </c>
      <c r="D618">
        <v>1</v>
      </c>
      <c r="E618">
        <v>1</v>
      </c>
      <c r="F618">
        <v>1</v>
      </c>
    </row>
    <row r="619" spans="1:6">
      <c r="A619" t="s">
        <v>94</v>
      </c>
      <c r="B619" t="s">
        <v>36</v>
      </c>
      <c r="C619" s="3">
        <v>230.51445</v>
      </c>
      <c r="D619">
        <v>1</v>
      </c>
      <c r="E619">
        <v>1</v>
      </c>
      <c r="F619">
        <v>1</v>
      </c>
    </row>
    <row r="620" spans="1:6">
      <c r="A620" t="s">
        <v>94</v>
      </c>
      <c r="B620" t="s">
        <v>40</v>
      </c>
      <c r="C620" s="3">
        <v>103.2</v>
      </c>
      <c r="D620">
        <v>1</v>
      </c>
      <c r="E620">
        <v>1</v>
      </c>
      <c r="F620">
        <v>1</v>
      </c>
    </row>
    <row r="621" spans="1:6">
      <c r="A621" t="s">
        <v>94</v>
      </c>
      <c r="B621" t="s">
        <v>41</v>
      </c>
      <c r="C621" s="3">
        <v>99.4</v>
      </c>
      <c r="D621">
        <v>1</v>
      </c>
      <c r="E621">
        <v>1</v>
      </c>
      <c r="F621">
        <v>1</v>
      </c>
    </row>
    <row r="622" spans="1:6">
      <c r="A622" t="s">
        <v>94</v>
      </c>
      <c r="B622" t="s">
        <v>42</v>
      </c>
      <c r="C622" s="3">
        <v>101.4</v>
      </c>
      <c r="D622">
        <v>1</v>
      </c>
      <c r="E622">
        <v>1</v>
      </c>
      <c r="F622">
        <v>1</v>
      </c>
    </row>
    <row r="623" spans="1:6">
      <c r="A623" t="s">
        <v>94</v>
      </c>
      <c r="B623" t="s">
        <v>46</v>
      </c>
      <c r="C623" s="3">
        <v>100.5</v>
      </c>
      <c r="D623">
        <v>1</v>
      </c>
      <c r="E623">
        <v>1</v>
      </c>
      <c r="F623">
        <v>1</v>
      </c>
    </row>
    <row r="624" spans="1:6">
      <c r="A624" t="s">
        <v>94</v>
      </c>
      <c r="B624" t="s">
        <v>392</v>
      </c>
      <c r="C624" s="3"/>
      <c r="D624">
        <v>0</v>
      </c>
      <c r="E624">
        <v>1</v>
      </c>
      <c r="F624">
        <v>1</v>
      </c>
    </row>
    <row r="625" spans="1:6">
      <c r="A625" t="s">
        <v>94</v>
      </c>
      <c r="B625" t="s">
        <v>393</v>
      </c>
      <c r="C625" s="3"/>
      <c r="D625">
        <v>0</v>
      </c>
      <c r="E625">
        <v>1</v>
      </c>
      <c r="F625">
        <v>1</v>
      </c>
    </row>
    <row r="626" spans="1:6">
      <c r="A626" t="s">
        <v>94</v>
      </c>
      <c r="B626" t="s">
        <v>394</v>
      </c>
      <c r="C626" s="3"/>
      <c r="D626">
        <v>0</v>
      </c>
      <c r="E626">
        <v>1</v>
      </c>
      <c r="F626">
        <v>1</v>
      </c>
    </row>
    <row r="627" spans="1:6">
      <c r="A627" t="s">
        <v>94</v>
      </c>
      <c r="B627" t="s">
        <v>39</v>
      </c>
      <c r="C627" s="3">
        <v>-1.63821327505151</v>
      </c>
      <c r="D627">
        <v>1</v>
      </c>
      <c r="E627">
        <v>1</v>
      </c>
      <c r="F627">
        <v>1</v>
      </c>
    </row>
    <row r="628" spans="1:6">
      <c r="A628" t="s">
        <v>94</v>
      </c>
      <c r="B628" t="s">
        <v>43</v>
      </c>
      <c r="C628" s="3">
        <v>-1.2</v>
      </c>
      <c r="D628">
        <v>1</v>
      </c>
      <c r="E628">
        <v>1</v>
      </c>
      <c r="F628">
        <v>1</v>
      </c>
    </row>
    <row r="629" spans="1:6">
      <c r="A629" t="s">
        <v>94</v>
      </c>
      <c r="B629" t="s">
        <v>44</v>
      </c>
      <c r="C629" s="3">
        <v>-0.399999999999991</v>
      </c>
      <c r="D629">
        <v>1</v>
      </c>
      <c r="E629">
        <v>1</v>
      </c>
      <c r="F629">
        <v>1</v>
      </c>
    </row>
    <row r="630" spans="1:6">
      <c r="A630" t="s">
        <v>94</v>
      </c>
      <c r="B630" t="s">
        <v>45</v>
      </c>
      <c r="C630" s="3">
        <v>-0.299999999999997</v>
      </c>
      <c r="D630">
        <v>1</v>
      </c>
      <c r="E630">
        <v>1</v>
      </c>
      <c r="F630">
        <v>1</v>
      </c>
    </row>
    <row r="631" spans="1:6">
      <c r="A631" t="s">
        <v>94</v>
      </c>
      <c r="B631" t="s">
        <v>396</v>
      </c>
      <c r="C631" s="3"/>
      <c r="D631">
        <v>0</v>
      </c>
      <c r="E631">
        <v>1</v>
      </c>
      <c r="F631">
        <v>1</v>
      </c>
    </row>
    <row r="632" spans="1:6">
      <c r="A632" t="s">
        <v>95</v>
      </c>
      <c r="B632" t="s">
        <v>34</v>
      </c>
      <c r="C632" s="3">
        <v>24.61</v>
      </c>
      <c r="D632">
        <v>1</v>
      </c>
      <c r="E632">
        <v>1</v>
      </c>
      <c r="F632">
        <v>1</v>
      </c>
    </row>
    <row r="633" spans="1:6">
      <c r="A633" t="s">
        <v>95</v>
      </c>
      <c r="B633" t="s">
        <v>35</v>
      </c>
      <c r="C633" s="3">
        <v>8.2769</v>
      </c>
      <c r="D633">
        <v>1</v>
      </c>
      <c r="E633">
        <v>1</v>
      </c>
      <c r="F633">
        <v>1</v>
      </c>
    </row>
    <row r="634" spans="1:6">
      <c r="A634" t="s">
        <v>95</v>
      </c>
      <c r="B634" t="s">
        <v>36</v>
      </c>
      <c r="C634" s="3">
        <v>203.694509</v>
      </c>
      <c r="D634">
        <v>1</v>
      </c>
      <c r="E634">
        <v>1</v>
      </c>
      <c r="F634">
        <v>1</v>
      </c>
    </row>
    <row r="635" spans="1:6">
      <c r="A635" t="s">
        <v>95</v>
      </c>
      <c r="B635" t="s">
        <v>40</v>
      </c>
      <c r="C635" s="3">
        <v>100.8</v>
      </c>
      <c r="D635">
        <v>1</v>
      </c>
      <c r="E635">
        <v>1</v>
      </c>
      <c r="F635">
        <v>1</v>
      </c>
    </row>
    <row r="636" spans="1:6">
      <c r="A636" t="s">
        <v>95</v>
      </c>
      <c r="B636" t="s">
        <v>41</v>
      </c>
      <c r="C636" s="3">
        <v>98.7</v>
      </c>
      <c r="D636">
        <v>1</v>
      </c>
      <c r="E636">
        <v>1</v>
      </c>
      <c r="F636">
        <v>1</v>
      </c>
    </row>
    <row r="637" spans="1:6">
      <c r="A637" t="s">
        <v>95</v>
      </c>
      <c r="B637" t="s">
        <v>42</v>
      </c>
      <c r="C637" s="3">
        <v>101.5</v>
      </c>
      <c r="D637">
        <v>1</v>
      </c>
      <c r="E637">
        <v>1</v>
      </c>
      <c r="F637">
        <v>1</v>
      </c>
    </row>
    <row r="638" spans="1:6">
      <c r="A638" t="s">
        <v>95</v>
      </c>
      <c r="B638" t="s">
        <v>46</v>
      </c>
      <c r="C638" s="3">
        <v>99.6</v>
      </c>
      <c r="D638">
        <v>1</v>
      </c>
      <c r="E638">
        <v>1</v>
      </c>
      <c r="F638">
        <v>1</v>
      </c>
    </row>
    <row r="639" spans="1:6">
      <c r="A639" t="s">
        <v>95</v>
      </c>
      <c r="B639" t="s">
        <v>392</v>
      </c>
      <c r="C639" s="3"/>
      <c r="D639">
        <v>0</v>
      </c>
      <c r="E639">
        <v>1</v>
      </c>
      <c r="F639">
        <v>1</v>
      </c>
    </row>
    <row r="640" spans="1:6">
      <c r="A640" t="s">
        <v>95</v>
      </c>
      <c r="B640" t="s">
        <v>393</v>
      </c>
      <c r="C640" s="3"/>
      <c r="D640">
        <v>0</v>
      </c>
      <c r="E640">
        <v>1</v>
      </c>
      <c r="F640">
        <v>1</v>
      </c>
    </row>
    <row r="641" spans="1:6">
      <c r="A641" t="s">
        <v>95</v>
      </c>
      <c r="B641" t="s">
        <v>394</v>
      </c>
      <c r="C641" s="3"/>
      <c r="D641">
        <v>0</v>
      </c>
      <c r="E641">
        <v>1</v>
      </c>
      <c r="F641">
        <v>1</v>
      </c>
    </row>
    <row r="642" spans="1:6">
      <c r="A642" t="s">
        <v>95</v>
      </c>
      <c r="B642" t="s">
        <v>39</v>
      </c>
      <c r="C642" s="3">
        <v>-12.3692183715416</v>
      </c>
      <c r="D642">
        <v>1</v>
      </c>
      <c r="E642">
        <v>1</v>
      </c>
      <c r="F642">
        <v>1</v>
      </c>
    </row>
    <row r="643" spans="1:6">
      <c r="A643" t="s">
        <v>95</v>
      </c>
      <c r="B643" t="s">
        <v>43</v>
      </c>
      <c r="C643" s="3">
        <v>-2.40000000000001</v>
      </c>
      <c r="D643">
        <v>1</v>
      </c>
      <c r="E643">
        <v>1</v>
      </c>
      <c r="F643">
        <v>1</v>
      </c>
    </row>
    <row r="644" spans="1:6">
      <c r="A644" t="s">
        <v>95</v>
      </c>
      <c r="B644" t="s">
        <v>44</v>
      </c>
      <c r="C644" s="3">
        <v>-0.700000000000003</v>
      </c>
      <c r="D644">
        <v>1</v>
      </c>
      <c r="E644">
        <v>1</v>
      </c>
      <c r="F644">
        <v>1</v>
      </c>
    </row>
    <row r="645" spans="1:6">
      <c r="A645" t="s">
        <v>95</v>
      </c>
      <c r="B645" t="s">
        <v>45</v>
      </c>
      <c r="C645" s="3">
        <v>0.0999999999999943</v>
      </c>
      <c r="D645">
        <v>1</v>
      </c>
      <c r="E645">
        <v>1</v>
      </c>
      <c r="F645">
        <v>1</v>
      </c>
    </row>
    <row r="646" spans="1:6">
      <c r="A646" t="s">
        <v>95</v>
      </c>
      <c r="B646" t="s">
        <v>396</v>
      </c>
      <c r="C646" s="3"/>
      <c r="D646">
        <v>0</v>
      </c>
      <c r="E646">
        <v>1</v>
      </c>
      <c r="F646">
        <v>1</v>
      </c>
    </row>
    <row r="647" spans="1:6">
      <c r="A647" t="s">
        <v>96</v>
      </c>
      <c r="B647" t="s">
        <v>34</v>
      </c>
      <c r="C647" s="3">
        <v>25.68</v>
      </c>
      <c r="D647">
        <v>1</v>
      </c>
      <c r="E647">
        <v>1</v>
      </c>
      <c r="F647">
        <v>1</v>
      </c>
    </row>
    <row r="648" spans="1:6">
      <c r="A648" t="s">
        <v>96</v>
      </c>
      <c r="B648" t="s">
        <v>35</v>
      </c>
      <c r="C648" s="3">
        <v>8.277</v>
      </c>
      <c r="D648">
        <v>1</v>
      </c>
      <c r="E648">
        <v>1</v>
      </c>
      <c r="F648">
        <v>1</v>
      </c>
    </row>
    <row r="649" spans="1:6">
      <c r="A649" t="s">
        <v>96</v>
      </c>
      <c r="B649" t="s">
        <v>36</v>
      </c>
      <c r="C649" s="3">
        <v>212.55336</v>
      </c>
      <c r="D649">
        <v>1</v>
      </c>
      <c r="E649">
        <v>1</v>
      </c>
      <c r="F649">
        <v>1</v>
      </c>
    </row>
    <row r="650" spans="1:6">
      <c r="A650" t="s">
        <v>96</v>
      </c>
      <c r="B650" t="s">
        <v>40</v>
      </c>
      <c r="C650" s="3">
        <v>98.8</v>
      </c>
      <c r="D650">
        <v>1</v>
      </c>
      <c r="E650">
        <v>1</v>
      </c>
      <c r="F650">
        <v>1</v>
      </c>
    </row>
    <row r="651" spans="1:6">
      <c r="A651" t="s">
        <v>96</v>
      </c>
      <c r="B651" t="s">
        <v>41</v>
      </c>
      <c r="C651" s="3">
        <v>98</v>
      </c>
      <c r="D651">
        <v>1</v>
      </c>
      <c r="E651">
        <v>1</v>
      </c>
      <c r="F651">
        <v>1</v>
      </c>
    </row>
    <row r="652" spans="1:6">
      <c r="A652" t="s">
        <v>96</v>
      </c>
      <c r="B652" t="s">
        <v>42</v>
      </c>
      <c r="C652" s="3">
        <v>101</v>
      </c>
      <c r="D652">
        <v>1</v>
      </c>
      <c r="E652">
        <v>1</v>
      </c>
      <c r="F652">
        <v>1</v>
      </c>
    </row>
    <row r="653" spans="1:6">
      <c r="A653" t="s">
        <v>96</v>
      </c>
      <c r="B653" t="s">
        <v>46</v>
      </c>
      <c r="C653" s="3">
        <v>98.7</v>
      </c>
      <c r="D653">
        <v>1</v>
      </c>
      <c r="E653">
        <v>1</v>
      </c>
      <c r="F653">
        <v>1</v>
      </c>
    </row>
    <row r="654" spans="1:6">
      <c r="A654" t="s">
        <v>96</v>
      </c>
      <c r="B654" t="s">
        <v>392</v>
      </c>
      <c r="C654" s="3"/>
      <c r="D654">
        <v>0</v>
      </c>
      <c r="E654">
        <v>1</v>
      </c>
      <c r="F654">
        <v>1</v>
      </c>
    </row>
    <row r="655" spans="1:6">
      <c r="A655" t="s">
        <v>96</v>
      </c>
      <c r="B655" t="s">
        <v>393</v>
      </c>
      <c r="C655" s="3"/>
      <c r="D655">
        <v>0</v>
      </c>
      <c r="E655">
        <v>1</v>
      </c>
      <c r="F655">
        <v>1</v>
      </c>
    </row>
    <row r="656" spans="1:6">
      <c r="A656" t="s">
        <v>96</v>
      </c>
      <c r="B656" t="s">
        <v>394</v>
      </c>
      <c r="C656" s="3"/>
      <c r="D656">
        <v>0</v>
      </c>
      <c r="E656">
        <v>1</v>
      </c>
      <c r="F656">
        <v>1</v>
      </c>
    </row>
    <row r="657" spans="1:6">
      <c r="A657" t="s">
        <v>96</v>
      </c>
      <c r="B657" t="s">
        <v>39</v>
      </c>
      <c r="C657" s="3">
        <v>4.25716961638833</v>
      </c>
      <c r="D657">
        <v>1</v>
      </c>
      <c r="E657">
        <v>1</v>
      </c>
      <c r="F657">
        <v>1</v>
      </c>
    </row>
    <row r="658" spans="1:6">
      <c r="A658" t="s">
        <v>96</v>
      </c>
      <c r="B658" t="s">
        <v>43</v>
      </c>
      <c r="C658" s="3">
        <v>-2</v>
      </c>
      <c r="D658">
        <v>1</v>
      </c>
      <c r="E658">
        <v>1</v>
      </c>
      <c r="F658">
        <v>1</v>
      </c>
    </row>
    <row r="659" spans="1:6">
      <c r="A659" t="s">
        <v>96</v>
      </c>
      <c r="B659" t="s">
        <v>44</v>
      </c>
      <c r="C659" s="3">
        <v>-0.700000000000003</v>
      </c>
      <c r="D659">
        <v>1</v>
      </c>
      <c r="E659">
        <v>1</v>
      </c>
      <c r="F659">
        <v>1</v>
      </c>
    </row>
    <row r="660" spans="1:6">
      <c r="A660" t="s">
        <v>96</v>
      </c>
      <c r="B660" t="s">
        <v>45</v>
      </c>
      <c r="C660" s="3">
        <v>-0.5</v>
      </c>
      <c r="D660">
        <v>1</v>
      </c>
      <c r="E660">
        <v>1</v>
      </c>
      <c r="F660">
        <v>1</v>
      </c>
    </row>
    <row r="661" spans="1:6">
      <c r="A661" t="s">
        <v>96</v>
      </c>
      <c r="B661" t="s">
        <v>396</v>
      </c>
      <c r="C661" s="3"/>
      <c r="D661">
        <v>0</v>
      </c>
      <c r="E661">
        <v>1</v>
      </c>
      <c r="F661">
        <v>1</v>
      </c>
    </row>
    <row r="662" spans="1:6">
      <c r="A662" t="s">
        <v>97</v>
      </c>
      <c r="B662" t="s">
        <v>34</v>
      </c>
      <c r="C662" s="3">
        <v>25.62</v>
      </c>
      <c r="D662">
        <v>1</v>
      </c>
      <c r="E662">
        <v>1</v>
      </c>
      <c r="F662">
        <v>1</v>
      </c>
    </row>
    <row r="663" spans="1:6">
      <c r="A663" t="s">
        <v>97</v>
      </c>
      <c r="B663" t="s">
        <v>35</v>
      </c>
      <c r="C663" s="3">
        <v>8.2768</v>
      </c>
      <c r="D663">
        <v>1</v>
      </c>
      <c r="E663">
        <v>1</v>
      </c>
      <c r="F663">
        <v>1</v>
      </c>
    </row>
    <row r="664" spans="1:6">
      <c r="A664" t="s">
        <v>97</v>
      </c>
      <c r="B664" t="s">
        <v>36</v>
      </c>
      <c r="C664" s="3">
        <v>212.051616</v>
      </c>
      <c r="D664">
        <v>1</v>
      </c>
      <c r="E664">
        <v>1</v>
      </c>
      <c r="F664">
        <v>1</v>
      </c>
    </row>
    <row r="665" spans="1:6">
      <c r="A665" t="s">
        <v>97</v>
      </c>
      <c r="B665" t="s">
        <v>40</v>
      </c>
      <c r="C665" s="3">
        <v>98.1</v>
      </c>
      <c r="D665">
        <v>1</v>
      </c>
      <c r="E665">
        <v>1</v>
      </c>
      <c r="F665">
        <v>1</v>
      </c>
    </row>
    <row r="666" spans="1:6">
      <c r="A666" t="s">
        <v>97</v>
      </c>
      <c r="B666" t="s">
        <v>41</v>
      </c>
      <c r="C666" s="3">
        <v>97.1</v>
      </c>
      <c r="D666">
        <v>1</v>
      </c>
      <c r="E666">
        <v>1</v>
      </c>
      <c r="F666">
        <v>1</v>
      </c>
    </row>
    <row r="667" spans="1:6">
      <c r="A667" t="s">
        <v>97</v>
      </c>
      <c r="B667" t="s">
        <v>42</v>
      </c>
      <c r="C667" s="3">
        <v>99.9</v>
      </c>
      <c r="D667">
        <v>1</v>
      </c>
      <c r="E667">
        <v>1</v>
      </c>
      <c r="F667">
        <v>1</v>
      </c>
    </row>
    <row r="668" spans="1:6">
      <c r="A668" t="s">
        <v>97</v>
      </c>
      <c r="B668" t="s">
        <v>46</v>
      </c>
      <c r="C668" s="3">
        <v>98.2</v>
      </c>
      <c r="D668">
        <v>1</v>
      </c>
      <c r="E668">
        <v>1</v>
      </c>
      <c r="F668">
        <v>1</v>
      </c>
    </row>
    <row r="669" spans="1:6">
      <c r="A669" t="s">
        <v>97</v>
      </c>
      <c r="B669" t="s">
        <v>392</v>
      </c>
      <c r="C669" s="3"/>
      <c r="D669">
        <v>0</v>
      </c>
      <c r="E669">
        <v>1</v>
      </c>
      <c r="F669">
        <v>1</v>
      </c>
    </row>
    <row r="670" spans="1:6">
      <c r="A670" t="s">
        <v>97</v>
      </c>
      <c r="B670" t="s">
        <v>393</v>
      </c>
      <c r="C670" s="3"/>
      <c r="D670">
        <v>0</v>
      </c>
      <c r="E670">
        <v>1</v>
      </c>
      <c r="F670">
        <v>1</v>
      </c>
    </row>
    <row r="671" spans="1:6">
      <c r="A671" t="s">
        <v>97</v>
      </c>
      <c r="B671" t="s">
        <v>394</v>
      </c>
      <c r="C671" s="3"/>
      <c r="D671">
        <v>0</v>
      </c>
      <c r="E671">
        <v>1</v>
      </c>
      <c r="F671">
        <v>1</v>
      </c>
    </row>
    <row r="672" spans="1:6">
      <c r="A672" t="s">
        <v>97</v>
      </c>
      <c r="B672" t="s">
        <v>39</v>
      </c>
      <c r="C672" s="3">
        <v>-0.236334598931724</v>
      </c>
      <c r="D672">
        <v>1</v>
      </c>
      <c r="E672">
        <v>1</v>
      </c>
      <c r="F672">
        <v>1</v>
      </c>
    </row>
    <row r="673" spans="1:6">
      <c r="A673" t="s">
        <v>97</v>
      </c>
      <c r="B673" t="s">
        <v>43</v>
      </c>
      <c r="C673" s="3">
        <v>-0.700000000000003</v>
      </c>
      <c r="D673">
        <v>1</v>
      </c>
      <c r="E673">
        <v>1</v>
      </c>
      <c r="F673">
        <v>1</v>
      </c>
    </row>
    <row r="674" spans="1:6">
      <c r="A674" t="s">
        <v>97</v>
      </c>
      <c r="B674" t="s">
        <v>44</v>
      </c>
      <c r="C674" s="3">
        <v>-0.900000000000006</v>
      </c>
      <c r="D674">
        <v>1</v>
      </c>
      <c r="E674">
        <v>1</v>
      </c>
      <c r="F674">
        <v>1</v>
      </c>
    </row>
    <row r="675" spans="1:6">
      <c r="A675" t="s">
        <v>97</v>
      </c>
      <c r="B675" t="s">
        <v>45</v>
      </c>
      <c r="C675" s="3">
        <v>-1.09999999999999</v>
      </c>
      <c r="D675">
        <v>1</v>
      </c>
      <c r="E675">
        <v>1</v>
      </c>
      <c r="F675">
        <v>1</v>
      </c>
    </row>
    <row r="676" spans="1:6">
      <c r="A676" t="s">
        <v>97</v>
      </c>
      <c r="B676" t="s">
        <v>396</v>
      </c>
      <c r="C676" s="3"/>
      <c r="D676">
        <v>0</v>
      </c>
      <c r="E676">
        <v>1</v>
      </c>
      <c r="F676">
        <v>1</v>
      </c>
    </row>
    <row r="677" spans="1:6">
      <c r="A677" t="s">
        <v>98</v>
      </c>
      <c r="B677" t="s">
        <v>34</v>
      </c>
      <c r="C677" s="3">
        <v>20.54</v>
      </c>
      <c r="D677">
        <v>1</v>
      </c>
      <c r="E677">
        <v>1</v>
      </c>
      <c r="F677">
        <v>1</v>
      </c>
    </row>
    <row r="678" spans="1:6">
      <c r="A678" t="s">
        <v>98</v>
      </c>
      <c r="B678" t="s">
        <v>35</v>
      </c>
      <c r="C678" s="3">
        <v>8.2768</v>
      </c>
      <c r="D678">
        <v>1</v>
      </c>
      <c r="E678">
        <v>1</v>
      </c>
      <c r="F678">
        <v>1</v>
      </c>
    </row>
    <row r="679" spans="1:6">
      <c r="A679" t="s">
        <v>98</v>
      </c>
      <c r="B679" t="s">
        <v>36</v>
      </c>
      <c r="C679" s="3">
        <v>170.005472</v>
      </c>
      <c r="D679">
        <v>1</v>
      </c>
      <c r="E679">
        <v>1</v>
      </c>
      <c r="F679">
        <v>1</v>
      </c>
    </row>
    <row r="680" spans="1:6">
      <c r="A680" t="s">
        <v>98</v>
      </c>
      <c r="B680" t="s">
        <v>40</v>
      </c>
      <c r="C680" s="3">
        <v>96.7</v>
      </c>
      <c r="D680">
        <v>1</v>
      </c>
      <c r="E680">
        <v>1</v>
      </c>
      <c r="F680">
        <v>1</v>
      </c>
    </row>
    <row r="681" spans="1:6">
      <c r="A681" t="s">
        <v>98</v>
      </c>
      <c r="B681" t="s">
        <v>41</v>
      </c>
      <c r="C681" s="3">
        <v>96.9</v>
      </c>
      <c r="D681">
        <v>1</v>
      </c>
      <c r="E681">
        <v>1</v>
      </c>
      <c r="F681">
        <v>1</v>
      </c>
    </row>
    <row r="682" spans="1:6">
      <c r="A682" t="s">
        <v>98</v>
      </c>
      <c r="B682" t="s">
        <v>42</v>
      </c>
      <c r="C682" s="3">
        <v>100.2</v>
      </c>
      <c r="D682">
        <v>1</v>
      </c>
      <c r="E682">
        <v>1</v>
      </c>
      <c r="F682">
        <v>1</v>
      </c>
    </row>
    <row r="683" spans="1:6">
      <c r="A683" t="s">
        <v>98</v>
      </c>
      <c r="B683" t="s">
        <v>46</v>
      </c>
      <c r="C683" s="3">
        <v>97.5</v>
      </c>
      <c r="D683">
        <v>1</v>
      </c>
      <c r="E683">
        <v>1</v>
      </c>
      <c r="F683">
        <v>1</v>
      </c>
    </row>
    <row r="684" spans="1:6">
      <c r="A684" t="s">
        <v>98</v>
      </c>
      <c r="B684" t="s">
        <v>392</v>
      </c>
      <c r="C684" s="3"/>
      <c r="D684">
        <v>0</v>
      </c>
      <c r="E684">
        <v>1</v>
      </c>
      <c r="F684">
        <v>1</v>
      </c>
    </row>
    <row r="685" spans="1:6">
      <c r="A685" t="s">
        <v>98</v>
      </c>
      <c r="B685" t="s">
        <v>393</v>
      </c>
      <c r="C685" s="3"/>
      <c r="D685">
        <v>0</v>
      </c>
      <c r="E685">
        <v>1</v>
      </c>
      <c r="F685">
        <v>1</v>
      </c>
    </row>
    <row r="686" spans="1:6">
      <c r="A686" t="s">
        <v>98</v>
      </c>
      <c r="B686" t="s">
        <v>394</v>
      </c>
      <c r="C686" s="3"/>
      <c r="D686">
        <v>0</v>
      </c>
      <c r="E686">
        <v>1</v>
      </c>
      <c r="F686">
        <v>1</v>
      </c>
    </row>
    <row r="687" spans="1:6">
      <c r="A687" t="s">
        <v>98</v>
      </c>
      <c r="B687" t="s">
        <v>39</v>
      </c>
      <c r="C687" s="3">
        <v>-22.0999091968176</v>
      </c>
      <c r="D687">
        <v>1</v>
      </c>
      <c r="E687">
        <v>1</v>
      </c>
      <c r="F687">
        <v>1</v>
      </c>
    </row>
    <row r="688" spans="1:6">
      <c r="A688" t="s">
        <v>98</v>
      </c>
      <c r="B688" t="s">
        <v>43</v>
      </c>
      <c r="C688" s="3">
        <v>-1.39999999999999</v>
      </c>
      <c r="D688">
        <v>1</v>
      </c>
      <c r="E688">
        <v>1</v>
      </c>
      <c r="F688">
        <v>1</v>
      </c>
    </row>
    <row r="689" spans="1:6">
      <c r="A689" t="s">
        <v>98</v>
      </c>
      <c r="B689" t="s">
        <v>44</v>
      </c>
      <c r="C689" s="3">
        <v>-0.199999999999989</v>
      </c>
      <c r="D689">
        <v>1</v>
      </c>
      <c r="E689">
        <v>1</v>
      </c>
      <c r="F689">
        <v>1</v>
      </c>
    </row>
    <row r="690" spans="1:6">
      <c r="A690" t="s">
        <v>98</v>
      </c>
      <c r="B690" t="s">
        <v>45</v>
      </c>
      <c r="C690" s="3">
        <v>0.299999999999997</v>
      </c>
      <c r="D690">
        <v>1</v>
      </c>
      <c r="E690">
        <v>1</v>
      </c>
      <c r="F690">
        <v>1</v>
      </c>
    </row>
    <row r="691" spans="1:6">
      <c r="A691" t="s">
        <v>98</v>
      </c>
      <c r="B691" t="s">
        <v>396</v>
      </c>
      <c r="C691" s="3"/>
      <c r="D691">
        <v>0</v>
      </c>
      <c r="E691">
        <v>1</v>
      </c>
      <c r="F691">
        <v>1</v>
      </c>
    </row>
    <row r="692" spans="1:6">
      <c r="A692" t="s">
        <v>99</v>
      </c>
      <c r="B692" t="s">
        <v>34</v>
      </c>
      <c r="C692" s="3">
        <v>18.8</v>
      </c>
      <c r="D692">
        <v>1</v>
      </c>
      <c r="E692">
        <v>1</v>
      </c>
      <c r="F692">
        <v>1</v>
      </c>
    </row>
    <row r="693" spans="1:6">
      <c r="A693" t="s">
        <v>99</v>
      </c>
      <c r="B693" t="s">
        <v>35</v>
      </c>
      <c r="C693" s="3">
        <v>8.2769</v>
      </c>
      <c r="D693">
        <v>1</v>
      </c>
      <c r="E693">
        <v>1</v>
      </c>
      <c r="F693">
        <v>1</v>
      </c>
    </row>
    <row r="694" spans="1:6">
      <c r="A694" t="s">
        <v>99</v>
      </c>
      <c r="B694" t="s">
        <v>36</v>
      </c>
      <c r="C694" s="3">
        <v>155.60572</v>
      </c>
      <c r="D694">
        <v>1</v>
      </c>
      <c r="E694">
        <v>1</v>
      </c>
      <c r="F694">
        <v>1</v>
      </c>
    </row>
    <row r="695" spans="1:6">
      <c r="A695" t="s">
        <v>99</v>
      </c>
      <c r="B695" t="s">
        <v>40</v>
      </c>
      <c r="C695" s="3">
        <v>94.7</v>
      </c>
      <c r="D695">
        <v>1</v>
      </c>
      <c r="E695">
        <v>1</v>
      </c>
      <c r="F695">
        <v>1</v>
      </c>
    </row>
    <row r="696" spans="1:6">
      <c r="A696" t="s">
        <v>99</v>
      </c>
      <c r="B696" t="s">
        <v>41</v>
      </c>
      <c r="C696" s="3">
        <v>96.3</v>
      </c>
      <c r="D696">
        <v>1</v>
      </c>
      <c r="E696">
        <v>1</v>
      </c>
      <c r="F696">
        <v>1</v>
      </c>
    </row>
    <row r="697" spans="1:6">
      <c r="A697" t="s">
        <v>99</v>
      </c>
      <c r="B697" t="s">
        <v>42</v>
      </c>
      <c r="C697" s="3">
        <v>99.7</v>
      </c>
      <c r="D697">
        <v>1</v>
      </c>
      <c r="E697">
        <v>1</v>
      </c>
      <c r="F697">
        <v>1</v>
      </c>
    </row>
    <row r="698" spans="1:6">
      <c r="A698" t="s">
        <v>99</v>
      </c>
      <c r="B698" t="s">
        <v>46</v>
      </c>
      <c r="C698" s="3">
        <v>96.5</v>
      </c>
      <c r="D698">
        <v>1</v>
      </c>
      <c r="E698">
        <v>1</v>
      </c>
      <c r="F698">
        <v>1</v>
      </c>
    </row>
    <row r="699" spans="1:6">
      <c r="A699" t="s">
        <v>99</v>
      </c>
      <c r="B699" t="s">
        <v>392</v>
      </c>
      <c r="C699" s="3"/>
      <c r="D699">
        <v>0</v>
      </c>
      <c r="E699">
        <v>1</v>
      </c>
      <c r="F699">
        <v>1</v>
      </c>
    </row>
    <row r="700" spans="1:6">
      <c r="A700" t="s">
        <v>99</v>
      </c>
      <c r="B700" t="s">
        <v>393</v>
      </c>
      <c r="C700" s="3"/>
      <c r="D700">
        <v>0</v>
      </c>
      <c r="E700">
        <v>1</v>
      </c>
      <c r="F700">
        <v>1</v>
      </c>
    </row>
    <row r="701" spans="1:6">
      <c r="A701" t="s">
        <v>99</v>
      </c>
      <c r="B701" t="s">
        <v>394</v>
      </c>
      <c r="C701" s="3"/>
      <c r="D701">
        <v>0</v>
      </c>
      <c r="E701">
        <v>1</v>
      </c>
      <c r="F701">
        <v>1</v>
      </c>
    </row>
    <row r="702" spans="1:6">
      <c r="A702" t="s">
        <v>99</v>
      </c>
      <c r="B702" t="s">
        <v>39</v>
      </c>
      <c r="C702" s="3">
        <v>-8.8505252773451</v>
      </c>
      <c r="D702">
        <v>1</v>
      </c>
      <c r="E702">
        <v>1</v>
      </c>
      <c r="F702">
        <v>1</v>
      </c>
    </row>
    <row r="703" spans="1:6">
      <c r="A703" t="s">
        <v>99</v>
      </c>
      <c r="B703" t="s">
        <v>43</v>
      </c>
      <c r="C703" s="3">
        <v>-2</v>
      </c>
      <c r="D703">
        <v>1</v>
      </c>
      <c r="E703">
        <v>1</v>
      </c>
      <c r="F703">
        <v>1</v>
      </c>
    </row>
    <row r="704" spans="1:6">
      <c r="A704" t="s">
        <v>99</v>
      </c>
      <c r="B704" t="s">
        <v>44</v>
      </c>
      <c r="C704" s="3">
        <v>-0.600000000000009</v>
      </c>
      <c r="D704">
        <v>1</v>
      </c>
      <c r="E704">
        <v>1</v>
      </c>
      <c r="F704">
        <v>1</v>
      </c>
    </row>
    <row r="705" spans="1:6">
      <c r="A705" t="s">
        <v>99</v>
      </c>
      <c r="B705" t="s">
        <v>45</v>
      </c>
      <c r="C705" s="3">
        <v>-0.5</v>
      </c>
      <c r="D705">
        <v>1</v>
      </c>
      <c r="E705">
        <v>1</v>
      </c>
      <c r="F705">
        <v>1</v>
      </c>
    </row>
    <row r="706" spans="1:6">
      <c r="A706" t="s">
        <v>99</v>
      </c>
      <c r="B706" t="s">
        <v>396</v>
      </c>
      <c r="C706" s="3"/>
      <c r="D706">
        <v>0</v>
      </c>
      <c r="E706">
        <v>1</v>
      </c>
      <c r="F706">
        <v>1</v>
      </c>
    </row>
    <row r="707" spans="1:6">
      <c r="A707" t="s">
        <v>100</v>
      </c>
      <c r="B707" t="s">
        <v>34</v>
      </c>
      <c r="C707" s="3">
        <v>18.71</v>
      </c>
      <c r="D707">
        <v>1</v>
      </c>
      <c r="E707">
        <v>1</v>
      </c>
      <c r="F707">
        <v>1</v>
      </c>
    </row>
    <row r="708" spans="1:6">
      <c r="A708" t="s">
        <v>100</v>
      </c>
      <c r="B708" t="s">
        <v>35</v>
      </c>
      <c r="C708" s="3">
        <v>8.2764</v>
      </c>
      <c r="D708">
        <v>1</v>
      </c>
      <c r="E708">
        <v>1</v>
      </c>
      <c r="F708">
        <v>1</v>
      </c>
    </row>
    <row r="709" spans="1:6">
      <c r="A709" t="s">
        <v>100</v>
      </c>
      <c r="B709" t="s">
        <v>36</v>
      </c>
      <c r="C709" s="3">
        <v>154.851444</v>
      </c>
      <c r="D709">
        <v>1</v>
      </c>
      <c r="E709">
        <v>1</v>
      </c>
      <c r="F709">
        <v>1</v>
      </c>
    </row>
    <row r="710" spans="1:6">
      <c r="A710" t="s">
        <v>100</v>
      </c>
      <c r="B710" t="s">
        <v>40</v>
      </c>
      <c r="C710" s="3">
        <v>94.1</v>
      </c>
      <c r="D710">
        <v>1</v>
      </c>
      <c r="E710">
        <v>1</v>
      </c>
      <c r="F710">
        <v>1</v>
      </c>
    </row>
    <row r="711" spans="1:6">
      <c r="A711" t="s">
        <v>100</v>
      </c>
      <c r="B711" t="s">
        <v>41</v>
      </c>
      <c r="C711" s="3">
        <v>96</v>
      </c>
      <c r="D711">
        <v>1</v>
      </c>
      <c r="E711">
        <v>1</v>
      </c>
      <c r="F711">
        <v>1</v>
      </c>
    </row>
    <row r="712" spans="1:6">
      <c r="A712" t="s">
        <v>100</v>
      </c>
      <c r="B712" t="s">
        <v>42</v>
      </c>
      <c r="C712" s="3">
        <v>99.7</v>
      </c>
      <c r="D712">
        <v>1</v>
      </c>
      <c r="E712">
        <v>1</v>
      </c>
      <c r="F712">
        <v>1</v>
      </c>
    </row>
    <row r="713" spans="1:6">
      <c r="A713" t="s">
        <v>100</v>
      </c>
      <c r="B713" t="s">
        <v>46</v>
      </c>
      <c r="C713" s="3">
        <v>95.9</v>
      </c>
      <c r="D713">
        <v>1</v>
      </c>
      <c r="E713">
        <v>1</v>
      </c>
      <c r="F713">
        <v>1</v>
      </c>
    </row>
    <row r="714" spans="1:6">
      <c r="A714" t="s">
        <v>100</v>
      </c>
      <c r="B714" t="s">
        <v>392</v>
      </c>
      <c r="C714" s="3"/>
      <c r="D714">
        <v>0</v>
      </c>
      <c r="E714">
        <v>1</v>
      </c>
      <c r="F714">
        <v>1</v>
      </c>
    </row>
    <row r="715" spans="1:6">
      <c r="A715" t="s">
        <v>100</v>
      </c>
      <c r="B715" t="s">
        <v>393</v>
      </c>
      <c r="C715" s="3"/>
      <c r="D715">
        <v>0</v>
      </c>
      <c r="E715">
        <v>1</v>
      </c>
      <c r="F715">
        <v>1</v>
      </c>
    </row>
    <row r="716" spans="1:6">
      <c r="A716" t="s">
        <v>100</v>
      </c>
      <c r="B716" t="s">
        <v>394</v>
      </c>
      <c r="C716" s="3"/>
      <c r="D716">
        <v>0</v>
      </c>
      <c r="E716">
        <v>1</v>
      </c>
      <c r="F716">
        <v>1</v>
      </c>
    </row>
    <row r="717" spans="1:6">
      <c r="A717" t="s">
        <v>100</v>
      </c>
      <c r="B717" t="s">
        <v>39</v>
      </c>
      <c r="C717" s="3">
        <v>-0.485914046496762</v>
      </c>
      <c r="D717">
        <v>1</v>
      </c>
      <c r="E717">
        <v>1</v>
      </c>
      <c r="F717">
        <v>1</v>
      </c>
    </row>
    <row r="718" spans="1:6">
      <c r="A718" t="s">
        <v>100</v>
      </c>
      <c r="B718" t="s">
        <v>43</v>
      </c>
      <c r="C718" s="3">
        <v>-0.600000000000009</v>
      </c>
      <c r="D718">
        <v>1</v>
      </c>
      <c r="E718">
        <v>1</v>
      </c>
      <c r="F718">
        <v>1</v>
      </c>
    </row>
    <row r="719" spans="1:6">
      <c r="A719" t="s">
        <v>100</v>
      </c>
      <c r="B719" t="s">
        <v>44</v>
      </c>
      <c r="C719" s="3">
        <v>-0.299999999999997</v>
      </c>
      <c r="D719">
        <v>1</v>
      </c>
      <c r="E719">
        <v>1</v>
      </c>
      <c r="F719">
        <v>1</v>
      </c>
    </row>
    <row r="720" spans="1:6">
      <c r="A720" t="s">
        <v>100</v>
      </c>
      <c r="B720" t="s">
        <v>45</v>
      </c>
      <c r="C720" s="3">
        <v>0</v>
      </c>
      <c r="D720">
        <v>1</v>
      </c>
      <c r="E720">
        <v>1</v>
      </c>
      <c r="F720">
        <v>1</v>
      </c>
    </row>
    <row r="721" spans="1:6">
      <c r="A721" t="s">
        <v>100</v>
      </c>
      <c r="B721" t="s">
        <v>396</v>
      </c>
      <c r="C721" s="3"/>
      <c r="D721">
        <v>0</v>
      </c>
      <c r="E721">
        <v>1</v>
      </c>
      <c r="F721">
        <v>1</v>
      </c>
    </row>
    <row r="722" spans="1:6">
      <c r="A722" t="s">
        <v>101</v>
      </c>
      <c r="B722" t="s">
        <v>34</v>
      </c>
      <c r="C722" s="3">
        <v>19.42</v>
      </c>
      <c r="D722">
        <v>1</v>
      </c>
      <c r="E722">
        <v>1</v>
      </c>
      <c r="F722">
        <v>1</v>
      </c>
    </row>
    <row r="723" spans="1:6">
      <c r="A723" t="s">
        <v>101</v>
      </c>
      <c r="B723" t="s">
        <v>35</v>
      </c>
      <c r="C723" s="3">
        <v>8.2771</v>
      </c>
      <c r="D723">
        <v>1</v>
      </c>
      <c r="E723">
        <v>1</v>
      </c>
      <c r="F723">
        <v>1</v>
      </c>
    </row>
    <row r="724" spans="1:6">
      <c r="A724" t="s">
        <v>101</v>
      </c>
      <c r="B724" t="s">
        <v>36</v>
      </c>
      <c r="C724" s="3">
        <v>160.741282</v>
      </c>
      <c r="D724">
        <v>1</v>
      </c>
      <c r="E724">
        <v>1</v>
      </c>
      <c r="F724">
        <v>1</v>
      </c>
    </row>
    <row r="725" spans="1:6">
      <c r="A725" t="s">
        <v>101</v>
      </c>
      <c r="B725" t="s">
        <v>40</v>
      </c>
      <c r="C725" s="3">
        <v>94.1</v>
      </c>
      <c r="D725">
        <v>1</v>
      </c>
      <c r="E725">
        <v>1</v>
      </c>
      <c r="F725">
        <v>1</v>
      </c>
    </row>
    <row r="726" spans="1:6">
      <c r="A726" t="s">
        <v>101</v>
      </c>
      <c r="B726" t="s">
        <v>41</v>
      </c>
      <c r="C726" s="3">
        <v>96</v>
      </c>
      <c r="D726">
        <v>1</v>
      </c>
      <c r="E726">
        <v>1</v>
      </c>
      <c r="F726">
        <v>1</v>
      </c>
    </row>
    <row r="727" spans="1:6">
      <c r="A727" t="s">
        <v>101</v>
      </c>
      <c r="B727" t="s">
        <v>42</v>
      </c>
      <c r="C727" s="3">
        <v>99</v>
      </c>
      <c r="D727">
        <v>1</v>
      </c>
      <c r="E727">
        <v>1</v>
      </c>
      <c r="F727">
        <v>1</v>
      </c>
    </row>
    <row r="728" spans="1:6">
      <c r="A728" t="s">
        <v>101</v>
      </c>
      <c r="B728" t="s">
        <v>46</v>
      </c>
      <c r="C728" s="3">
        <v>95.1</v>
      </c>
      <c r="D728">
        <v>1</v>
      </c>
      <c r="E728">
        <v>1</v>
      </c>
      <c r="F728">
        <v>1</v>
      </c>
    </row>
    <row r="729" spans="1:6">
      <c r="A729" t="s">
        <v>101</v>
      </c>
      <c r="B729" t="s">
        <v>392</v>
      </c>
      <c r="C729" s="3"/>
      <c r="D729">
        <v>0</v>
      </c>
      <c r="E729">
        <v>1</v>
      </c>
      <c r="F729">
        <v>1</v>
      </c>
    </row>
    <row r="730" spans="1:6">
      <c r="A730" t="s">
        <v>101</v>
      </c>
      <c r="B730" t="s">
        <v>393</v>
      </c>
      <c r="C730" s="3"/>
      <c r="D730">
        <v>0</v>
      </c>
      <c r="E730">
        <v>1</v>
      </c>
      <c r="F730">
        <v>1</v>
      </c>
    </row>
    <row r="731" spans="1:6">
      <c r="A731" t="s">
        <v>101</v>
      </c>
      <c r="B731" t="s">
        <v>394</v>
      </c>
      <c r="C731" s="3"/>
      <c r="D731">
        <v>0</v>
      </c>
      <c r="E731">
        <v>1</v>
      </c>
      <c r="F731">
        <v>1</v>
      </c>
    </row>
    <row r="732" spans="1:6">
      <c r="A732" t="s">
        <v>101</v>
      </c>
      <c r="B732" t="s">
        <v>39</v>
      </c>
      <c r="C732" s="3">
        <v>3.73298968364514</v>
      </c>
      <c r="D732">
        <v>1</v>
      </c>
      <c r="E732">
        <v>1</v>
      </c>
      <c r="F732">
        <v>1</v>
      </c>
    </row>
    <row r="733" spans="1:6">
      <c r="A733" t="s">
        <v>101</v>
      </c>
      <c r="B733" t="s">
        <v>43</v>
      </c>
      <c r="C733" s="3">
        <v>0</v>
      </c>
      <c r="D733">
        <v>1</v>
      </c>
      <c r="E733">
        <v>1</v>
      </c>
      <c r="F733">
        <v>1</v>
      </c>
    </row>
    <row r="734" spans="1:6">
      <c r="A734" t="s">
        <v>101</v>
      </c>
      <c r="B734" t="s">
        <v>44</v>
      </c>
      <c r="C734" s="3">
        <v>0</v>
      </c>
      <c r="D734">
        <v>1</v>
      </c>
      <c r="E734">
        <v>1</v>
      </c>
      <c r="F734">
        <v>1</v>
      </c>
    </row>
    <row r="735" spans="1:6">
      <c r="A735" t="s">
        <v>101</v>
      </c>
      <c r="B735" t="s">
        <v>45</v>
      </c>
      <c r="C735" s="3">
        <v>-0.700000000000003</v>
      </c>
      <c r="D735">
        <v>1</v>
      </c>
      <c r="E735">
        <v>1</v>
      </c>
      <c r="F735">
        <v>1</v>
      </c>
    </row>
    <row r="736" spans="1:6">
      <c r="A736" t="s">
        <v>101</v>
      </c>
      <c r="B736" t="s">
        <v>396</v>
      </c>
      <c r="C736" s="3"/>
      <c r="D736">
        <v>0</v>
      </c>
      <c r="E736">
        <v>1</v>
      </c>
      <c r="F736">
        <v>1</v>
      </c>
    </row>
    <row r="737" spans="1:6">
      <c r="A737" t="s">
        <v>102</v>
      </c>
      <c r="B737" t="s">
        <v>34</v>
      </c>
      <c r="C737" s="3">
        <v>20.28</v>
      </c>
      <c r="D737">
        <v>1</v>
      </c>
      <c r="E737">
        <v>1</v>
      </c>
      <c r="F737">
        <v>1</v>
      </c>
    </row>
    <row r="738" spans="1:6">
      <c r="A738" t="s">
        <v>102</v>
      </c>
      <c r="B738" t="s">
        <v>35</v>
      </c>
      <c r="C738" s="3">
        <v>8.2767</v>
      </c>
      <c r="D738">
        <v>1</v>
      </c>
      <c r="E738">
        <v>1</v>
      </c>
      <c r="F738">
        <v>1</v>
      </c>
    </row>
    <row r="739" spans="1:6">
      <c r="A739" t="s">
        <v>102</v>
      </c>
      <c r="B739" t="s">
        <v>36</v>
      </c>
      <c r="C739" s="3">
        <v>167.851476</v>
      </c>
      <c r="D739">
        <v>1</v>
      </c>
      <c r="E739">
        <v>1</v>
      </c>
      <c r="F739">
        <v>1</v>
      </c>
    </row>
    <row r="740" spans="1:6">
      <c r="A740" t="s">
        <v>102</v>
      </c>
      <c r="B740" t="s">
        <v>40</v>
      </c>
      <c r="C740" s="3">
        <v>95.3</v>
      </c>
      <c r="D740">
        <v>1</v>
      </c>
      <c r="E740">
        <v>1</v>
      </c>
      <c r="F740">
        <v>1</v>
      </c>
    </row>
    <row r="741" spans="1:6">
      <c r="A741" t="s">
        <v>102</v>
      </c>
      <c r="B741" t="s">
        <v>41</v>
      </c>
      <c r="C741" s="3">
        <v>95.9</v>
      </c>
      <c r="D741">
        <v>1</v>
      </c>
      <c r="E741">
        <v>1</v>
      </c>
      <c r="F741">
        <v>1</v>
      </c>
    </row>
    <row r="742" spans="1:6">
      <c r="A742" t="s">
        <v>102</v>
      </c>
      <c r="B742" t="s">
        <v>42</v>
      </c>
      <c r="C742" s="3">
        <v>100</v>
      </c>
      <c r="D742">
        <v>1</v>
      </c>
      <c r="E742">
        <v>1</v>
      </c>
      <c r="F742">
        <v>1</v>
      </c>
    </row>
    <row r="743" spans="1:6">
      <c r="A743" t="s">
        <v>102</v>
      </c>
      <c r="B743" t="s">
        <v>46</v>
      </c>
      <c r="C743" s="3">
        <v>95.3</v>
      </c>
      <c r="D743">
        <v>1</v>
      </c>
      <c r="E743">
        <v>1</v>
      </c>
      <c r="F743">
        <v>1</v>
      </c>
    </row>
    <row r="744" spans="1:6">
      <c r="A744" t="s">
        <v>102</v>
      </c>
      <c r="B744" t="s">
        <v>392</v>
      </c>
      <c r="C744" s="3"/>
      <c r="D744">
        <v>0</v>
      </c>
      <c r="E744">
        <v>1</v>
      </c>
      <c r="F744">
        <v>1</v>
      </c>
    </row>
    <row r="745" spans="1:6">
      <c r="A745" t="s">
        <v>102</v>
      </c>
      <c r="B745" t="s">
        <v>393</v>
      </c>
      <c r="C745" s="3"/>
      <c r="D745">
        <v>0</v>
      </c>
      <c r="E745">
        <v>1</v>
      </c>
      <c r="F745">
        <v>1</v>
      </c>
    </row>
    <row r="746" spans="1:6">
      <c r="A746" t="s">
        <v>102</v>
      </c>
      <c r="B746" t="s">
        <v>394</v>
      </c>
      <c r="C746" s="3"/>
      <c r="D746">
        <v>0</v>
      </c>
      <c r="E746">
        <v>1</v>
      </c>
      <c r="F746">
        <v>1</v>
      </c>
    </row>
    <row r="747" spans="1:6">
      <c r="A747" t="s">
        <v>102</v>
      </c>
      <c r="B747" t="s">
        <v>39</v>
      </c>
      <c r="C747" s="3">
        <v>4.3283388587506</v>
      </c>
      <c r="D747">
        <v>1</v>
      </c>
      <c r="E747">
        <v>1</v>
      </c>
      <c r="F747">
        <v>1</v>
      </c>
    </row>
    <row r="748" spans="1:6">
      <c r="A748" t="s">
        <v>102</v>
      </c>
      <c r="B748" t="s">
        <v>43</v>
      </c>
      <c r="C748" s="3">
        <v>1.2</v>
      </c>
      <c r="D748">
        <v>1</v>
      </c>
      <c r="E748">
        <v>1</v>
      </c>
      <c r="F748">
        <v>1</v>
      </c>
    </row>
    <row r="749" spans="1:6">
      <c r="A749" t="s">
        <v>102</v>
      </c>
      <c r="B749" t="s">
        <v>44</v>
      </c>
      <c r="C749" s="3">
        <v>-0.0999999999999943</v>
      </c>
      <c r="D749">
        <v>1</v>
      </c>
      <c r="E749">
        <v>1</v>
      </c>
      <c r="F749">
        <v>1</v>
      </c>
    </row>
    <row r="750" spans="1:6">
      <c r="A750" t="s">
        <v>102</v>
      </c>
      <c r="B750" t="s">
        <v>45</v>
      </c>
      <c r="C750" s="3">
        <v>1</v>
      </c>
      <c r="D750">
        <v>1</v>
      </c>
      <c r="E750">
        <v>1</v>
      </c>
      <c r="F750">
        <v>1</v>
      </c>
    </row>
    <row r="751" spans="1:6">
      <c r="A751" t="s">
        <v>102</v>
      </c>
      <c r="B751" t="s">
        <v>396</v>
      </c>
      <c r="C751" s="3"/>
      <c r="D751">
        <v>0</v>
      </c>
      <c r="E751">
        <v>1</v>
      </c>
      <c r="F751">
        <v>1</v>
      </c>
    </row>
    <row r="752" spans="1:6">
      <c r="A752" t="s">
        <v>103</v>
      </c>
      <c r="B752" t="s">
        <v>34</v>
      </c>
      <c r="C752" s="3">
        <v>23.7</v>
      </c>
      <c r="D752">
        <v>1</v>
      </c>
      <c r="E752">
        <v>1</v>
      </c>
      <c r="F752">
        <v>1</v>
      </c>
    </row>
    <row r="753" spans="1:6">
      <c r="A753" t="s">
        <v>103</v>
      </c>
      <c r="B753" t="s">
        <v>35</v>
      </c>
      <c r="C753" s="3">
        <v>8.2773</v>
      </c>
      <c r="D753">
        <v>1</v>
      </c>
      <c r="E753">
        <v>1</v>
      </c>
      <c r="F753">
        <v>1</v>
      </c>
    </row>
    <row r="754" spans="1:6">
      <c r="A754" t="s">
        <v>103</v>
      </c>
      <c r="B754" t="s">
        <v>36</v>
      </c>
      <c r="C754" s="3">
        <v>196.17201</v>
      </c>
      <c r="D754">
        <v>1</v>
      </c>
      <c r="E754">
        <v>1</v>
      </c>
      <c r="F754">
        <v>1</v>
      </c>
    </row>
    <row r="755" spans="1:6">
      <c r="A755" t="s">
        <v>103</v>
      </c>
      <c r="B755" t="s">
        <v>40</v>
      </c>
      <c r="C755" s="3">
        <v>95.8</v>
      </c>
      <c r="D755">
        <v>1</v>
      </c>
      <c r="E755">
        <v>1</v>
      </c>
      <c r="F755">
        <v>1</v>
      </c>
    </row>
    <row r="756" spans="1:6">
      <c r="A756" t="s">
        <v>103</v>
      </c>
      <c r="B756" t="s">
        <v>41</v>
      </c>
      <c r="C756" s="3">
        <v>96</v>
      </c>
      <c r="D756">
        <v>1</v>
      </c>
      <c r="E756">
        <v>1</v>
      </c>
      <c r="F756">
        <v>1</v>
      </c>
    </row>
    <row r="757" spans="1:6">
      <c r="A757" t="s">
        <v>103</v>
      </c>
      <c r="B757" t="s">
        <v>42</v>
      </c>
      <c r="C757" s="3">
        <v>99.2</v>
      </c>
      <c r="D757">
        <v>1</v>
      </c>
      <c r="E757">
        <v>1</v>
      </c>
      <c r="F757">
        <v>1</v>
      </c>
    </row>
    <row r="758" spans="1:6">
      <c r="A758" t="s">
        <v>103</v>
      </c>
      <c r="B758" t="s">
        <v>46</v>
      </c>
      <c r="C758" s="3">
        <v>95.4</v>
      </c>
      <c r="D758">
        <v>1</v>
      </c>
      <c r="E758">
        <v>1</v>
      </c>
      <c r="F758">
        <v>1</v>
      </c>
    </row>
    <row r="759" spans="1:6">
      <c r="A759" t="s">
        <v>103</v>
      </c>
      <c r="B759" t="s">
        <v>392</v>
      </c>
      <c r="C759" s="3"/>
      <c r="D759">
        <v>0</v>
      </c>
      <c r="E759">
        <v>1</v>
      </c>
      <c r="F759">
        <v>1</v>
      </c>
    </row>
    <row r="760" spans="1:6">
      <c r="A760" t="s">
        <v>103</v>
      </c>
      <c r="B760" t="s">
        <v>393</v>
      </c>
      <c r="C760" s="3"/>
      <c r="D760">
        <v>0</v>
      </c>
      <c r="E760">
        <v>1</v>
      </c>
      <c r="F760">
        <v>1</v>
      </c>
    </row>
    <row r="761" spans="1:6">
      <c r="A761" t="s">
        <v>103</v>
      </c>
      <c r="B761" t="s">
        <v>394</v>
      </c>
      <c r="C761" s="3"/>
      <c r="D761">
        <v>0</v>
      </c>
      <c r="E761">
        <v>1</v>
      </c>
      <c r="F761">
        <v>1</v>
      </c>
    </row>
    <row r="762" spans="1:6">
      <c r="A762" t="s">
        <v>103</v>
      </c>
      <c r="B762" t="s">
        <v>39</v>
      </c>
      <c r="C762" s="3">
        <v>15.5912359450755</v>
      </c>
      <c r="D762">
        <v>1</v>
      </c>
      <c r="E762">
        <v>1</v>
      </c>
      <c r="F762">
        <v>1</v>
      </c>
    </row>
    <row r="763" spans="1:6">
      <c r="A763" t="s">
        <v>103</v>
      </c>
      <c r="B763" t="s">
        <v>43</v>
      </c>
      <c r="C763" s="3">
        <v>0.5</v>
      </c>
      <c r="D763">
        <v>1</v>
      </c>
      <c r="E763">
        <v>1</v>
      </c>
      <c r="F763">
        <v>1</v>
      </c>
    </row>
    <row r="764" spans="1:6">
      <c r="A764" t="s">
        <v>103</v>
      </c>
      <c r="B764" t="s">
        <v>44</v>
      </c>
      <c r="C764" s="3">
        <v>0.0999999999999943</v>
      </c>
      <c r="D764">
        <v>1</v>
      </c>
      <c r="E764">
        <v>1</v>
      </c>
      <c r="F764">
        <v>1</v>
      </c>
    </row>
    <row r="765" spans="1:6">
      <c r="A765" t="s">
        <v>103</v>
      </c>
      <c r="B765" t="s">
        <v>45</v>
      </c>
      <c r="C765" s="3">
        <v>-0.799999999999997</v>
      </c>
      <c r="D765">
        <v>1</v>
      </c>
      <c r="E765">
        <v>1</v>
      </c>
      <c r="F765">
        <v>1</v>
      </c>
    </row>
    <row r="766" spans="1:6">
      <c r="A766" t="s">
        <v>103</v>
      </c>
      <c r="B766" t="s">
        <v>396</v>
      </c>
      <c r="C766" s="3"/>
      <c r="D766">
        <v>0</v>
      </c>
      <c r="E766">
        <v>1</v>
      </c>
      <c r="F766">
        <v>1</v>
      </c>
    </row>
    <row r="767" spans="1:6">
      <c r="A767" t="s">
        <v>104</v>
      </c>
      <c r="B767" t="s">
        <v>34</v>
      </c>
      <c r="C767" s="3">
        <v>25.73</v>
      </c>
      <c r="D767">
        <v>1</v>
      </c>
      <c r="E767">
        <v>1</v>
      </c>
      <c r="F767">
        <v>1</v>
      </c>
    </row>
    <row r="768" spans="1:6">
      <c r="A768" t="s">
        <v>104</v>
      </c>
      <c r="B768" t="s">
        <v>35</v>
      </c>
      <c r="C768" s="3">
        <v>8.2772</v>
      </c>
      <c r="D768">
        <v>1</v>
      </c>
      <c r="E768">
        <v>1</v>
      </c>
      <c r="F768">
        <v>1</v>
      </c>
    </row>
    <row r="769" spans="1:6">
      <c r="A769" t="s">
        <v>104</v>
      </c>
      <c r="B769" t="s">
        <v>36</v>
      </c>
      <c r="C769" s="3">
        <v>212.972356</v>
      </c>
      <c r="D769">
        <v>1</v>
      </c>
      <c r="E769">
        <v>1</v>
      </c>
      <c r="F769">
        <v>1</v>
      </c>
    </row>
    <row r="770" spans="1:6">
      <c r="A770" t="s">
        <v>104</v>
      </c>
      <c r="B770" t="s">
        <v>40</v>
      </c>
      <c r="C770" s="3">
        <v>98.2</v>
      </c>
      <c r="D770">
        <v>1</v>
      </c>
      <c r="E770">
        <v>1</v>
      </c>
      <c r="F770">
        <v>1</v>
      </c>
    </row>
    <row r="771" spans="1:6">
      <c r="A771" t="s">
        <v>104</v>
      </c>
      <c r="B771" t="s">
        <v>41</v>
      </c>
      <c r="C771" s="3">
        <v>96.9</v>
      </c>
      <c r="D771">
        <v>1</v>
      </c>
      <c r="E771">
        <v>1</v>
      </c>
      <c r="F771">
        <v>1</v>
      </c>
    </row>
    <row r="772" spans="1:6">
      <c r="A772" t="s">
        <v>104</v>
      </c>
      <c r="B772" t="s">
        <v>42</v>
      </c>
      <c r="C772" s="3">
        <v>98.7</v>
      </c>
      <c r="D772">
        <v>1</v>
      </c>
      <c r="E772">
        <v>1</v>
      </c>
      <c r="F772">
        <v>1</v>
      </c>
    </row>
    <row r="773" spans="1:6">
      <c r="A773" t="s">
        <v>104</v>
      </c>
      <c r="B773" t="s">
        <v>46</v>
      </c>
      <c r="C773" s="3">
        <v>96.2</v>
      </c>
      <c r="D773">
        <v>1</v>
      </c>
      <c r="E773">
        <v>1</v>
      </c>
      <c r="F773">
        <v>1</v>
      </c>
    </row>
    <row r="774" spans="1:6">
      <c r="A774" t="s">
        <v>104</v>
      </c>
      <c r="B774" t="s">
        <v>392</v>
      </c>
      <c r="C774" s="3"/>
      <c r="D774">
        <v>0</v>
      </c>
      <c r="E774">
        <v>1</v>
      </c>
      <c r="F774">
        <v>1</v>
      </c>
    </row>
    <row r="775" spans="1:6">
      <c r="A775" t="s">
        <v>104</v>
      </c>
      <c r="B775" t="s">
        <v>393</v>
      </c>
      <c r="C775" s="3"/>
      <c r="D775">
        <v>0</v>
      </c>
      <c r="E775">
        <v>1</v>
      </c>
      <c r="F775">
        <v>1</v>
      </c>
    </row>
    <row r="776" spans="1:6">
      <c r="A776" t="s">
        <v>104</v>
      </c>
      <c r="B776" t="s">
        <v>394</v>
      </c>
      <c r="C776" s="3"/>
      <c r="D776">
        <v>0</v>
      </c>
      <c r="E776">
        <v>1</v>
      </c>
      <c r="F776">
        <v>1</v>
      </c>
    </row>
    <row r="777" spans="1:6">
      <c r="A777" t="s">
        <v>104</v>
      </c>
      <c r="B777" t="s">
        <v>39</v>
      </c>
      <c r="C777" s="3">
        <v>8.21704968453697</v>
      </c>
      <c r="D777">
        <v>1</v>
      </c>
      <c r="E777">
        <v>1</v>
      </c>
      <c r="F777">
        <v>1</v>
      </c>
    </row>
    <row r="778" spans="1:6">
      <c r="A778" t="s">
        <v>104</v>
      </c>
      <c r="B778" t="s">
        <v>43</v>
      </c>
      <c r="C778" s="3">
        <v>2.40000000000001</v>
      </c>
      <c r="D778">
        <v>1</v>
      </c>
      <c r="E778">
        <v>1</v>
      </c>
      <c r="F778">
        <v>1</v>
      </c>
    </row>
    <row r="779" spans="1:6">
      <c r="A779" t="s">
        <v>104</v>
      </c>
      <c r="B779" t="s">
        <v>44</v>
      </c>
      <c r="C779" s="3">
        <v>0.900000000000006</v>
      </c>
      <c r="D779">
        <v>1</v>
      </c>
      <c r="E779">
        <v>1</v>
      </c>
      <c r="F779">
        <v>1</v>
      </c>
    </row>
    <row r="780" spans="1:6">
      <c r="A780" t="s">
        <v>104</v>
      </c>
      <c r="B780" t="s">
        <v>45</v>
      </c>
      <c r="C780" s="3">
        <v>-0.5</v>
      </c>
      <c r="D780">
        <v>1</v>
      </c>
      <c r="E780">
        <v>1</v>
      </c>
      <c r="F780">
        <v>1</v>
      </c>
    </row>
    <row r="781" spans="1:6">
      <c r="A781" t="s">
        <v>104</v>
      </c>
      <c r="B781" t="s">
        <v>396</v>
      </c>
      <c r="C781" s="3"/>
      <c r="D781">
        <v>0</v>
      </c>
      <c r="E781">
        <v>1</v>
      </c>
      <c r="F781">
        <v>1</v>
      </c>
    </row>
    <row r="782" spans="1:6">
      <c r="A782" t="s">
        <v>105</v>
      </c>
      <c r="B782" t="s">
        <v>34</v>
      </c>
      <c r="C782" s="3">
        <v>25.35</v>
      </c>
      <c r="D782">
        <v>1</v>
      </c>
      <c r="E782">
        <v>1</v>
      </c>
      <c r="F782">
        <v>1</v>
      </c>
    </row>
    <row r="783" spans="1:6">
      <c r="A783" t="s">
        <v>105</v>
      </c>
      <c r="B783" t="s">
        <v>35</v>
      </c>
      <c r="C783" s="3">
        <v>8.277</v>
      </c>
      <c r="D783">
        <v>1</v>
      </c>
      <c r="E783">
        <v>1</v>
      </c>
      <c r="F783">
        <v>1</v>
      </c>
    </row>
    <row r="784" spans="1:6">
      <c r="A784" t="s">
        <v>105</v>
      </c>
      <c r="B784" t="s">
        <v>36</v>
      </c>
      <c r="C784" s="3">
        <v>209.82195</v>
      </c>
      <c r="D784">
        <v>1</v>
      </c>
      <c r="E784">
        <v>1</v>
      </c>
      <c r="F784">
        <v>1</v>
      </c>
    </row>
    <row r="785" spans="1:6">
      <c r="A785" t="s">
        <v>105</v>
      </c>
      <c r="B785" t="s">
        <v>40</v>
      </c>
      <c r="C785" s="3">
        <v>100.3</v>
      </c>
      <c r="D785">
        <v>1</v>
      </c>
      <c r="E785">
        <v>1</v>
      </c>
      <c r="F785">
        <v>1</v>
      </c>
    </row>
    <row r="786" spans="1:6">
      <c r="A786" t="s">
        <v>105</v>
      </c>
      <c r="B786" t="s">
        <v>41</v>
      </c>
      <c r="C786" s="3">
        <v>97.4</v>
      </c>
      <c r="D786">
        <v>1</v>
      </c>
      <c r="E786">
        <v>1</v>
      </c>
      <c r="F786">
        <v>1</v>
      </c>
    </row>
    <row r="787" spans="1:6">
      <c r="A787" t="s">
        <v>105</v>
      </c>
      <c r="B787" t="s">
        <v>42</v>
      </c>
      <c r="C787" s="3">
        <v>98.9</v>
      </c>
      <c r="D787">
        <v>1</v>
      </c>
      <c r="E787">
        <v>1</v>
      </c>
      <c r="F787">
        <v>1</v>
      </c>
    </row>
    <row r="788" spans="1:6">
      <c r="A788" t="s">
        <v>105</v>
      </c>
      <c r="B788" t="s">
        <v>46</v>
      </c>
      <c r="C788" s="3">
        <v>97.2</v>
      </c>
      <c r="D788">
        <v>1</v>
      </c>
      <c r="E788">
        <v>1</v>
      </c>
      <c r="F788">
        <v>1</v>
      </c>
    </row>
    <row r="789" spans="1:6">
      <c r="A789" t="s">
        <v>105</v>
      </c>
      <c r="B789" t="s">
        <v>392</v>
      </c>
      <c r="C789" s="3"/>
      <c r="D789">
        <v>0</v>
      </c>
      <c r="E789">
        <v>1</v>
      </c>
      <c r="F789">
        <v>1</v>
      </c>
    </row>
    <row r="790" spans="1:6">
      <c r="A790" t="s">
        <v>105</v>
      </c>
      <c r="B790" t="s">
        <v>393</v>
      </c>
      <c r="C790" s="3"/>
      <c r="D790">
        <v>0</v>
      </c>
      <c r="E790">
        <v>1</v>
      </c>
      <c r="F790">
        <v>1</v>
      </c>
    </row>
    <row r="791" spans="1:6">
      <c r="A791" t="s">
        <v>105</v>
      </c>
      <c r="B791" t="s">
        <v>394</v>
      </c>
      <c r="C791" s="3"/>
      <c r="D791">
        <v>0</v>
      </c>
      <c r="E791">
        <v>1</v>
      </c>
      <c r="F791">
        <v>1</v>
      </c>
    </row>
    <row r="792" spans="1:6">
      <c r="A792" t="s">
        <v>105</v>
      </c>
      <c r="B792" t="s">
        <v>39</v>
      </c>
      <c r="C792" s="3">
        <v>-1.49030593087387</v>
      </c>
      <c r="D792">
        <v>1</v>
      </c>
      <c r="E792">
        <v>1</v>
      </c>
      <c r="F792">
        <v>1</v>
      </c>
    </row>
    <row r="793" spans="1:6">
      <c r="A793" t="s">
        <v>105</v>
      </c>
      <c r="B793" t="s">
        <v>43</v>
      </c>
      <c r="C793" s="3">
        <v>2.09999999999999</v>
      </c>
      <c r="D793">
        <v>1</v>
      </c>
      <c r="E793">
        <v>1</v>
      </c>
      <c r="F793">
        <v>1</v>
      </c>
    </row>
    <row r="794" spans="1:6">
      <c r="A794" t="s">
        <v>105</v>
      </c>
      <c r="B794" t="s">
        <v>44</v>
      </c>
      <c r="C794" s="3">
        <v>0.5</v>
      </c>
      <c r="D794">
        <v>1</v>
      </c>
      <c r="E794">
        <v>1</v>
      </c>
      <c r="F794">
        <v>1</v>
      </c>
    </row>
    <row r="795" spans="1:6">
      <c r="A795" t="s">
        <v>105</v>
      </c>
      <c r="B795" t="s">
        <v>45</v>
      </c>
      <c r="C795" s="3">
        <v>0.200000000000003</v>
      </c>
      <c r="D795">
        <v>1</v>
      </c>
      <c r="E795">
        <v>1</v>
      </c>
      <c r="F795">
        <v>1</v>
      </c>
    </row>
    <row r="796" spans="1:6">
      <c r="A796" t="s">
        <v>105</v>
      </c>
      <c r="B796" t="s">
        <v>396</v>
      </c>
      <c r="C796" s="3"/>
      <c r="D796">
        <v>0</v>
      </c>
      <c r="E796">
        <v>1</v>
      </c>
      <c r="F796">
        <v>1</v>
      </c>
    </row>
    <row r="797" spans="1:6">
      <c r="A797" t="s">
        <v>106</v>
      </c>
      <c r="B797" t="s">
        <v>34</v>
      </c>
      <c r="C797" s="3">
        <v>24.08</v>
      </c>
      <c r="D797">
        <v>1</v>
      </c>
      <c r="E797">
        <v>1</v>
      </c>
      <c r="F797">
        <v>1</v>
      </c>
    </row>
    <row r="798" spans="1:6">
      <c r="A798" t="s">
        <v>106</v>
      </c>
      <c r="B798" t="s">
        <v>35</v>
      </c>
      <c r="C798" s="3">
        <v>8.2767</v>
      </c>
      <c r="D798">
        <v>1</v>
      </c>
      <c r="E798">
        <v>1</v>
      </c>
      <c r="F798">
        <v>1</v>
      </c>
    </row>
    <row r="799" spans="1:6">
      <c r="A799" t="s">
        <v>106</v>
      </c>
      <c r="B799" t="s">
        <v>36</v>
      </c>
      <c r="C799" s="3">
        <v>199.302936</v>
      </c>
      <c r="D799">
        <v>1</v>
      </c>
      <c r="E799">
        <v>1</v>
      </c>
      <c r="F799">
        <v>1</v>
      </c>
    </row>
    <row r="800" spans="1:6">
      <c r="A800" t="s">
        <v>106</v>
      </c>
      <c r="B800" t="s">
        <v>40</v>
      </c>
      <c r="C800" s="3">
        <v>100.1</v>
      </c>
      <c r="D800">
        <v>1</v>
      </c>
      <c r="E800">
        <v>1</v>
      </c>
      <c r="F800">
        <v>1</v>
      </c>
    </row>
    <row r="801" spans="1:6">
      <c r="A801" t="s">
        <v>106</v>
      </c>
      <c r="B801" t="s">
        <v>41</v>
      </c>
      <c r="C801" s="3">
        <v>97.5</v>
      </c>
      <c r="D801">
        <v>1</v>
      </c>
      <c r="E801">
        <v>1</v>
      </c>
      <c r="F801">
        <v>1</v>
      </c>
    </row>
    <row r="802" spans="1:6">
      <c r="A802" t="s">
        <v>106</v>
      </c>
      <c r="B802" t="s">
        <v>42</v>
      </c>
      <c r="C802" s="3">
        <v>99.2</v>
      </c>
      <c r="D802">
        <v>1</v>
      </c>
      <c r="E802">
        <v>1</v>
      </c>
      <c r="F802">
        <v>1</v>
      </c>
    </row>
    <row r="803" spans="1:6">
      <c r="A803" t="s">
        <v>106</v>
      </c>
      <c r="B803" t="s">
        <v>46</v>
      </c>
      <c r="C803" s="3">
        <v>97.2</v>
      </c>
      <c r="D803">
        <v>1</v>
      </c>
      <c r="E803">
        <v>1</v>
      </c>
      <c r="F803">
        <v>1</v>
      </c>
    </row>
    <row r="804" spans="1:6">
      <c r="A804" t="s">
        <v>106</v>
      </c>
      <c r="B804" t="s">
        <v>392</v>
      </c>
      <c r="C804" s="3"/>
      <c r="D804">
        <v>0</v>
      </c>
      <c r="E804">
        <v>1</v>
      </c>
      <c r="F804">
        <v>1</v>
      </c>
    </row>
    <row r="805" spans="1:6">
      <c r="A805" t="s">
        <v>106</v>
      </c>
      <c r="B805" t="s">
        <v>393</v>
      </c>
      <c r="C805" s="3"/>
      <c r="D805">
        <v>0</v>
      </c>
      <c r="E805">
        <v>1</v>
      </c>
      <c r="F805">
        <v>1</v>
      </c>
    </row>
    <row r="806" spans="1:6">
      <c r="A806" t="s">
        <v>106</v>
      </c>
      <c r="B806" t="s">
        <v>394</v>
      </c>
      <c r="C806" s="3"/>
      <c r="D806">
        <v>0</v>
      </c>
      <c r="E806">
        <v>1</v>
      </c>
      <c r="F806">
        <v>1</v>
      </c>
    </row>
    <row r="807" spans="1:6">
      <c r="A807" t="s">
        <v>106</v>
      </c>
      <c r="B807" t="s">
        <v>39</v>
      </c>
      <c r="C807" s="3">
        <v>-5.14333552697486</v>
      </c>
      <c r="D807">
        <v>1</v>
      </c>
      <c r="E807">
        <v>1</v>
      </c>
      <c r="F807">
        <v>1</v>
      </c>
    </row>
    <row r="808" spans="1:6">
      <c r="A808" t="s">
        <v>106</v>
      </c>
      <c r="B808" t="s">
        <v>43</v>
      </c>
      <c r="C808" s="3">
        <v>-0.200000000000003</v>
      </c>
      <c r="D808">
        <v>1</v>
      </c>
      <c r="E808">
        <v>1</v>
      </c>
      <c r="F808">
        <v>1</v>
      </c>
    </row>
    <row r="809" spans="1:6">
      <c r="A809" t="s">
        <v>106</v>
      </c>
      <c r="B809" t="s">
        <v>44</v>
      </c>
      <c r="C809" s="3">
        <v>0.0999999999999943</v>
      </c>
      <c r="D809">
        <v>1</v>
      </c>
      <c r="E809">
        <v>1</v>
      </c>
      <c r="F809">
        <v>1</v>
      </c>
    </row>
    <row r="810" spans="1:6">
      <c r="A810" t="s">
        <v>106</v>
      </c>
      <c r="B810" t="s">
        <v>45</v>
      </c>
      <c r="C810" s="3">
        <v>0.299999999999997</v>
      </c>
      <c r="D810">
        <v>1</v>
      </c>
      <c r="E810">
        <v>1</v>
      </c>
      <c r="F810">
        <v>1</v>
      </c>
    </row>
    <row r="811" spans="1:6">
      <c r="A811" t="s">
        <v>106</v>
      </c>
      <c r="B811" t="s">
        <v>396</v>
      </c>
      <c r="C811" s="3"/>
      <c r="D811">
        <v>0</v>
      </c>
      <c r="E811">
        <v>1</v>
      </c>
      <c r="F811">
        <v>1</v>
      </c>
    </row>
    <row r="812" spans="1:6">
      <c r="A812" t="s">
        <v>107</v>
      </c>
      <c r="B812" t="s">
        <v>34</v>
      </c>
      <c r="C812" s="3">
        <v>25.74</v>
      </c>
      <c r="D812">
        <v>1</v>
      </c>
      <c r="E812">
        <v>1</v>
      </c>
      <c r="F812">
        <v>1</v>
      </c>
    </row>
    <row r="813" spans="1:6">
      <c r="A813" t="s">
        <v>107</v>
      </c>
      <c r="B813" t="s">
        <v>35</v>
      </c>
      <c r="C813" s="3">
        <v>8.2768</v>
      </c>
      <c r="D813">
        <v>1</v>
      </c>
      <c r="E813">
        <v>1</v>
      </c>
      <c r="F813">
        <v>1</v>
      </c>
    </row>
    <row r="814" spans="1:6">
      <c r="A814" t="s">
        <v>107</v>
      </c>
      <c r="B814" t="s">
        <v>36</v>
      </c>
      <c r="C814" s="3">
        <v>213.044832</v>
      </c>
      <c r="D814">
        <v>1</v>
      </c>
      <c r="E814">
        <v>1</v>
      </c>
      <c r="F814">
        <v>1</v>
      </c>
    </row>
    <row r="815" spans="1:6">
      <c r="A815" t="s">
        <v>107</v>
      </c>
      <c r="B815" t="s">
        <v>40</v>
      </c>
      <c r="C815" s="3">
        <v>99.8</v>
      </c>
      <c r="D815">
        <v>1</v>
      </c>
      <c r="E815">
        <v>1</v>
      </c>
      <c r="F815">
        <v>1</v>
      </c>
    </row>
    <row r="816" spans="1:6">
      <c r="A816" t="s">
        <v>107</v>
      </c>
      <c r="B816" t="s">
        <v>41</v>
      </c>
      <c r="C816" s="3">
        <v>97.7</v>
      </c>
      <c r="D816">
        <v>1</v>
      </c>
      <c r="E816">
        <v>1</v>
      </c>
      <c r="F816">
        <v>1</v>
      </c>
    </row>
    <row r="817" spans="1:6">
      <c r="A817" t="s">
        <v>107</v>
      </c>
      <c r="B817" t="s">
        <v>42</v>
      </c>
      <c r="C817" s="3">
        <v>99.1</v>
      </c>
      <c r="D817">
        <v>1</v>
      </c>
      <c r="E817">
        <v>1</v>
      </c>
      <c r="F817">
        <v>1</v>
      </c>
    </row>
    <row r="818" spans="1:6">
      <c r="A818" t="s">
        <v>107</v>
      </c>
      <c r="B818" t="s">
        <v>46</v>
      </c>
      <c r="C818" s="3">
        <v>97.5</v>
      </c>
      <c r="D818">
        <v>1</v>
      </c>
      <c r="E818">
        <v>1</v>
      </c>
      <c r="F818">
        <v>1</v>
      </c>
    </row>
    <row r="819" spans="1:6">
      <c r="A819" t="s">
        <v>107</v>
      </c>
      <c r="B819" t="s">
        <v>392</v>
      </c>
      <c r="C819" s="3"/>
      <c r="D819">
        <v>0</v>
      </c>
      <c r="E819">
        <v>1</v>
      </c>
      <c r="F819">
        <v>1</v>
      </c>
    </row>
    <row r="820" spans="1:6">
      <c r="A820" t="s">
        <v>107</v>
      </c>
      <c r="B820" t="s">
        <v>393</v>
      </c>
      <c r="C820" s="3"/>
      <c r="D820">
        <v>0</v>
      </c>
      <c r="E820">
        <v>1</v>
      </c>
      <c r="F820">
        <v>1</v>
      </c>
    </row>
    <row r="821" spans="1:6">
      <c r="A821" t="s">
        <v>107</v>
      </c>
      <c r="B821" t="s">
        <v>394</v>
      </c>
      <c r="C821" s="3"/>
      <c r="D821">
        <v>0</v>
      </c>
      <c r="E821">
        <v>1</v>
      </c>
      <c r="F821">
        <v>1</v>
      </c>
    </row>
    <row r="822" spans="1:6">
      <c r="A822" t="s">
        <v>107</v>
      </c>
      <c r="B822" t="s">
        <v>39</v>
      </c>
      <c r="C822" s="3">
        <v>6.66766637643919</v>
      </c>
      <c r="D822">
        <v>1</v>
      </c>
      <c r="E822">
        <v>1</v>
      </c>
      <c r="F822">
        <v>1</v>
      </c>
    </row>
    <row r="823" spans="1:6">
      <c r="A823" t="s">
        <v>107</v>
      </c>
      <c r="B823" t="s">
        <v>43</v>
      </c>
      <c r="C823" s="3">
        <v>-0.299999999999997</v>
      </c>
      <c r="D823">
        <v>1</v>
      </c>
      <c r="E823">
        <v>1</v>
      </c>
      <c r="F823">
        <v>1</v>
      </c>
    </row>
    <row r="824" spans="1:6">
      <c r="A824" t="s">
        <v>107</v>
      </c>
      <c r="B824" t="s">
        <v>44</v>
      </c>
      <c r="C824" s="3">
        <v>0.200000000000003</v>
      </c>
      <c r="D824">
        <v>1</v>
      </c>
      <c r="E824">
        <v>1</v>
      </c>
      <c r="F824">
        <v>1</v>
      </c>
    </row>
    <row r="825" spans="1:6">
      <c r="A825" t="s">
        <v>107</v>
      </c>
      <c r="B825" t="s">
        <v>45</v>
      </c>
      <c r="C825" s="3">
        <v>-0.100000000000009</v>
      </c>
      <c r="D825">
        <v>1</v>
      </c>
      <c r="E825">
        <v>1</v>
      </c>
      <c r="F825">
        <v>1</v>
      </c>
    </row>
    <row r="826" spans="1:6">
      <c r="A826" t="s">
        <v>107</v>
      </c>
      <c r="B826" t="s">
        <v>396</v>
      </c>
      <c r="C826" s="3"/>
      <c r="D826">
        <v>0</v>
      </c>
      <c r="E826">
        <v>1</v>
      </c>
      <c r="F826">
        <v>1</v>
      </c>
    </row>
    <row r="827" spans="1:6">
      <c r="A827" t="s">
        <v>108</v>
      </c>
      <c r="B827" t="s">
        <v>34</v>
      </c>
      <c r="C827" s="3">
        <v>26.65</v>
      </c>
      <c r="D827">
        <v>1</v>
      </c>
      <c r="E827">
        <v>1</v>
      </c>
      <c r="F827">
        <v>1</v>
      </c>
    </row>
    <row r="828" spans="1:6">
      <c r="A828" t="s">
        <v>108</v>
      </c>
      <c r="B828" t="s">
        <v>35</v>
      </c>
      <c r="C828" s="3">
        <v>8.2767</v>
      </c>
      <c r="D828">
        <v>1</v>
      </c>
      <c r="E828">
        <v>1</v>
      </c>
      <c r="F828">
        <v>1</v>
      </c>
    </row>
    <row r="829" spans="1:6">
      <c r="A829" t="s">
        <v>108</v>
      </c>
      <c r="B829" t="s">
        <v>36</v>
      </c>
      <c r="C829" s="3">
        <v>220.574055</v>
      </c>
      <c r="D829">
        <v>1</v>
      </c>
      <c r="E829">
        <v>1</v>
      </c>
      <c r="F829">
        <v>1</v>
      </c>
    </row>
    <row r="830" spans="1:6">
      <c r="A830" t="s">
        <v>108</v>
      </c>
      <c r="B830" t="s">
        <v>40</v>
      </c>
      <c r="C830" s="3">
        <v>100.7</v>
      </c>
      <c r="D830">
        <v>1</v>
      </c>
      <c r="E830">
        <v>1</v>
      </c>
      <c r="F830">
        <v>1</v>
      </c>
    </row>
    <row r="831" spans="1:6">
      <c r="A831" t="s">
        <v>108</v>
      </c>
      <c r="B831" t="s">
        <v>41</v>
      </c>
      <c r="C831" s="3">
        <v>98.3</v>
      </c>
      <c r="D831">
        <v>1</v>
      </c>
      <c r="E831">
        <v>1</v>
      </c>
      <c r="F831">
        <v>1</v>
      </c>
    </row>
    <row r="832" spans="1:6">
      <c r="A832" t="s">
        <v>108</v>
      </c>
      <c r="B832" t="s">
        <v>42</v>
      </c>
      <c r="C832" s="3">
        <v>99.3</v>
      </c>
      <c r="D832">
        <v>1</v>
      </c>
      <c r="E832">
        <v>1</v>
      </c>
      <c r="F832">
        <v>1</v>
      </c>
    </row>
    <row r="833" spans="1:6">
      <c r="A833" t="s">
        <v>108</v>
      </c>
      <c r="B833" t="s">
        <v>46</v>
      </c>
      <c r="C833" s="3">
        <v>98</v>
      </c>
      <c r="D833">
        <v>1</v>
      </c>
      <c r="E833">
        <v>1</v>
      </c>
      <c r="F833">
        <v>1</v>
      </c>
    </row>
    <row r="834" spans="1:6">
      <c r="A834" t="s">
        <v>108</v>
      </c>
      <c r="B834" t="s">
        <v>392</v>
      </c>
      <c r="C834" s="3"/>
      <c r="D834">
        <v>0</v>
      </c>
      <c r="E834">
        <v>1</v>
      </c>
      <c r="F834">
        <v>1</v>
      </c>
    </row>
    <row r="835" spans="1:6">
      <c r="A835" t="s">
        <v>108</v>
      </c>
      <c r="B835" t="s">
        <v>393</v>
      </c>
      <c r="C835" s="3"/>
      <c r="D835">
        <v>0</v>
      </c>
      <c r="E835">
        <v>1</v>
      </c>
      <c r="F835">
        <v>1</v>
      </c>
    </row>
    <row r="836" spans="1:6">
      <c r="A836" t="s">
        <v>108</v>
      </c>
      <c r="B836" t="s">
        <v>394</v>
      </c>
      <c r="C836" s="3"/>
      <c r="D836">
        <v>0</v>
      </c>
      <c r="E836">
        <v>1</v>
      </c>
      <c r="F836">
        <v>1</v>
      </c>
    </row>
    <row r="837" spans="1:6">
      <c r="A837" t="s">
        <v>108</v>
      </c>
      <c r="B837" t="s">
        <v>39</v>
      </c>
      <c r="C837" s="3">
        <v>3.47308664068414</v>
      </c>
      <c r="D837">
        <v>1</v>
      </c>
      <c r="E837">
        <v>1</v>
      </c>
      <c r="F837">
        <v>1</v>
      </c>
    </row>
    <row r="838" spans="1:6">
      <c r="A838" t="s">
        <v>108</v>
      </c>
      <c r="B838" t="s">
        <v>43</v>
      </c>
      <c r="C838" s="3">
        <v>0.900000000000006</v>
      </c>
      <c r="D838">
        <v>1</v>
      </c>
      <c r="E838">
        <v>1</v>
      </c>
      <c r="F838">
        <v>1</v>
      </c>
    </row>
    <row r="839" spans="1:6">
      <c r="A839" t="s">
        <v>108</v>
      </c>
      <c r="B839" t="s">
        <v>44</v>
      </c>
      <c r="C839" s="3">
        <v>0.599999999999994</v>
      </c>
      <c r="D839">
        <v>1</v>
      </c>
      <c r="E839">
        <v>1</v>
      </c>
      <c r="F839">
        <v>1</v>
      </c>
    </row>
    <row r="840" spans="1:6">
      <c r="A840" t="s">
        <v>108</v>
      </c>
      <c r="B840" t="s">
        <v>45</v>
      </c>
      <c r="C840" s="3">
        <v>0.200000000000003</v>
      </c>
      <c r="D840">
        <v>1</v>
      </c>
      <c r="E840">
        <v>1</v>
      </c>
      <c r="F840">
        <v>1</v>
      </c>
    </row>
    <row r="841" spans="1:6">
      <c r="A841" t="s">
        <v>108</v>
      </c>
      <c r="B841" t="s">
        <v>396</v>
      </c>
      <c r="C841" s="3"/>
      <c r="D841">
        <v>0</v>
      </c>
      <c r="E841">
        <v>1</v>
      </c>
      <c r="F841">
        <v>1</v>
      </c>
    </row>
    <row r="842" spans="1:6">
      <c r="A842" t="s">
        <v>109</v>
      </c>
      <c r="B842" t="s">
        <v>34</v>
      </c>
      <c r="C842" s="3">
        <v>28.4</v>
      </c>
      <c r="D842">
        <v>1</v>
      </c>
      <c r="E842">
        <v>1</v>
      </c>
      <c r="F842">
        <v>1</v>
      </c>
    </row>
    <row r="843" spans="1:6">
      <c r="A843" t="s">
        <v>109</v>
      </c>
      <c r="B843" t="s">
        <v>35</v>
      </c>
      <c r="C843" s="3">
        <v>8.277</v>
      </c>
      <c r="D843">
        <v>1</v>
      </c>
      <c r="E843">
        <v>1</v>
      </c>
      <c r="F843">
        <v>1</v>
      </c>
    </row>
    <row r="844" spans="1:6">
      <c r="A844" t="s">
        <v>109</v>
      </c>
      <c r="B844" t="s">
        <v>36</v>
      </c>
      <c r="C844" s="3">
        <v>235.0668</v>
      </c>
      <c r="D844">
        <v>1</v>
      </c>
      <c r="E844">
        <v>1</v>
      </c>
      <c r="F844">
        <v>1</v>
      </c>
    </row>
    <row r="845" spans="1:6">
      <c r="A845" t="s">
        <v>109</v>
      </c>
      <c r="B845" t="s">
        <v>40</v>
      </c>
      <c r="C845" s="3">
        <v>101.8</v>
      </c>
      <c r="D845">
        <v>1</v>
      </c>
      <c r="E845">
        <v>1</v>
      </c>
      <c r="F845">
        <v>1</v>
      </c>
    </row>
    <row r="846" spans="1:6">
      <c r="A846" t="s">
        <v>109</v>
      </c>
      <c r="B846" t="s">
        <v>41</v>
      </c>
      <c r="C846" s="3">
        <v>98.6</v>
      </c>
      <c r="D846">
        <v>1</v>
      </c>
      <c r="E846">
        <v>1</v>
      </c>
      <c r="F846">
        <v>1</v>
      </c>
    </row>
    <row r="847" spans="1:6">
      <c r="A847" t="s">
        <v>109</v>
      </c>
      <c r="B847" t="s">
        <v>42</v>
      </c>
      <c r="C847" s="3">
        <v>99.3</v>
      </c>
      <c r="D847">
        <v>1</v>
      </c>
      <c r="E847">
        <v>1</v>
      </c>
      <c r="F847">
        <v>1</v>
      </c>
    </row>
    <row r="848" spans="1:6">
      <c r="A848" t="s">
        <v>109</v>
      </c>
      <c r="B848" t="s">
        <v>46</v>
      </c>
      <c r="C848" s="3">
        <v>98.8</v>
      </c>
      <c r="D848">
        <v>1</v>
      </c>
      <c r="E848">
        <v>1</v>
      </c>
      <c r="F848">
        <v>1</v>
      </c>
    </row>
    <row r="849" spans="1:6">
      <c r="A849" t="s">
        <v>109</v>
      </c>
      <c r="B849" t="s">
        <v>392</v>
      </c>
      <c r="C849" s="3"/>
      <c r="D849">
        <v>0</v>
      </c>
      <c r="E849">
        <v>1</v>
      </c>
      <c r="F849">
        <v>1</v>
      </c>
    </row>
    <row r="850" spans="1:6">
      <c r="A850" t="s">
        <v>109</v>
      </c>
      <c r="B850" t="s">
        <v>393</v>
      </c>
      <c r="C850" s="3"/>
      <c r="D850">
        <v>0</v>
      </c>
      <c r="E850">
        <v>1</v>
      </c>
      <c r="F850">
        <v>1</v>
      </c>
    </row>
    <row r="851" spans="1:6">
      <c r="A851" t="s">
        <v>109</v>
      </c>
      <c r="B851" t="s">
        <v>394</v>
      </c>
      <c r="C851" s="3"/>
      <c r="D851">
        <v>0</v>
      </c>
      <c r="E851">
        <v>1</v>
      </c>
      <c r="F851">
        <v>1</v>
      </c>
    </row>
    <row r="852" spans="1:6">
      <c r="A852" t="s">
        <v>109</v>
      </c>
      <c r="B852" t="s">
        <v>39</v>
      </c>
      <c r="C852" s="3">
        <v>6.36362402284835</v>
      </c>
      <c r="D852">
        <v>1</v>
      </c>
      <c r="E852">
        <v>1</v>
      </c>
      <c r="F852">
        <v>1</v>
      </c>
    </row>
    <row r="853" spans="1:6">
      <c r="A853" t="s">
        <v>109</v>
      </c>
      <c r="B853" t="s">
        <v>43</v>
      </c>
      <c r="C853" s="3">
        <v>1.09999999999999</v>
      </c>
      <c r="D853">
        <v>1</v>
      </c>
      <c r="E853">
        <v>1</v>
      </c>
      <c r="F853">
        <v>1</v>
      </c>
    </row>
    <row r="854" spans="1:6">
      <c r="A854" t="s">
        <v>109</v>
      </c>
      <c r="B854" t="s">
        <v>44</v>
      </c>
      <c r="C854" s="3">
        <v>0.299999999999997</v>
      </c>
      <c r="D854">
        <v>1</v>
      </c>
      <c r="E854">
        <v>1</v>
      </c>
      <c r="F854">
        <v>1</v>
      </c>
    </row>
    <row r="855" spans="1:6">
      <c r="A855" t="s">
        <v>109</v>
      </c>
      <c r="B855" t="s">
        <v>45</v>
      </c>
      <c r="C855" s="3">
        <v>0</v>
      </c>
      <c r="D855">
        <v>1</v>
      </c>
      <c r="E855">
        <v>1</v>
      </c>
      <c r="F855">
        <v>1</v>
      </c>
    </row>
    <row r="856" spans="1:6">
      <c r="A856" t="s">
        <v>109</v>
      </c>
      <c r="B856" t="s">
        <v>396</v>
      </c>
      <c r="C856" s="3"/>
      <c r="D856">
        <v>0</v>
      </c>
      <c r="E856">
        <v>1</v>
      </c>
      <c r="F856">
        <v>1</v>
      </c>
    </row>
    <row r="857" spans="1:6">
      <c r="A857" t="s">
        <v>110</v>
      </c>
      <c r="B857" t="s">
        <v>34</v>
      </c>
      <c r="C857" s="3">
        <v>27.54</v>
      </c>
      <c r="D857">
        <v>1</v>
      </c>
      <c r="E857">
        <v>1</v>
      </c>
      <c r="F857">
        <v>1</v>
      </c>
    </row>
    <row r="858" spans="1:6">
      <c r="A858" t="s">
        <v>110</v>
      </c>
      <c r="B858" t="s">
        <v>35</v>
      </c>
      <c r="C858" s="3">
        <v>8.2772</v>
      </c>
      <c r="D858">
        <v>1</v>
      </c>
      <c r="E858">
        <v>1</v>
      </c>
      <c r="F858">
        <v>1</v>
      </c>
    </row>
    <row r="859" spans="1:6">
      <c r="A859" t="s">
        <v>110</v>
      </c>
      <c r="B859" t="s">
        <v>36</v>
      </c>
      <c r="C859" s="3">
        <v>227.954088</v>
      </c>
      <c r="D859">
        <v>1</v>
      </c>
      <c r="E859">
        <v>1</v>
      </c>
      <c r="F859">
        <v>1</v>
      </c>
    </row>
    <row r="860" spans="1:6">
      <c r="A860" t="s">
        <v>110</v>
      </c>
      <c r="B860" t="s">
        <v>40</v>
      </c>
      <c r="C860" s="3">
        <v>102.6</v>
      </c>
      <c r="D860">
        <v>1</v>
      </c>
      <c r="E860">
        <v>1</v>
      </c>
      <c r="F860">
        <v>1</v>
      </c>
    </row>
    <row r="861" spans="1:6">
      <c r="A861" t="s">
        <v>110</v>
      </c>
      <c r="B861" t="s">
        <v>41</v>
      </c>
      <c r="C861" s="3">
        <v>99</v>
      </c>
      <c r="D861">
        <v>1</v>
      </c>
      <c r="E861">
        <v>1</v>
      </c>
      <c r="F861">
        <v>1</v>
      </c>
    </row>
    <row r="862" spans="1:6">
      <c r="A862" t="s">
        <v>110</v>
      </c>
      <c r="B862" t="s">
        <v>42</v>
      </c>
      <c r="C862" s="3">
        <v>99.2</v>
      </c>
      <c r="D862">
        <v>1</v>
      </c>
      <c r="E862">
        <v>1</v>
      </c>
      <c r="F862">
        <v>1</v>
      </c>
    </row>
    <row r="863" spans="1:6">
      <c r="A863" t="s">
        <v>110</v>
      </c>
      <c r="B863" t="s">
        <v>46</v>
      </c>
      <c r="C863" s="3">
        <v>99.4</v>
      </c>
      <c r="D863">
        <v>1</v>
      </c>
      <c r="E863">
        <v>1</v>
      </c>
      <c r="F863">
        <v>1</v>
      </c>
    </row>
    <row r="864" spans="1:6">
      <c r="A864" t="s">
        <v>110</v>
      </c>
      <c r="B864" t="s">
        <v>392</v>
      </c>
      <c r="C864" s="3"/>
      <c r="D864">
        <v>0</v>
      </c>
      <c r="E864">
        <v>1</v>
      </c>
      <c r="F864">
        <v>1</v>
      </c>
    </row>
    <row r="865" spans="1:6">
      <c r="A865" t="s">
        <v>110</v>
      </c>
      <c r="B865" t="s">
        <v>393</v>
      </c>
      <c r="C865" s="3"/>
      <c r="D865">
        <v>0</v>
      </c>
      <c r="E865">
        <v>1</v>
      </c>
      <c r="F865">
        <v>1</v>
      </c>
    </row>
    <row r="866" spans="1:6">
      <c r="A866" t="s">
        <v>110</v>
      </c>
      <c r="B866" t="s">
        <v>394</v>
      </c>
      <c r="C866" s="3"/>
      <c r="D866">
        <v>0</v>
      </c>
      <c r="E866">
        <v>1</v>
      </c>
      <c r="F866">
        <v>1</v>
      </c>
    </row>
    <row r="867" spans="1:6">
      <c r="A867" t="s">
        <v>110</v>
      </c>
      <c r="B867" t="s">
        <v>39</v>
      </c>
      <c r="C867" s="3">
        <v>-3.07254888143735</v>
      </c>
      <c r="D867">
        <v>1</v>
      </c>
      <c r="E867">
        <v>1</v>
      </c>
      <c r="F867">
        <v>1</v>
      </c>
    </row>
    <row r="868" spans="1:6">
      <c r="A868" t="s">
        <v>110</v>
      </c>
      <c r="B868" t="s">
        <v>43</v>
      </c>
      <c r="C868" s="3">
        <v>0.799999999999997</v>
      </c>
      <c r="D868">
        <v>1</v>
      </c>
      <c r="E868">
        <v>1</v>
      </c>
      <c r="F868">
        <v>1</v>
      </c>
    </row>
    <row r="869" spans="1:6">
      <c r="A869" t="s">
        <v>110</v>
      </c>
      <c r="B869" t="s">
        <v>44</v>
      </c>
      <c r="C869" s="3">
        <v>0.400000000000006</v>
      </c>
      <c r="D869">
        <v>1</v>
      </c>
      <c r="E869">
        <v>1</v>
      </c>
      <c r="F869">
        <v>1</v>
      </c>
    </row>
    <row r="870" spans="1:6">
      <c r="A870" t="s">
        <v>110</v>
      </c>
      <c r="B870" t="s">
        <v>45</v>
      </c>
      <c r="C870" s="3">
        <v>-0.0999999999999943</v>
      </c>
      <c r="D870">
        <v>1</v>
      </c>
      <c r="E870">
        <v>1</v>
      </c>
      <c r="F870">
        <v>1</v>
      </c>
    </row>
    <row r="871" spans="1:6">
      <c r="A871" t="s">
        <v>110</v>
      </c>
      <c r="B871" t="s">
        <v>396</v>
      </c>
      <c r="C871" s="3"/>
      <c r="D871">
        <v>0</v>
      </c>
      <c r="E871">
        <v>1</v>
      </c>
      <c r="F871">
        <v>1</v>
      </c>
    </row>
    <row r="872" spans="1:6">
      <c r="A872" t="s">
        <v>111</v>
      </c>
      <c r="B872" t="s">
        <v>34</v>
      </c>
      <c r="C872" s="3">
        <v>24.34</v>
      </c>
      <c r="D872">
        <v>1</v>
      </c>
      <c r="E872">
        <v>1</v>
      </c>
      <c r="F872">
        <v>1</v>
      </c>
    </row>
    <row r="873" spans="1:6">
      <c r="A873" t="s">
        <v>111</v>
      </c>
      <c r="B873" t="s">
        <v>35</v>
      </c>
      <c r="C873" s="3">
        <v>8.2772</v>
      </c>
      <c r="D873">
        <v>1</v>
      </c>
      <c r="E873">
        <v>1</v>
      </c>
      <c r="F873">
        <v>1</v>
      </c>
    </row>
    <row r="874" spans="1:6">
      <c r="A874" t="s">
        <v>111</v>
      </c>
      <c r="B874" t="s">
        <v>36</v>
      </c>
      <c r="C874" s="3">
        <v>201.467048</v>
      </c>
      <c r="D874">
        <v>1</v>
      </c>
      <c r="E874">
        <v>1</v>
      </c>
      <c r="F874">
        <v>1</v>
      </c>
    </row>
    <row r="875" spans="1:6">
      <c r="A875" t="s">
        <v>111</v>
      </c>
      <c r="B875" t="s">
        <v>40</v>
      </c>
      <c r="C875" s="3">
        <v>105.7</v>
      </c>
      <c r="D875">
        <v>1</v>
      </c>
      <c r="E875">
        <v>1</v>
      </c>
      <c r="F875">
        <v>1</v>
      </c>
    </row>
    <row r="876" spans="1:6">
      <c r="A876" t="s">
        <v>111</v>
      </c>
      <c r="B876" t="s">
        <v>41</v>
      </c>
      <c r="C876" s="3">
        <v>99.6</v>
      </c>
      <c r="D876">
        <v>1</v>
      </c>
      <c r="E876">
        <v>1</v>
      </c>
      <c r="F876">
        <v>1</v>
      </c>
    </row>
    <row r="877" spans="1:6">
      <c r="A877" t="s">
        <v>111</v>
      </c>
      <c r="B877" t="s">
        <v>42</v>
      </c>
      <c r="C877" s="3">
        <v>99.3</v>
      </c>
      <c r="D877">
        <v>1</v>
      </c>
      <c r="E877">
        <v>1</v>
      </c>
      <c r="F877">
        <v>1</v>
      </c>
    </row>
    <row r="878" spans="1:6">
      <c r="A878" t="s">
        <v>111</v>
      </c>
      <c r="B878" t="s">
        <v>46</v>
      </c>
      <c r="C878" s="3">
        <v>100.5</v>
      </c>
      <c r="D878">
        <v>1</v>
      </c>
      <c r="E878">
        <v>1</v>
      </c>
      <c r="F878">
        <v>1</v>
      </c>
    </row>
    <row r="879" spans="1:6">
      <c r="A879" t="s">
        <v>111</v>
      </c>
      <c r="B879" t="s">
        <v>392</v>
      </c>
      <c r="C879" s="3"/>
      <c r="D879">
        <v>0</v>
      </c>
      <c r="E879">
        <v>1</v>
      </c>
      <c r="F879">
        <v>1</v>
      </c>
    </row>
    <row r="880" spans="1:6">
      <c r="A880" t="s">
        <v>111</v>
      </c>
      <c r="B880" t="s">
        <v>393</v>
      </c>
      <c r="C880" s="3"/>
      <c r="D880">
        <v>0</v>
      </c>
      <c r="E880">
        <v>1</v>
      </c>
      <c r="F880">
        <v>1</v>
      </c>
    </row>
    <row r="881" spans="1:6">
      <c r="A881" t="s">
        <v>111</v>
      </c>
      <c r="B881" t="s">
        <v>394</v>
      </c>
      <c r="C881" s="3"/>
      <c r="D881">
        <v>0</v>
      </c>
      <c r="E881">
        <v>1</v>
      </c>
      <c r="F881">
        <v>1</v>
      </c>
    </row>
    <row r="882" spans="1:6">
      <c r="A882" t="s">
        <v>111</v>
      </c>
      <c r="B882" t="s">
        <v>39</v>
      </c>
      <c r="C882" s="3">
        <v>-12.3518405741128</v>
      </c>
      <c r="D882">
        <v>1</v>
      </c>
      <c r="E882">
        <v>1</v>
      </c>
      <c r="F882">
        <v>1</v>
      </c>
    </row>
    <row r="883" spans="1:6">
      <c r="A883" t="s">
        <v>111</v>
      </c>
      <c r="B883" t="s">
        <v>43</v>
      </c>
      <c r="C883" s="3">
        <v>3.10000000000001</v>
      </c>
      <c r="D883">
        <v>1</v>
      </c>
      <c r="E883">
        <v>1</v>
      </c>
      <c r="F883">
        <v>1</v>
      </c>
    </row>
    <row r="884" spans="1:6">
      <c r="A884" t="s">
        <v>111</v>
      </c>
      <c r="B884" t="s">
        <v>44</v>
      </c>
      <c r="C884" s="3">
        <v>0.599999999999994</v>
      </c>
      <c r="D884">
        <v>1</v>
      </c>
      <c r="E884">
        <v>1</v>
      </c>
      <c r="F884">
        <v>1</v>
      </c>
    </row>
    <row r="885" spans="1:6">
      <c r="A885" t="s">
        <v>111</v>
      </c>
      <c r="B885" t="s">
        <v>45</v>
      </c>
      <c r="C885" s="3">
        <v>0.0999999999999943</v>
      </c>
      <c r="D885">
        <v>1</v>
      </c>
      <c r="E885">
        <v>1</v>
      </c>
      <c r="F885">
        <v>1</v>
      </c>
    </row>
    <row r="886" spans="1:6">
      <c r="A886" t="s">
        <v>111</v>
      </c>
      <c r="B886" t="s">
        <v>396</v>
      </c>
      <c r="C886" s="3"/>
      <c r="D886">
        <v>0</v>
      </c>
      <c r="E886">
        <v>1</v>
      </c>
      <c r="F886">
        <v>1</v>
      </c>
    </row>
    <row r="887" spans="1:6">
      <c r="A887" t="s">
        <v>112</v>
      </c>
      <c r="B887" t="s">
        <v>34</v>
      </c>
      <c r="C887" s="3">
        <v>28.33</v>
      </c>
      <c r="D887">
        <v>1</v>
      </c>
      <c r="E887">
        <v>1</v>
      </c>
      <c r="F887">
        <v>1</v>
      </c>
    </row>
    <row r="888" spans="1:6">
      <c r="A888" t="s">
        <v>112</v>
      </c>
      <c r="B888" t="s">
        <v>35</v>
      </c>
      <c r="C888" s="3">
        <v>8.2777</v>
      </c>
      <c r="D888">
        <v>1</v>
      </c>
      <c r="E888">
        <v>1</v>
      </c>
      <c r="F888">
        <v>1</v>
      </c>
    </row>
    <row r="889" spans="1:6">
      <c r="A889" t="s">
        <v>112</v>
      </c>
      <c r="B889" t="s">
        <v>36</v>
      </c>
      <c r="C889" s="3">
        <v>234.507241</v>
      </c>
      <c r="D889">
        <v>1</v>
      </c>
      <c r="E889">
        <v>1</v>
      </c>
      <c r="F889">
        <v>1</v>
      </c>
    </row>
    <row r="890" spans="1:6">
      <c r="A890" t="s">
        <v>112</v>
      </c>
      <c r="B890" t="s">
        <v>40</v>
      </c>
      <c r="C890" s="3">
        <v>107.2</v>
      </c>
      <c r="D890">
        <v>1</v>
      </c>
      <c r="E890">
        <v>1</v>
      </c>
      <c r="F890">
        <v>1</v>
      </c>
    </row>
    <row r="891" spans="1:6">
      <c r="A891" t="s">
        <v>112</v>
      </c>
      <c r="B891" t="s">
        <v>41</v>
      </c>
      <c r="C891" s="3">
        <v>100.4</v>
      </c>
      <c r="D891">
        <v>1</v>
      </c>
      <c r="E891">
        <v>1</v>
      </c>
      <c r="F891">
        <v>1</v>
      </c>
    </row>
    <row r="892" spans="1:6">
      <c r="A892" t="s">
        <v>112</v>
      </c>
      <c r="B892" t="s">
        <v>42</v>
      </c>
      <c r="C892" s="3">
        <v>99.6</v>
      </c>
      <c r="D892">
        <v>1</v>
      </c>
      <c r="E892">
        <v>1</v>
      </c>
      <c r="F892">
        <v>1</v>
      </c>
    </row>
    <row r="893" spans="1:6">
      <c r="A893" t="s">
        <v>112</v>
      </c>
      <c r="B893" t="s">
        <v>46</v>
      </c>
      <c r="C893" s="3">
        <v>101.3</v>
      </c>
      <c r="D893">
        <v>1</v>
      </c>
      <c r="E893">
        <v>1</v>
      </c>
      <c r="F893">
        <v>1</v>
      </c>
    </row>
    <row r="894" spans="1:6">
      <c r="A894" t="s">
        <v>112</v>
      </c>
      <c r="B894" t="s">
        <v>392</v>
      </c>
      <c r="C894" s="3"/>
      <c r="D894">
        <v>0</v>
      </c>
      <c r="E894">
        <v>1</v>
      </c>
      <c r="F894">
        <v>1</v>
      </c>
    </row>
    <row r="895" spans="1:6">
      <c r="A895" t="s">
        <v>112</v>
      </c>
      <c r="B895" t="s">
        <v>393</v>
      </c>
      <c r="C895" s="3"/>
      <c r="D895">
        <v>0</v>
      </c>
      <c r="E895">
        <v>1</v>
      </c>
      <c r="F895">
        <v>1</v>
      </c>
    </row>
    <row r="896" spans="1:6">
      <c r="A896" t="s">
        <v>112</v>
      </c>
      <c r="B896" t="s">
        <v>394</v>
      </c>
      <c r="C896" s="3"/>
      <c r="D896">
        <v>0</v>
      </c>
      <c r="E896">
        <v>1</v>
      </c>
      <c r="F896">
        <v>1</v>
      </c>
    </row>
    <row r="897" spans="1:6">
      <c r="A897" t="s">
        <v>112</v>
      </c>
      <c r="B897" t="s">
        <v>39</v>
      </c>
      <c r="C897" s="3">
        <v>15.1860631359505</v>
      </c>
      <c r="D897">
        <v>1</v>
      </c>
      <c r="E897">
        <v>1</v>
      </c>
      <c r="F897">
        <v>1</v>
      </c>
    </row>
    <row r="898" spans="1:6">
      <c r="A898" t="s">
        <v>112</v>
      </c>
      <c r="B898" t="s">
        <v>43</v>
      </c>
      <c r="C898" s="3">
        <v>1.5</v>
      </c>
      <c r="D898">
        <v>1</v>
      </c>
      <c r="E898">
        <v>1</v>
      </c>
      <c r="F898">
        <v>1</v>
      </c>
    </row>
    <row r="899" spans="1:6">
      <c r="A899" t="s">
        <v>112</v>
      </c>
      <c r="B899" t="s">
        <v>44</v>
      </c>
      <c r="C899" s="3">
        <v>0.800000000000011</v>
      </c>
      <c r="D899">
        <v>1</v>
      </c>
      <c r="E899">
        <v>1</v>
      </c>
      <c r="F899">
        <v>1</v>
      </c>
    </row>
    <row r="900" spans="1:6">
      <c r="A900" t="s">
        <v>112</v>
      </c>
      <c r="B900" t="s">
        <v>45</v>
      </c>
      <c r="C900" s="3">
        <v>0.299999999999997</v>
      </c>
      <c r="D900">
        <v>1</v>
      </c>
      <c r="E900">
        <v>1</v>
      </c>
      <c r="F900">
        <v>1</v>
      </c>
    </row>
    <row r="901" spans="1:6">
      <c r="A901" t="s">
        <v>112</v>
      </c>
      <c r="B901" t="s">
        <v>396</v>
      </c>
      <c r="C901" s="3"/>
      <c r="D901">
        <v>0</v>
      </c>
      <c r="E901">
        <v>1</v>
      </c>
      <c r="F901">
        <v>1</v>
      </c>
    </row>
    <row r="902" spans="1:6">
      <c r="A902" t="s">
        <v>113</v>
      </c>
      <c r="B902" t="s">
        <v>34</v>
      </c>
      <c r="C902" s="3">
        <v>31.18</v>
      </c>
      <c r="D902">
        <v>1</v>
      </c>
      <c r="E902">
        <v>1</v>
      </c>
      <c r="F902">
        <v>1</v>
      </c>
    </row>
    <row r="903" spans="1:6">
      <c r="A903" t="s">
        <v>113</v>
      </c>
      <c r="B903" t="s">
        <v>35</v>
      </c>
      <c r="C903" s="3">
        <v>8.2775</v>
      </c>
      <c r="D903">
        <v>1</v>
      </c>
      <c r="E903">
        <v>1</v>
      </c>
      <c r="F903">
        <v>1</v>
      </c>
    </row>
    <row r="904" spans="1:6">
      <c r="A904" t="s">
        <v>113</v>
      </c>
      <c r="B904" t="s">
        <v>36</v>
      </c>
      <c r="C904" s="3">
        <v>258.09245</v>
      </c>
      <c r="D904">
        <v>1</v>
      </c>
      <c r="E904">
        <v>1</v>
      </c>
      <c r="F904">
        <v>1</v>
      </c>
    </row>
    <row r="905" spans="1:6">
      <c r="A905" t="s">
        <v>113</v>
      </c>
      <c r="B905" t="s">
        <v>40</v>
      </c>
      <c r="C905" s="3">
        <v>110.2</v>
      </c>
      <c r="D905">
        <v>1</v>
      </c>
      <c r="E905">
        <v>1</v>
      </c>
      <c r="F905">
        <v>1</v>
      </c>
    </row>
    <row r="906" spans="1:6">
      <c r="A906" t="s">
        <v>113</v>
      </c>
      <c r="B906" t="s">
        <v>41</v>
      </c>
      <c r="C906" s="3">
        <v>102.4</v>
      </c>
      <c r="D906">
        <v>1</v>
      </c>
      <c r="E906">
        <v>1</v>
      </c>
      <c r="F906">
        <v>1</v>
      </c>
    </row>
    <row r="907" spans="1:6">
      <c r="A907" t="s">
        <v>113</v>
      </c>
      <c r="B907" t="s">
        <v>42</v>
      </c>
      <c r="C907" s="3">
        <v>100.4</v>
      </c>
      <c r="D907">
        <v>1</v>
      </c>
      <c r="E907">
        <v>1</v>
      </c>
      <c r="F907">
        <v>1</v>
      </c>
    </row>
    <row r="908" spans="1:6">
      <c r="A908" t="s">
        <v>113</v>
      </c>
      <c r="B908" t="s">
        <v>46</v>
      </c>
      <c r="C908" s="3">
        <v>103.2</v>
      </c>
      <c r="D908">
        <v>1</v>
      </c>
      <c r="E908">
        <v>1</v>
      </c>
      <c r="F908">
        <v>1</v>
      </c>
    </row>
    <row r="909" spans="1:6">
      <c r="A909" t="s">
        <v>113</v>
      </c>
      <c r="B909" t="s">
        <v>392</v>
      </c>
      <c r="C909" s="3"/>
      <c r="D909">
        <v>0</v>
      </c>
      <c r="E909">
        <v>1</v>
      </c>
      <c r="F909">
        <v>1</v>
      </c>
    </row>
    <row r="910" spans="1:6">
      <c r="A910" t="s">
        <v>113</v>
      </c>
      <c r="B910" t="s">
        <v>393</v>
      </c>
      <c r="C910" s="3"/>
      <c r="D910">
        <v>0</v>
      </c>
      <c r="E910">
        <v>1</v>
      </c>
      <c r="F910">
        <v>1</v>
      </c>
    </row>
    <row r="911" spans="1:6">
      <c r="A911" t="s">
        <v>113</v>
      </c>
      <c r="B911" t="s">
        <v>394</v>
      </c>
      <c r="C911" s="3"/>
      <c r="D911">
        <v>0</v>
      </c>
      <c r="E911">
        <v>1</v>
      </c>
      <c r="F911">
        <v>1</v>
      </c>
    </row>
    <row r="912" spans="1:6">
      <c r="A912" t="s">
        <v>113</v>
      </c>
      <c r="B912" t="s">
        <v>39</v>
      </c>
      <c r="C912" s="3">
        <v>9.5831388194472</v>
      </c>
      <c r="D912">
        <v>1</v>
      </c>
      <c r="E912">
        <v>1</v>
      </c>
      <c r="F912">
        <v>1</v>
      </c>
    </row>
    <row r="913" spans="1:6">
      <c r="A913" t="s">
        <v>113</v>
      </c>
      <c r="B913" t="s">
        <v>43</v>
      </c>
      <c r="C913" s="3">
        <v>3</v>
      </c>
      <c r="D913">
        <v>1</v>
      </c>
      <c r="E913">
        <v>1</v>
      </c>
      <c r="F913">
        <v>1</v>
      </c>
    </row>
    <row r="914" spans="1:6">
      <c r="A914" t="s">
        <v>113</v>
      </c>
      <c r="B914" t="s">
        <v>44</v>
      </c>
      <c r="C914" s="3">
        <v>2</v>
      </c>
      <c r="D914">
        <v>1</v>
      </c>
      <c r="E914">
        <v>1</v>
      </c>
      <c r="F914">
        <v>1</v>
      </c>
    </row>
    <row r="915" spans="1:6">
      <c r="A915" t="s">
        <v>113</v>
      </c>
      <c r="B915" t="s">
        <v>45</v>
      </c>
      <c r="C915" s="3">
        <v>0.800000000000011</v>
      </c>
      <c r="D915">
        <v>1</v>
      </c>
      <c r="E915">
        <v>1</v>
      </c>
      <c r="F915">
        <v>1</v>
      </c>
    </row>
    <row r="916" spans="1:6">
      <c r="A916" t="s">
        <v>113</v>
      </c>
      <c r="B916" t="s">
        <v>396</v>
      </c>
      <c r="C916" s="3"/>
      <c r="D916">
        <v>0</v>
      </c>
      <c r="E916">
        <v>1</v>
      </c>
      <c r="F916">
        <v>1</v>
      </c>
    </row>
    <row r="917" spans="1:6">
      <c r="A917" t="s">
        <v>114</v>
      </c>
      <c r="B917" t="s">
        <v>34</v>
      </c>
      <c r="C917" s="3">
        <v>32.77</v>
      </c>
      <c r="D917">
        <v>1</v>
      </c>
      <c r="E917">
        <v>1</v>
      </c>
      <c r="F917">
        <v>1</v>
      </c>
    </row>
    <row r="918" spans="1:6">
      <c r="A918" t="s">
        <v>114</v>
      </c>
      <c r="B918" t="s">
        <v>35</v>
      </c>
      <c r="C918" s="3">
        <v>8.278</v>
      </c>
      <c r="D918">
        <v>1</v>
      </c>
      <c r="E918">
        <v>1</v>
      </c>
      <c r="F918">
        <v>1</v>
      </c>
    </row>
    <row r="919" spans="1:6">
      <c r="A919" t="s">
        <v>114</v>
      </c>
      <c r="B919" t="s">
        <v>36</v>
      </c>
      <c r="C919" s="3">
        <v>271.27006</v>
      </c>
      <c r="D919">
        <v>1</v>
      </c>
      <c r="E919">
        <v>1</v>
      </c>
      <c r="F919">
        <v>1</v>
      </c>
    </row>
    <row r="920" spans="1:6">
      <c r="A920" t="s">
        <v>114</v>
      </c>
      <c r="B920" t="s">
        <v>40</v>
      </c>
      <c r="C920" s="3">
        <v>113.4</v>
      </c>
      <c r="D920">
        <v>1</v>
      </c>
      <c r="E920">
        <v>1</v>
      </c>
      <c r="F920">
        <v>1</v>
      </c>
    </row>
    <row r="921" spans="1:6">
      <c r="A921" t="s">
        <v>114</v>
      </c>
      <c r="B921" t="s">
        <v>41</v>
      </c>
      <c r="C921" s="3">
        <v>104</v>
      </c>
      <c r="D921">
        <v>1</v>
      </c>
      <c r="E921">
        <v>1</v>
      </c>
      <c r="F921">
        <v>1</v>
      </c>
    </row>
    <row r="922" spans="1:6">
      <c r="A922" t="s">
        <v>114</v>
      </c>
      <c r="B922" t="s">
        <v>42</v>
      </c>
      <c r="C922" s="3">
        <v>100.2</v>
      </c>
      <c r="D922">
        <v>1</v>
      </c>
      <c r="E922">
        <v>1</v>
      </c>
      <c r="F922">
        <v>1</v>
      </c>
    </row>
    <row r="923" spans="1:6">
      <c r="A923" t="s">
        <v>114</v>
      </c>
      <c r="B923" t="s">
        <v>46</v>
      </c>
      <c r="C923" s="3">
        <v>104.8</v>
      </c>
      <c r="D923">
        <v>1</v>
      </c>
      <c r="E923">
        <v>1</v>
      </c>
      <c r="F923">
        <v>1</v>
      </c>
    </row>
    <row r="924" spans="1:6">
      <c r="A924" t="s">
        <v>114</v>
      </c>
      <c r="B924" t="s">
        <v>392</v>
      </c>
      <c r="C924" s="3"/>
      <c r="D924">
        <v>0</v>
      </c>
      <c r="E924">
        <v>1</v>
      </c>
      <c r="F924">
        <v>1</v>
      </c>
    </row>
    <row r="925" spans="1:6">
      <c r="A925" t="s">
        <v>114</v>
      </c>
      <c r="B925" t="s">
        <v>393</v>
      </c>
      <c r="C925" s="3"/>
      <c r="D925">
        <v>0</v>
      </c>
      <c r="E925">
        <v>1</v>
      </c>
      <c r="F925">
        <v>1</v>
      </c>
    </row>
    <row r="926" spans="1:6">
      <c r="A926" t="s">
        <v>114</v>
      </c>
      <c r="B926" t="s">
        <v>394</v>
      </c>
      <c r="C926" s="3"/>
      <c r="D926">
        <v>0</v>
      </c>
      <c r="E926">
        <v>1</v>
      </c>
      <c r="F926">
        <v>1</v>
      </c>
    </row>
    <row r="927" spans="1:6">
      <c r="A927" t="s">
        <v>114</v>
      </c>
      <c r="B927" t="s">
        <v>39</v>
      </c>
      <c r="C927" s="3">
        <v>4.97970019683694</v>
      </c>
      <c r="D927">
        <v>1</v>
      </c>
      <c r="E927">
        <v>1</v>
      </c>
      <c r="F927">
        <v>1</v>
      </c>
    </row>
    <row r="928" spans="1:6">
      <c r="A928" t="s">
        <v>114</v>
      </c>
      <c r="B928" t="s">
        <v>43</v>
      </c>
      <c r="C928" s="3">
        <v>3.2</v>
      </c>
      <c r="D928">
        <v>1</v>
      </c>
      <c r="E928">
        <v>1</v>
      </c>
      <c r="F928">
        <v>1</v>
      </c>
    </row>
    <row r="929" spans="1:6">
      <c r="A929" t="s">
        <v>114</v>
      </c>
      <c r="B929" t="s">
        <v>44</v>
      </c>
      <c r="C929" s="3">
        <v>1.59999999999999</v>
      </c>
      <c r="D929">
        <v>1</v>
      </c>
      <c r="E929">
        <v>1</v>
      </c>
      <c r="F929">
        <v>1</v>
      </c>
    </row>
    <row r="930" spans="1:6">
      <c r="A930" t="s">
        <v>114</v>
      </c>
      <c r="B930" t="s">
        <v>45</v>
      </c>
      <c r="C930" s="3">
        <v>-0.200000000000003</v>
      </c>
      <c r="D930">
        <v>1</v>
      </c>
      <c r="E930">
        <v>1</v>
      </c>
      <c r="F930">
        <v>1</v>
      </c>
    </row>
    <row r="931" spans="1:6">
      <c r="A931" t="s">
        <v>114</v>
      </c>
      <c r="B931" t="s">
        <v>396</v>
      </c>
      <c r="C931" s="3"/>
      <c r="D931">
        <v>0</v>
      </c>
      <c r="E931">
        <v>1</v>
      </c>
      <c r="F931">
        <v>1</v>
      </c>
    </row>
    <row r="932" spans="1:6">
      <c r="A932" t="s">
        <v>115</v>
      </c>
      <c r="B932" t="s">
        <v>34</v>
      </c>
      <c r="C932" s="3">
        <v>30.61</v>
      </c>
      <c r="D932">
        <v>1</v>
      </c>
      <c r="E932">
        <v>1</v>
      </c>
      <c r="F932">
        <v>1</v>
      </c>
    </row>
    <row r="933" spans="1:6">
      <c r="A933" t="s">
        <v>115</v>
      </c>
      <c r="B933" t="s">
        <v>35</v>
      </c>
      <c r="C933" s="3">
        <v>8.2773</v>
      </c>
      <c r="D933">
        <v>1</v>
      </c>
      <c r="E933">
        <v>1</v>
      </c>
      <c r="F933">
        <v>1</v>
      </c>
    </row>
    <row r="934" spans="1:6">
      <c r="A934" t="s">
        <v>115</v>
      </c>
      <c r="B934" t="s">
        <v>36</v>
      </c>
      <c r="C934" s="3">
        <v>253.368153</v>
      </c>
      <c r="D934">
        <v>1</v>
      </c>
      <c r="E934">
        <v>1</v>
      </c>
      <c r="F934">
        <v>1</v>
      </c>
    </row>
    <row r="935" spans="1:6">
      <c r="A935" t="s">
        <v>115</v>
      </c>
      <c r="B935" t="s">
        <v>40</v>
      </c>
      <c r="C935" s="3">
        <v>114.4</v>
      </c>
      <c r="D935">
        <v>1</v>
      </c>
      <c r="E935">
        <v>1</v>
      </c>
      <c r="F935">
        <v>1</v>
      </c>
    </row>
    <row r="936" spans="1:6">
      <c r="A936" t="s">
        <v>115</v>
      </c>
      <c r="B936" t="s">
        <v>41</v>
      </c>
      <c r="C936" s="3">
        <v>104.6</v>
      </c>
      <c r="D936">
        <v>1</v>
      </c>
      <c r="E936">
        <v>1</v>
      </c>
      <c r="F936">
        <v>1</v>
      </c>
    </row>
    <row r="937" spans="1:6">
      <c r="A937" t="s">
        <v>115</v>
      </c>
      <c r="B937" t="s">
        <v>42</v>
      </c>
      <c r="C937" s="3">
        <v>100.9</v>
      </c>
      <c r="D937">
        <v>1</v>
      </c>
      <c r="E937">
        <v>1</v>
      </c>
      <c r="F937">
        <v>1</v>
      </c>
    </row>
    <row r="938" spans="1:6">
      <c r="A938" t="s">
        <v>115</v>
      </c>
      <c r="B938" t="s">
        <v>46</v>
      </c>
      <c r="C938" s="3">
        <v>105.8</v>
      </c>
      <c r="D938">
        <v>1</v>
      </c>
      <c r="E938">
        <v>1</v>
      </c>
      <c r="F938">
        <v>1</v>
      </c>
    </row>
    <row r="939" spans="1:6">
      <c r="A939" t="s">
        <v>115</v>
      </c>
      <c r="B939" t="s">
        <v>392</v>
      </c>
      <c r="C939" s="3"/>
      <c r="D939">
        <v>0</v>
      </c>
      <c r="E939">
        <v>1</v>
      </c>
      <c r="F939">
        <v>1</v>
      </c>
    </row>
    <row r="940" spans="1:6">
      <c r="A940" t="s">
        <v>115</v>
      </c>
      <c r="B940" t="s">
        <v>393</v>
      </c>
      <c r="C940" s="3"/>
      <c r="D940">
        <v>0</v>
      </c>
      <c r="E940">
        <v>1</v>
      </c>
      <c r="F940">
        <v>1</v>
      </c>
    </row>
    <row r="941" spans="1:6">
      <c r="A941" t="s">
        <v>115</v>
      </c>
      <c r="B941" t="s">
        <v>394</v>
      </c>
      <c r="C941" s="3"/>
      <c r="D941">
        <v>0</v>
      </c>
      <c r="E941">
        <v>1</v>
      </c>
      <c r="F941">
        <v>1</v>
      </c>
    </row>
    <row r="942" spans="1:6">
      <c r="A942" t="s">
        <v>115</v>
      </c>
      <c r="B942" t="s">
        <v>39</v>
      </c>
      <c r="C942" s="3">
        <v>-6.82712748172087</v>
      </c>
      <c r="D942">
        <v>1</v>
      </c>
      <c r="E942">
        <v>1</v>
      </c>
      <c r="F942">
        <v>1</v>
      </c>
    </row>
    <row r="943" spans="1:6">
      <c r="A943" t="s">
        <v>115</v>
      </c>
      <c r="B943" t="s">
        <v>43</v>
      </c>
      <c r="C943" s="3">
        <v>1</v>
      </c>
      <c r="D943">
        <v>1</v>
      </c>
      <c r="E943">
        <v>1</v>
      </c>
      <c r="F943">
        <v>1</v>
      </c>
    </row>
    <row r="944" spans="1:6">
      <c r="A944" t="s">
        <v>115</v>
      </c>
      <c r="B944" t="s">
        <v>44</v>
      </c>
      <c r="C944" s="3">
        <v>0.599999999999994</v>
      </c>
      <c r="D944">
        <v>1</v>
      </c>
      <c r="E944">
        <v>1</v>
      </c>
      <c r="F944">
        <v>1</v>
      </c>
    </row>
    <row r="945" spans="1:6">
      <c r="A945" t="s">
        <v>115</v>
      </c>
      <c r="B945" t="s">
        <v>45</v>
      </c>
      <c r="C945" s="3">
        <v>0.700000000000003</v>
      </c>
      <c r="D945">
        <v>1</v>
      </c>
      <c r="E945">
        <v>1</v>
      </c>
      <c r="F945">
        <v>1</v>
      </c>
    </row>
    <row r="946" spans="1:6">
      <c r="A946" t="s">
        <v>115</v>
      </c>
      <c r="B946" t="s">
        <v>396</v>
      </c>
      <c r="C946" s="3"/>
      <c r="D946">
        <v>0</v>
      </c>
      <c r="E946">
        <v>1</v>
      </c>
      <c r="F946">
        <v>1</v>
      </c>
    </row>
    <row r="947" spans="1:6">
      <c r="A947" t="s">
        <v>116</v>
      </c>
      <c r="B947" t="s">
        <v>34</v>
      </c>
      <c r="C947" s="3">
        <v>25</v>
      </c>
      <c r="D947">
        <v>1</v>
      </c>
      <c r="E947">
        <v>1</v>
      </c>
      <c r="F947">
        <v>1</v>
      </c>
    </row>
    <row r="948" spans="1:6">
      <c r="A948" t="s">
        <v>116</v>
      </c>
      <c r="B948" t="s">
        <v>35</v>
      </c>
      <c r="C948" s="3">
        <v>8.2772</v>
      </c>
      <c r="D948">
        <v>1</v>
      </c>
      <c r="E948">
        <v>1</v>
      </c>
      <c r="F948">
        <v>1</v>
      </c>
    </row>
    <row r="949" spans="1:6">
      <c r="A949" t="s">
        <v>116</v>
      </c>
      <c r="B949" t="s">
        <v>36</v>
      </c>
      <c r="C949" s="3">
        <v>206.93</v>
      </c>
      <c r="D949">
        <v>1</v>
      </c>
      <c r="E949">
        <v>1</v>
      </c>
      <c r="F949">
        <v>1</v>
      </c>
    </row>
    <row r="950" spans="1:6">
      <c r="A950" t="s">
        <v>116</v>
      </c>
      <c r="B950" t="s">
        <v>40</v>
      </c>
      <c r="C950" s="3">
        <v>112.6</v>
      </c>
      <c r="D950">
        <v>1</v>
      </c>
      <c r="E950">
        <v>1</v>
      </c>
      <c r="F950">
        <v>1</v>
      </c>
    </row>
    <row r="951" spans="1:6">
      <c r="A951" t="s">
        <v>116</v>
      </c>
      <c r="B951" t="s">
        <v>41</v>
      </c>
      <c r="C951" s="3">
        <v>103.6</v>
      </c>
      <c r="D951">
        <v>1</v>
      </c>
      <c r="E951">
        <v>1</v>
      </c>
      <c r="F951">
        <v>1</v>
      </c>
    </row>
    <row r="952" spans="1:6">
      <c r="A952" t="s">
        <v>116</v>
      </c>
      <c r="B952" t="s">
        <v>42</v>
      </c>
      <c r="C952" s="3">
        <v>101</v>
      </c>
      <c r="D952">
        <v>1</v>
      </c>
      <c r="E952">
        <v>1</v>
      </c>
      <c r="F952">
        <v>1</v>
      </c>
    </row>
    <row r="953" spans="1:6">
      <c r="A953" t="s">
        <v>116</v>
      </c>
      <c r="B953" t="s">
        <v>46</v>
      </c>
      <c r="C953" s="3">
        <v>105.9</v>
      </c>
      <c r="D953">
        <v>1</v>
      </c>
      <c r="E953">
        <v>1</v>
      </c>
      <c r="F953">
        <v>1</v>
      </c>
    </row>
    <row r="954" spans="1:6">
      <c r="A954" t="s">
        <v>116</v>
      </c>
      <c r="B954" t="s">
        <v>392</v>
      </c>
      <c r="C954" s="3"/>
      <c r="D954">
        <v>0</v>
      </c>
      <c r="E954">
        <v>1</v>
      </c>
      <c r="F954">
        <v>1</v>
      </c>
    </row>
    <row r="955" spans="1:6">
      <c r="A955" t="s">
        <v>116</v>
      </c>
      <c r="B955" t="s">
        <v>393</v>
      </c>
      <c r="C955" s="3"/>
      <c r="D955">
        <v>0</v>
      </c>
      <c r="E955">
        <v>1</v>
      </c>
      <c r="F955">
        <v>1</v>
      </c>
    </row>
    <row r="956" spans="1:6">
      <c r="A956" t="s">
        <v>116</v>
      </c>
      <c r="B956" t="s">
        <v>394</v>
      </c>
      <c r="C956" s="3"/>
      <c r="D956">
        <v>0</v>
      </c>
      <c r="E956">
        <v>1</v>
      </c>
      <c r="F956">
        <v>1</v>
      </c>
    </row>
    <row r="957" spans="1:6">
      <c r="A957" t="s">
        <v>116</v>
      </c>
      <c r="B957" t="s">
        <v>39</v>
      </c>
      <c r="C957" s="3">
        <v>-20.2463009396318</v>
      </c>
      <c r="D957">
        <v>1</v>
      </c>
      <c r="E957">
        <v>1</v>
      </c>
      <c r="F957">
        <v>1</v>
      </c>
    </row>
    <row r="958" spans="1:6">
      <c r="A958" t="s">
        <v>116</v>
      </c>
      <c r="B958" t="s">
        <v>43</v>
      </c>
      <c r="C958" s="3">
        <v>-1.80000000000001</v>
      </c>
      <c r="D958">
        <v>1</v>
      </c>
      <c r="E958">
        <v>1</v>
      </c>
      <c r="F958">
        <v>1</v>
      </c>
    </row>
    <row r="959" spans="1:6">
      <c r="A959" t="s">
        <v>116</v>
      </c>
      <c r="B959" t="s">
        <v>44</v>
      </c>
      <c r="C959" s="3">
        <v>-1</v>
      </c>
      <c r="D959">
        <v>1</v>
      </c>
      <c r="E959">
        <v>1</v>
      </c>
      <c r="F959">
        <v>1</v>
      </c>
    </row>
    <row r="960" spans="1:6">
      <c r="A960" t="s">
        <v>116</v>
      </c>
      <c r="B960" t="s">
        <v>45</v>
      </c>
      <c r="C960" s="3">
        <v>0.0999999999999943</v>
      </c>
      <c r="D960">
        <v>1</v>
      </c>
      <c r="E960">
        <v>1</v>
      </c>
      <c r="F960">
        <v>1</v>
      </c>
    </row>
    <row r="961" spans="1:6">
      <c r="A961" t="s">
        <v>116</v>
      </c>
      <c r="B961" t="s">
        <v>396</v>
      </c>
      <c r="C961" s="3"/>
      <c r="D961">
        <v>0</v>
      </c>
      <c r="E961">
        <v>1</v>
      </c>
      <c r="F961">
        <v>1</v>
      </c>
    </row>
    <row r="962" spans="1:6">
      <c r="A962" t="s">
        <v>117</v>
      </c>
      <c r="B962" t="s">
        <v>34</v>
      </c>
      <c r="C962" s="3">
        <v>25.86</v>
      </c>
      <c r="D962">
        <v>1</v>
      </c>
      <c r="E962">
        <v>1</v>
      </c>
      <c r="F962">
        <v>1</v>
      </c>
    </row>
    <row r="963" spans="1:6">
      <c r="A963" t="s">
        <v>117</v>
      </c>
      <c r="B963" t="s">
        <v>35</v>
      </c>
      <c r="C963" s="3">
        <v>8.2769</v>
      </c>
      <c r="D963">
        <v>1</v>
      </c>
      <c r="E963">
        <v>1</v>
      </c>
      <c r="F963">
        <v>1</v>
      </c>
    </row>
    <row r="964" spans="1:6">
      <c r="A964" t="s">
        <v>117</v>
      </c>
      <c r="B964" t="s">
        <v>36</v>
      </c>
      <c r="C964" s="3">
        <v>214.040634</v>
      </c>
      <c r="D964">
        <v>1</v>
      </c>
      <c r="E964">
        <v>1</v>
      </c>
      <c r="F964">
        <v>1</v>
      </c>
    </row>
    <row r="965" spans="1:6">
      <c r="A965" t="s">
        <v>117</v>
      </c>
      <c r="B965" t="s">
        <v>40</v>
      </c>
      <c r="C965" s="3">
        <v>107.5</v>
      </c>
      <c r="D965">
        <v>1</v>
      </c>
      <c r="E965">
        <v>1</v>
      </c>
      <c r="F965">
        <v>1</v>
      </c>
    </row>
    <row r="966" spans="1:6">
      <c r="A966" t="s">
        <v>117</v>
      </c>
      <c r="B966" t="s">
        <v>41</v>
      </c>
      <c r="C966" s="3">
        <v>102</v>
      </c>
      <c r="D966">
        <v>1</v>
      </c>
      <c r="E966">
        <v>1</v>
      </c>
      <c r="F966">
        <v>1</v>
      </c>
    </row>
    <row r="967" spans="1:6">
      <c r="A967" t="s">
        <v>117</v>
      </c>
      <c r="B967" t="s">
        <v>42</v>
      </c>
      <c r="C967" s="3">
        <v>100.7</v>
      </c>
      <c r="D967">
        <v>1</v>
      </c>
      <c r="E967">
        <v>1</v>
      </c>
      <c r="F967">
        <v>1</v>
      </c>
    </row>
    <row r="968" spans="1:6">
      <c r="A968" t="s">
        <v>117</v>
      </c>
      <c r="B968" t="s">
        <v>46</v>
      </c>
      <c r="C968" s="3">
        <v>104.4</v>
      </c>
      <c r="D968">
        <v>1</v>
      </c>
      <c r="E968">
        <v>1</v>
      </c>
      <c r="F968">
        <v>1</v>
      </c>
    </row>
    <row r="969" spans="1:6">
      <c r="A969" t="s">
        <v>117</v>
      </c>
      <c r="B969" t="s">
        <v>392</v>
      </c>
      <c r="C969" s="3"/>
      <c r="D969">
        <v>0</v>
      </c>
      <c r="E969">
        <v>1</v>
      </c>
      <c r="F969">
        <v>1</v>
      </c>
    </row>
    <row r="970" spans="1:6">
      <c r="A970" t="s">
        <v>117</v>
      </c>
      <c r="B970" t="s">
        <v>393</v>
      </c>
      <c r="C970" s="3"/>
      <c r="D970">
        <v>0</v>
      </c>
      <c r="E970">
        <v>1</v>
      </c>
      <c r="F970">
        <v>1</v>
      </c>
    </row>
    <row r="971" spans="1:6">
      <c r="A971" t="s">
        <v>117</v>
      </c>
      <c r="B971" t="s">
        <v>394</v>
      </c>
      <c r="C971" s="3"/>
      <c r="D971">
        <v>0</v>
      </c>
      <c r="E971">
        <v>1</v>
      </c>
      <c r="F971">
        <v>1</v>
      </c>
    </row>
    <row r="972" spans="1:6">
      <c r="A972" t="s">
        <v>117</v>
      </c>
      <c r="B972" t="s">
        <v>39</v>
      </c>
      <c r="C972" s="3">
        <v>3.37853036781453</v>
      </c>
      <c r="D972">
        <v>1</v>
      </c>
      <c r="E972">
        <v>1</v>
      </c>
      <c r="F972">
        <v>1</v>
      </c>
    </row>
    <row r="973" spans="1:6">
      <c r="A973" t="s">
        <v>117</v>
      </c>
      <c r="B973" t="s">
        <v>43</v>
      </c>
      <c r="C973" s="3">
        <v>-5.09999999999999</v>
      </c>
      <c r="D973">
        <v>1</v>
      </c>
      <c r="E973">
        <v>1</v>
      </c>
      <c r="F973">
        <v>1</v>
      </c>
    </row>
    <row r="974" spans="1:6">
      <c r="A974" t="s">
        <v>117</v>
      </c>
      <c r="B974" t="s">
        <v>44</v>
      </c>
      <c r="C974" s="3">
        <v>-1.59999999999999</v>
      </c>
      <c r="D974">
        <v>1</v>
      </c>
      <c r="E974">
        <v>1</v>
      </c>
      <c r="F974">
        <v>1</v>
      </c>
    </row>
    <row r="975" spans="1:6">
      <c r="A975" t="s">
        <v>117</v>
      </c>
      <c r="B975" t="s">
        <v>45</v>
      </c>
      <c r="C975" s="3">
        <v>-0.299999999999997</v>
      </c>
      <c r="D975">
        <v>1</v>
      </c>
      <c r="E975">
        <v>1</v>
      </c>
      <c r="F975">
        <v>1</v>
      </c>
    </row>
    <row r="976" spans="1:6">
      <c r="A976" t="s">
        <v>117</v>
      </c>
      <c r="B976" t="s">
        <v>396</v>
      </c>
      <c r="C976" s="3"/>
      <c r="D976">
        <v>0</v>
      </c>
      <c r="E976">
        <v>1</v>
      </c>
      <c r="F976">
        <v>1</v>
      </c>
    </row>
    <row r="977" spans="1:6">
      <c r="A977" t="s">
        <v>118</v>
      </c>
      <c r="B977" t="s">
        <v>34</v>
      </c>
      <c r="C977" s="3">
        <v>27.65</v>
      </c>
      <c r="D977">
        <v>1</v>
      </c>
      <c r="E977">
        <v>1</v>
      </c>
      <c r="F977">
        <v>1</v>
      </c>
    </row>
    <row r="978" spans="1:6">
      <c r="A978" t="s">
        <v>118</v>
      </c>
      <c r="B978" t="s">
        <v>35</v>
      </c>
      <c r="C978" s="3">
        <v>8.2771</v>
      </c>
      <c r="D978">
        <v>1</v>
      </c>
      <c r="E978">
        <v>1</v>
      </c>
      <c r="F978">
        <v>1</v>
      </c>
    </row>
    <row r="979" spans="1:6">
      <c r="A979" t="s">
        <v>118</v>
      </c>
      <c r="B979" t="s">
        <v>36</v>
      </c>
      <c r="C979" s="3">
        <v>228.861815</v>
      </c>
      <c r="D979">
        <v>1</v>
      </c>
      <c r="E979">
        <v>1</v>
      </c>
      <c r="F979">
        <v>1</v>
      </c>
    </row>
    <row r="980" spans="1:6">
      <c r="A980" t="s">
        <v>118</v>
      </c>
      <c r="B980" t="s">
        <v>40</v>
      </c>
      <c r="C980" s="3">
        <v>105.2</v>
      </c>
      <c r="D980">
        <v>1</v>
      </c>
      <c r="E980">
        <v>1</v>
      </c>
      <c r="F980">
        <v>1</v>
      </c>
    </row>
    <row r="981" spans="1:6">
      <c r="A981" t="s">
        <v>118</v>
      </c>
      <c r="B981" t="s">
        <v>41</v>
      </c>
      <c r="C981" s="3">
        <v>101.3</v>
      </c>
      <c r="D981">
        <v>1</v>
      </c>
      <c r="E981">
        <v>1</v>
      </c>
      <c r="F981">
        <v>1</v>
      </c>
    </row>
    <row r="982" spans="1:6">
      <c r="A982" t="s">
        <v>118</v>
      </c>
      <c r="B982" t="s">
        <v>42</v>
      </c>
      <c r="C982" s="3">
        <v>100.3</v>
      </c>
      <c r="D982">
        <v>1</v>
      </c>
      <c r="E982">
        <v>1</v>
      </c>
      <c r="F982">
        <v>1</v>
      </c>
    </row>
    <row r="983" spans="1:6">
      <c r="A983" t="s">
        <v>118</v>
      </c>
      <c r="B983" t="s">
        <v>46</v>
      </c>
      <c r="C983" s="3">
        <v>103.9</v>
      </c>
      <c r="D983">
        <v>1</v>
      </c>
      <c r="E983">
        <v>1</v>
      </c>
      <c r="F983">
        <v>1</v>
      </c>
    </row>
    <row r="984" spans="1:6">
      <c r="A984" t="s">
        <v>118</v>
      </c>
      <c r="B984" t="s">
        <v>392</v>
      </c>
      <c r="C984" s="3"/>
      <c r="D984">
        <v>0</v>
      </c>
      <c r="E984">
        <v>1</v>
      </c>
      <c r="F984">
        <v>1</v>
      </c>
    </row>
    <row r="985" spans="1:6">
      <c r="A985" t="s">
        <v>118</v>
      </c>
      <c r="B985" t="s">
        <v>393</v>
      </c>
      <c r="C985" s="3"/>
      <c r="D985">
        <v>0</v>
      </c>
      <c r="E985">
        <v>1</v>
      </c>
      <c r="F985">
        <v>1</v>
      </c>
    </row>
    <row r="986" spans="1:6">
      <c r="A986" t="s">
        <v>118</v>
      </c>
      <c r="B986" t="s">
        <v>394</v>
      </c>
      <c r="C986" s="3"/>
      <c r="D986">
        <v>0</v>
      </c>
      <c r="E986">
        <v>1</v>
      </c>
      <c r="F986">
        <v>1</v>
      </c>
    </row>
    <row r="987" spans="1:6">
      <c r="A987" t="s">
        <v>118</v>
      </c>
      <c r="B987" t="s">
        <v>39</v>
      </c>
      <c r="C987" s="3">
        <v>6.69525179688406</v>
      </c>
      <c r="D987">
        <v>1</v>
      </c>
      <c r="E987">
        <v>1</v>
      </c>
      <c r="F987">
        <v>1</v>
      </c>
    </row>
    <row r="988" spans="1:6">
      <c r="A988" t="s">
        <v>118</v>
      </c>
      <c r="B988" t="s">
        <v>43</v>
      </c>
      <c r="C988" s="3">
        <v>-2.3</v>
      </c>
      <c r="D988">
        <v>1</v>
      </c>
      <c r="E988">
        <v>1</v>
      </c>
      <c r="F988">
        <v>1</v>
      </c>
    </row>
    <row r="989" spans="1:6">
      <c r="A989" t="s">
        <v>118</v>
      </c>
      <c r="B989" t="s">
        <v>44</v>
      </c>
      <c r="C989" s="3">
        <v>-0.700000000000003</v>
      </c>
      <c r="D989">
        <v>1</v>
      </c>
      <c r="E989">
        <v>1</v>
      </c>
      <c r="F989">
        <v>1</v>
      </c>
    </row>
    <row r="990" spans="1:6">
      <c r="A990" t="s">
        <v>118</v>
      </c>
      <c r="B990" t="s">
        <v>45</v>
      </c>
      <c r="C990" s="3">
        <v>-0.400000000000006</v>
      </c>
      <c r="D990">
        <v>1</v>
      </c>
      <c r="E990">
        <v>1</v>
      </c>
      <c r="F990">
        <v>1</v>
      </c>
    </row>
    <row r="991" spans="1:6">
      <c r="A991" t="s">
        <v>118</v>
      </c>
      <c r="B991" t="s">
        <v>396</v>
      </c>
      <c r="C991" s="3"/>
      <c r="D991">
        <v>0</v>
      </c>
      <c r="E991">
        <v>1</v>
      </c>
      <c r="F991">
        <v>1</v>
      </c>
    </row>
    <row r="992" spans="1:6">
      <c r="A992" t="s">
        <v>119</v>
      </c>
      <c r="B992" t="s">
        <v>34</v>
      </c>
      <c r="C992" s="3">
        <v>28.35</v>
      </c>
      <c r="D992">
        <v>1</v>
      </c>
      <c r="E992">
        <v>1</v>
      </c>
      <c r="F992">
        <v>1</v>
      </c>
    </row>
    <row r="993" spans="1:6">
      <c r="A993" t="s">
        <v>119</v>
      </c>
      <c r="B993" t="s">
        <v>35</v>
      </c>
      <c r="C993" s="3">
        <v>8.2773</v>
      </c>
      <c r="D993">
        <v>1</v>
      </c>
      <c r="E993">
        <v>1</v>
      </c>
      <c r="F993">
        <v>1</v>
      </c>
    </row>
    <row r="994" spans="1:6">
      <c r="A994" t="s">
        <v>119</v>
      </c>
      <c r="B994" t="s">
        <v>36</v>
      </c>
      <c r="C994" s="3">
        <v>234.661455</v>
      </c>
      <c r="D994">
        <v>1</v>
      </c>
      <c r="E994">
        <v>1</v>
      </c>
      <c r="F994">
        <v>1</v>
      </c>
    </row>
    <row r="995" spans="1:6">
      <c r="A995" t="s">
        <v>119</v>
      </c>
      <c r="B995" t="s">
        <v>40</v>
      </c>
      <c r="C995" s="3">
        <v>105</v>
      </c>
      <c r="D995">
        <v>1</v>
      </c>
      <c r="E995">
        <v>1</v>
      </c>
      <c r="F995">
        <v>1</v>
      </c>
    </row>
    <row r="996" spans="1:6">
      <c r="A996" t="s">
        <v>119</v>
      </c>
      <c r="B996" t="s">
        <v>41</v>
      </c>
      <c r="C996" s="3">
        <v>101.4</v>
      </c>
      <c r="D996">
        <v>1</v>
      </c>
      <c r="E996">
        <v>1</v>
      </c>
      <c r="F996">
        <v>1</v>
      </c>
    </row>
    <row r="997" spans="1:6">
      <c r="A997" t="s">
        <v>119</v>
      </c>
      <c r="B997" t="s">
        <v>42</v>
      </c>
      <c r="C997" s="3">
        <v>100.5</v>
      </c>
      <c r="D997">
        <v>1</v>
      </c>
      <c r="E997">
        <v>1</v>
      </c>
      <c r="F997">
        <v>1</v>
      </c>
    </row>
    <row r="998" spans="1:6">
      <c r="A998" t="s">
        <v>119</v>
      </c>
      <c r="B998" t="s">
        <v>46</v>
      </c>
      <c r="C998" s="3">
        <v>104</v>
      </c>
      <c r="D998">
        <v>1</v>
      </c>
      <c r="E998">
        <v>1</v>
      </c>
      <c r="F998">
        <v>1</v>
      </c>
    </row>
    <row r="999" spans="1:6">
      <c r="A999" t="s">
        <v>119</v>
      </c>
      <c r="B999" t="s">
        <v>392</v>
      </c>
      <c r="C999" s="3"/>
      <c r="D999">
        <v>0</v>
      </c>
      <c r="E999">
        <v>1</v>
      </c>
      <c r="F999">
        <v>1</v>
      </c>
    </row>
    <row r="1000" spans="1:6">
      <c r="A1000" t="s">
        <v>119</v>
      </c>
      <c r="B1000" t="s">
        <v>393</v>
      </c>
      <c r="C1000" s="3"/>
      <c r="D1000">
        <v>0</v>
      </c>
      <c r="E1000">
        <v>1</v>
      </c>
      <c r="F1000">
        <v>1</v>
      </c>
    </row>
    <row r="1001" spans="1:6">
      <c r="A1001" t="s">
        <v>119</v>
      </c>
      <c r="B1001" t="s">
        <v>394</v>
      </c>
      <c r="C1001" s="3"/>
      <c r="D1001">
        <v>0</v>
      </c>
      <c r="E1001">
        <v>1</v>
      </c>
      <c r="F1001">
        <v>1</v>
      </c>
    </row>
    <row r="1002" spans="1:6">
      <c r="A1002" t="s">
        <v>119</v>
      </c>
      <c r="B1002" t="s">
        <v>39</v>
      </c>
      <c r="C1002" s="3">
        <v>2.50254649657723</v>
      </c>
      <c r="D1002">
        <v>1</v>
      </c>
      <c r="E1002">
        <v>1</v>
      </c>
      <c r="F1002">
        <v>1</v>
      </c>
    </row>
    <row r="1003" spans="1:6">
      <c r="A1003" t="s">
        <v>119</v>
      </c>
      <c r="B1003" t="s">
        <v>43</v>
      </c>
      <c r="C1003" s="3">
        <v>-0.200000000000003</v>
      </c>
      <c r="D1003">
        <v>1</v>
      </c>
      <c r="E1003">
        <v>1</v>
      </c>
      <c r="F1003">
        <v>1</v>
      </c>
    </row>
    <row r="1004" spans="1:6">
      <c r="A1004" t="s">
        <v>119</v>
      </c>
      <c r="B1004" t="s">
        <v>44</v>
      </c>
      <c r="C1004" s="3">
        <v>0.100000000000009</v>
      </c>
      <c r="D1004">
        <v>1</v>
      </c>
      <c r="E1004">
        <v>1</v>
      </c>
      <c r="F1004">
        <v>1</v>
      </c>
    </row>
    <row r="1005" spans="1:6">
      <c r="A1005" t="s">
        <v>119</v>
      </c>
      <c r="B1005" t="s">
        <v>45</v>
      </c>
      <c r="C1005" s="3">
        <v>0.200000000000003</v>
      </c>
      <c r="D1005">
        <v>1</v>
      </c>
      <c r="E1005">
        <v>1</v>
      </c>
      <c r="F1005">
        <v>1</v>
      </c>
    </row>
    <row r="1006" spans="1:6">
      <c r="A1006" t="s">
        <v>119</v>
      </c>
      <c r="B1006" t="s">
        <v>396</v>
      </c>
      <c r="C1006" s="3"/>
      <c r="D1006">
        <v>0</v>
      </c>
      <c r="E1006">
        <v>1</v>
      </c>
      <c r="F1006">
        <v>1</v>
      </c>
    </row>
    <row r="1007" spans="1:6">
      <c r="A1007" t="s">
        <v>120</v>
      </c>
      <c r="B1007" t="s">
        <v>34</v>
      </c>
      <c r="C1007" s="3">
        <v>29.89</v>
      </c>
      <c r="D1007">
        <v>1</v>
      </c>
      <c r="E1007">
        <v>1</v>
      </c>
      <c r="F1007">
        <v>1</v>
      </c>
    </row>
    <row r="1008" spans="1:6">
      <c r="A1008" t="s">
        <v>120</v>
      </c>
      <c r="B1008" t="s">
        <v>35</v>
      </c>
      <c r="C1008" s="3">
        <v>8.277</v>
      </c>
      <c r="D1008">
        <v>1</v>
      </c>
      <c r="E1008">
        <v>1</v>
      </c>
      <c r="F1008">
        <v>1</v>
      </c>
    </row>
    <row r="1009" spans="1:6">
      <c r="A1009" t="s">
        <v>120</v>
      </c>
      <c r="B1009" t="s">
        <v>36</v>
      </c>
      <c r="C1009" s="3">
        <v>247.39953</v>
      </c>
      <c r="D1009">
        <v>1</v>
      </c>
      <c r="E1009">
        <v>1</v>
      </c>
      <c r="F1009">
        <v>1</v>
      </c>
    </row>
    <row r="1010" spans="1:6">
      <c r="A1010" t="s">
        <v>120</v>
      </c>
      <c r="B1010" t="s">
        <v>40</v>
      </c>
      <c r="C1010" s="3">
        <v>104.6</v>
      </c>
      <c r="D1010">
        <v>1</v>
      </c>
      <c r="E1010">
        <v>1</v>
      </c>
      <c r="F1010">
        <v>1</v>
      </c>
    </row>
    <row r="1011" spans="1:6">
      <c r="A1011" t="s">
        <v>120</v>
      </c>
      <c r="B1011" t="s">
        <v>41</v>
      </c>
      <c r="C1011" s="3">
        <v>101.4</v>
      </c>
      <c r="D1011">
        <v>1</v>
      </c>
      <c r="E1011">
        <v>1</v>
      </c>
      <c r="F1011">
        <v>1</v>
      </c>
    </row>
    <row r="1012" spans="1:6">
      <c r="A1012" t="s">
        <v>120</v>
      </c>
      <c r="B1012" t="s">
        <v>42</v>
      </c>
      <c r="C1012" s="3">
        <v>100.9</v>
      </c>
      <c r="D1012">
        <v>1</v>
      </c>
      <c r="E1012">
        <v>1</v>
      </c>
      <c r="F1012">
        <v>1</v>
      </c>
    </row>
    <row r="1013" spans="1:6">
      <c r="A1013" t="s">
        <v>120</v>
      </c>
      <c r="B1013" t="s">
        <v>46</v>
      </c>
      <c r="C1013" s="3">
        <v>104</v>
      </c>
      <c r="D1013">
        <v>1</v>
      </c>
      <c r="E1013">
        <v>1</v>
      </c>
      <c r="F1013">
        <v>1</v>
      </c>
    </row>
    <row r="1014" spans="1:6">
      <c r="A1014" t="s">
        <v>120</v>
      </c>
      <c r="B1014" t="s">
        <v>392</v>
      </c>
      <c r="C1014" s="3"/>
      <c r="D1014">
        <v>0</v>
      </c>
      <c r="E1014">
        <v>1</v>
      </c>
      <c r="F1014">
        <v>1</v>
      </c>
    </row>
    <row r="1015" spans="1:6">
      <c r="A1015" t="s">
        <v>120</v>
      </c>
      <c r="B1015" t="s">
        <v>393</v>
      </c>
      <c r="C1015" s="3"/>
      <c r="D1015">
        <v>0</v>
      </c>
      <c r="E1015">
        <v>1</v>
      </c>
      <c r="F1015">
        <v>1</v>
      </c>
    </row>
    <row r="1016" spans="1:6">
      <c r="A1016" t="s">
        <v>120</v>
      </c>
      <c r="B1016" t="s">
        <v>394</v>
      </c>
      <c r="C1016" s="3"/>
      <c r="D1016">
        <v>0</v>
      </c>
      <c r="E1016">
        <v>1</v>
      </c>
      <c r="F1016">
        <v>1</v>
      </c>
    </row>
    <row r="1017" spans="1:6">
      <c r="A1017" t="s">
        <v>120</v>
      </c>
      <c r="B1017" t="s">
        <v>39</v>
      </c>
      <c r="C1017" s="3">
        <v>5.28607017626097</v>
      </c>
      <c r="D1017">
        <v>1</v>
      </c>
      <c r="E1017">
        <v>1</v>
      </c>
      <c r="F1017">
        <v>1</v>
      </c>
    </row>
    <row r="1018" spans="1:6">
      <c r="A1018" t="s">
        <v>120</v>
      </c>
      <c r="B1018" t="s">
        <v>43</v>
      </c>
      <c r="C1018" s="3">
        <v>-0.400000000000006</v>
      </c>
      <c r="D1018">
        <v>1</v>
      </c>
      <c r="E1018">
        <v>1</v>
      </c>
      <c r="F1018">
        <v>1</v>
      </c>
    </row>
    <row r="1019" spans="1:6">
      <c r="A1019" t="s">
        <v>120</v>
      </c>
      <c r="B1019" t="s">
        <v>44</v>
      </c>
      <c r="C1019" s="3">
        <v>0</v>
      </c>
      <c r="D1019">
        <v>1</v>
      </c>
      <c r="E1019">
        <v>1</v>
      </c>
      <c r="F1019">
        <v>1</v>
      </c>
    </row>
    <row r="1020" spans="1:6">
      <c r="A1020" t="s">
        <v>120</v>
      </c>
      <c r="B1020" t="s">
        <v>45</v>
      </c>
      <c r="C1020" s="3">
        <v>0.400000000000006</v>
      </c>
      <c r="D1020">
        <v>1</v>
      </c>
      <c r="E1020">
        <v>1</v>
      </c>
      <c r="F1020">
        <v>1</v>
      </c>
    </row>
    <row r="1021" spans="1:6">
      <c r="A1021" t="s">
        <v>120</v>
      </c>
      <c r="B1021" t="s">
        <v>396</v>
      </c>
      <c r="C1021" s="3"/>
      <c r="D1021">
        <v>0</v>
      </c>
      <c r="E1021">
        <v>1</v>
      </c>
      <c r="F1021">
        <v>1</v>
      </c>
    </row>
    <row r="1022" spans="1:6">
      <c r="A1022" t="s">
        <v>121</v>
      </c>
      <c r="B1022" t="s">
        <v>34</v>
      </c>
      <c r="C1022" s="3">
        <v>27.11</v>
      </c>
      <c r="D1022">
        <v>1</v>
      </c>
      <c r="E1022">
        <v>1</v>
      </c>
      <c r="F1022">
        <v>1</v>
      </c>
    </row>
    <row r="1023" spans="1:6">
      <c r="A1023" t="s">
        <v>121</v>
      </c>
      <c r="B1023" t="s">
        <v>35</v>
      </c>
      <c r="C1023" s="3">
        <v>8.2772</v>
      </c>
      <c r="D1023">
        <v>1</v>
      </c>
      <c r="E1023">
        <v>1</v>
      </c>
      <c r="F1023">
        <v>1</v>
      </c>
    </row>
    <row r="1024" spans="1:6">
      <c r="A1024" t="s">
        <v>121</v>
      </c>
      <c r="B1024" t="s">
        <v>36</v>
      </c>
      <c r="C1024" s="3">
        <v>224.394892</v>
      </c>
      <c r="D1024">
        <v>1</v>
      </c>
      <c r="E1024">
        <v>1</v>
      </c>
      <c r="F1024">
        <v>1</v>
      </c>
    </row>
    <row r="1025" spans="1:6">
      <c r="A1025" t="s">
        <v>121</v>
      </c>
      <c r="B1025" t="s">
        <v>40</v>
      </c>
      <c r="C1025" s="3">
        <v>104.5</v>
      </c>
      <c r="D1025">
        <v>1</v>
      </c>
      <c r="E1025">
        <v>1</v>
      </c>
      <c r="F1025">
        <v>1</v>
      </c>
    </row>
    <row r="1026" spans="1:6">
      <c r="A1026" t="s">
        <v>121</v>
      </c>
      <c r="B1026" t="s">
        <v>41</v>
      </c>
      <c r="C1026" s="3">
        <v>101.4</v>
      </c>
      <c r="D1026">
        <v>1</v>
      </c>
      <c r="E1026">
        <v>1</v>
      </c>
      <c r="F1026">
        <v>1</v>
      </c>
    </row>
    <row r="1027" spans="1:6">
      <c r="A1027" t="s">
        <v>121</v>
      </c>
      <c r="B1027" t="s">
        <v>42</v>
      </c>
      <c r="C1027" s="3">
        <v>101.1</v>
      </c>
      <c r="D1027">
        <v>1</v>
      </c>
      <c r="E1027">
        <v>1</v>
      </c>
      <c r="F1027">
        <v>1</v>
      </c>
    </row>
    <row r="1028" spans="1:6">
      <c r="A1028" t="s">
        <v>121</v>
      </c>
      <c r="B1028" t="s">
        <v>46</v>
      </c>
      <c r="C1028" s="3">
        <v>104.1</v>
      </c>
      <c r="D1028">
        <v>1</v>
      </c>
      <c r="E1028">
        <v>1</v>
      </c>
      <c r="F1028">
        <v>1</v>
      </c>
    </row>
    <row r="1029" spans="1:6">
      <c r="A1029" t="s">
        <v>121</v>
      </c>
      <c r="B1029" t="s">
        <v>392</v>
      </c>
      <c r="C1029" s="3"/>
      <c r="D1029">
        <v>0</v>
      </c>
      <c r="E1029">
        <v>1</v>
      </c>
      <c r="F1029">
        <v>1</v>
      </c>
    </row>
    <row r="1030" spans="1:6">
      <c r="A1030" t="s">
        <v>121</v>
      </c>
      <c r="B1030" t="s">
        <v>393</v>
      </c>
      <c r="C1030" s="3"/>
      <c r="D1030">
        <v>0</v>
      </c>
      <c r="E1030">
        <v>1</v>
      </c>
      <c r="F1030">
        <v>1</v>
      </c>
    </row>
    <row r="1031" spans="1:6">
      <c r="A1031" t="s">
        <v>121</v>
      </c>
      <c r="B1031" t="s">
        <v>394</v>
      </c>
      <c r="C1031" s="3"/>
      <c r="D1031">
        <v>0</v>
      </c>
      <c r="E1031">
        <v>1</v>
      </c>
      <c r="F1031">
        <v>1</v>
      </c>
    </row>
    <row r="1032" spans="1:6">
      <c r="A1032" t="s">
        <v>121</v>
      </c>
      <c r="B1032" t="s">
        <v>39</v>
      </c>
      <c r="C1032" s="3">
        <v>-9.75971497329943</v>
      </c>
      <c r="D1032">
        <v>1</v>
      </c>
      <c r="E1032">
        <v>1</v>
      </c>
      <c r="F1032">
        <v>1</v>
      </c>
    </row>
    <row r="1033" spans="1:6">
      <c r="A1033" t="s">
        <v>121</v>
      </c>
      <c r="B1033" t="s">
        <v>43</v>
      </c>
      <c r="C1033" s="3">
        <v>-0.0999999999999943</v>
      </c>
      <c r="D1033">
        <v>1</v>
      </c>
      <c r="E1033">
        <v>1</v>
      </c>
      <c r="F1033">
        <v>1</v>
      </c>
    </row>
    <row r="1034" spans="1:6">
      <c r="A1034" t="s">
        <v>121</v>
      </c>
      <c r="B1034" t="s">
        <v>44</v>
      </c>
      <c r="C1034" s="3">
        <v>0</v>
      </c>
      <c r="D1034">
        <v>1</v>
      </c>
      <c r="E1034">
        <v>1</v>
      </c>
      <c r="F1034">
        <v>1</v>
      </c>
    </row>
    <row r="1035" spans="1:6">
      <c r="A1035" t="s">
        <v>121</v>
      </c>
      <c r="B1035" t="s">
        <v>45</v>
      </c>
      <c r="C1035" s="3">
        <v>0.199999999999989</v>
      </c>
      <c r="D1035">
        <v>1</v>
      </c>
      <c r="E1035">
        <v>1</v>
      </c>
      <c r="F1035">
        <v>1</v>
      </c>
    </row>
    <row r="1036" spans="1:6">
      <c r="A1036" t="s">
        <v>121</v>
      </c>
      <c r="B1036" t="s">
        <v>396</v>
      </c>
      <c r="C1036" s="3"/>
      <c r="D1036">
        <v>0</v>
      </c>
      <c r="E1036">
        <v>1</v>
      </c>
      <c r="F1036">
        <v>1</v>
      </c>
    </row>
    <row r="1037" spans="1:6">
      <c r="A1037" t="s">
        <v>122</v>
      </c>
      <c r="B1037" t="s">
        <v>34</v>
      </c>
      <c r="C1037" s="3">
        <v>29.61</v>
      </c>
      <c r="D1037">
        <v>1</v>
      </c>
      <c r="E1037">
        <v>1</v>
      </c>
      <c r="F1037">
        <v>1</v>
      </c>
    </row>
    <row r="1038" spans="1:6">
      <c r="A1038" t="s">
        <v>122</v>
      </c>
      <c r="B1038" t="s">
        <v>35</v>
      </c>
      <c r="C1038" s="3">
        <v>8.2768</v>
      </c>
      <c r="D1038">
        <v>1</v>
      </c>
      <c r="E1038">
        <v>1</v>
      </c>
      <c r="F1038">
        <v>1</v>
      </c>
    </row>
    <row r="1039" spans="1:6">
      <c r="A1039" t="s">
        <v>122</v>
      </c>
      <c r="B1039" t="s">
        <v>36</v>
      </c>
      <c r="C1039" s="3">
        <v>245.076048</v>
      </c>
      <c r="D1039">
        <v>1</v>
      </c>
      <c r="E1039">
        <v>1</v>
      </c>
      <c r="F1039">
        <v>1</v>
      </c>
    </row>
    <row r="1040" spans="1:6">
      <c r="A1040" t="s">
        <v>122</v>
      </c>
      <c r="B1040" t="s">
        <v>40</v>
      </c>
      <c r="C1040" s="3">
        <v>103.9</v>
      </c>
      <c r="D1040">
        <v>1</v>
      </c>
      <c r="E1040">
        <v>1</v>
      </c>
      <c r="F1040">
        <v>1</v>
      </c>
    </row>
    <row r="1041" spans="1:6">
      <c r="A1041" t="s">
        <v>122</v>
      </c>
      <c r="B1041" t="s">
        <v>41</v>
      </c>
      <c r="C1041" s="3">
        <v>101.2</v>
      </c>
      <c r="D1041">
        <v>1</v>
      </c>
      <c r="E1041">
        <v>1</v>
      </c>
      <c r="F1041">
        <v>1</v>
      </c>
    </row>
    <row r="1042" spans="1:6">
      <c r="A1042" t="s">
        <v>122</v>
      </c>
      <c r="B1042" t="s">
        <v>42</v>
      </c>
      <c r="C1042" s="3">
        <v>101.8</v>
      </c>
      <c r="D1042">
        <v>1</v>
      </c>
      <c r="E1042">
        <v>1</v>
      </c>
      <c r="F1042">
        <v>1</v>
      </c>
    </row>
    <row r="1043" spans="1:6">
      <c r="A1043" t="s">
        <v>122</v>
      </c>
      <c r="B1043" t="s">
        <v>46</v>
      </c>
      <c r="C1043" s="3">
        <v>104.6</v>
      </c>
      <c r="D1043">
        <v>1</v>
      </c>
      <c r="E1043">
        <v>1</v>
      </c>
      <c r="F1043">
        <v>1</v>
      </c>
    </row>
    <row r="1044" spans="1:6">
      <c r="A1044" t="s">
        <v>122</v>
      </c>
      <c r="B1044" t="s">
        <v>392</v>
      </c>
      <c r="C1044" s="3"/>
      <c r="D1044">
        <v>0</v>
      </c>
      <c r="E1044">
        <v>1</v>
      </c>
      <c r="F1044">
        <v>1</v>
      </c>
    </row>
    <row r="1045" spans="1:6">
      <c r="A1045" t="s">
        <v>122</v>
      </c>
      <c r="B1045" t="s">
        <v>393</v>
      </c>
      <c r="C1045" s="3"/>
      <c r="D1045">
        <v>0</v>
      </c>
      <c r="E1045">
        <v>1</v>
      </c>
      <c r="F1045">
        <v>1</v>
      </c>
    </row>
    <row r="1046" spans="1:6">
      <c r="A1046" t="s">
        <v>122</v>
      </c>
      <c r="B1046" t="s">
        <v>394</v>
      </c>
      <c r="C1046" s="3"/>
      <c r="D1046">
        <v>0</v>
      </c>
      <c r="E1046">
        <v>1</v>
      </c>
      <c r="F1046">
        <v>1</v>
      </c>
    </row>
    <row r="1047" spans="1:6">
      <c r="A1047" t="s">
        <v>122</v>
      </c>
      <c r="B1047" t="s">
        <v>39</v>
      </c>
      <c r="C1047" s="3">
        <v>8.81611519145026</v>
      </c>
      <c r="D1047">
        <v>1</v>
      </c>
      <c r="E1047">
        <v>1</v>
      </c>
      <c r="F1047">
        <v>1</v>
      </c>
    </row>
    <row r="1048" spans="1:6">
      <c r="A1048" t="s">
        <v>122</v>
      </c>
      <c r="B1048" t="s">
        <v>43</v>
      </c>
      <c r="C1048" s="3">
        <v>-0.599999999999994</v>
      </c>
      <c r="D1048">
        <v>1</v>
      </c>
      <c r="E1048">
        <v>1</v>
      </c>
      <c r="F1048">
        <v>1</v>
      </c>
    </row>
    <row r="1049" spans="1:6">
      <c r="A1049" t="s">
        <v>122</v>
      </c>
      <c r="B1049" t="s">
        <v>44</v>
      </c>
      <c r="C1049" s="3">
        <v>-0.200000000000003</v>
      </c>
      <c r="D1049">
        <v>1</v>
      </c>
      <c r="E1049">
        <v>1</v>
      </c>
      <c r="F1049">
        <v>1</v>
      </c>
    </row>
    <row r="1050" spans="1:6">
      <c r="A1050" t="s">
        <v>122</v>
      </c>
      <c r="B1050" t="s">
        <v>45</v>
      </c>
      <c r="C1050" s="3">
        <v>0.700000000000003</v>
      </c>
      <c r="D1050">
        <v>1</v>
      </c>
      <c r="E1050">
        <v>1</v>
      </c>
      <c r="F1050">
        <v>1</v>
      </c>
    </row>
    <row r="1051" spans="1:6">
      <c r="A1051" t="s">
        <v>122</v>
      </c>
      <c r="B1051" t="s">
        <v>396</v>
      </c>
      <c r="C1051" s="3"/>
      <c r="D1051">
        <v>0</v>
      </c>
      <c r="E1051">
        <v>1</v>
      </c>
      <c r="F1051">
        <v>1</v>
      </c>
    </row>
    <row r="1052" spans="1:6">
      <c r="A1052" t="s">
        <v>123</v>
      </c>
      <c r="B1052" t="s">
        <v>34</v>
      </c>
      <c r="C1052" s="3">
        <v>28.75</v>
      </c>
      <c r="D1052">
        <v>1</v>
      </c>
      <c r="E1052">
        <v>1</v>
      </c>
      <c r="F1052">
        <v>1</v>
      </c>
    </row>
    <row r="1053" spans="1:6">
      <c r="A1053" t="s">
        <v>123</v>
      </c>
      <c r="B1053" t="s">
        <v>35</v>
      </c>
      <c r="C1053" s="3">
        <v>8.2769</v>
      </c>
      <c r="D1053">
        <v>1</v>
      </c>
      <c r="E1053">
        <v>1</v>
      </c>
      <c r="F1053">
        <v>1</v>
      </c>
    </row>
    <row r="1054" spans="1:6">
      <c r="A1054" t="s">
        <v>123</v>
      </c>
      <c r="B1054" t="s">
        <v>36</v>
      </c>
      <c r="C1054" s="3">
        <v>237.960875</v>
      </c>
      <c r="D1054">
        <v>1</v>
      </c>
      <c r="E1054">
        <v>1</v>
      </c>
      <c r="F1054">
        <v>1</v>
      </c>
    </row>
    <row r="1055" spans="1:6">
      <c r="A1055" t="s">
        <v>123</v>
      </c>
      <c r="B1055" t="s">
        <v>40</v>
      </c>
      <c r="C1055" s="3">
        <v>103</v>
      </c>
      <c r="D1055">
        <v>1</v>
      </c>
      <c r="E1055">
        <v>1</v>
      </c>
      <c r="F1055">
        <v>1</v>
      </c>
    </row>
    <row r="1056" spans="1:6">
      <c r="A1056" t="s">
        <v>123</v>
      </c>
      <c r="B1056" t="s">
        <v>41</v>
      </c>
      <c r="C1056" s="3">
        <v>101.9</v>
      </c>
      <c r="D1056">
        <v>1</v>
      </c>
      <c r="E1056">
        <v>1</v>
      </c>
      <c r="F1056">
        <v>1</v>
      </c>
    </row>
    <row r="1057" spans="1:6">
      <c r="A1057" t="s">
        <v>123</v>
      </c>
      <c r="B1057" t="s">
        <v>42</v>
      </c>
      <c r="C1057" s="3">
        <v>103</v>
      </c>
      <c r="D1057">
        <v>1</v>
      </c>
      <c r="E1057">
        <v>1</v>
      </c>
      <c r="F1057">
        <v>1</v>
      </c>
    </row>
    <row r="1058" spans="1:6">
      <c r="A1058" t="s">
        <v>123</v>
      </c>
      <c r="B1058" t="s">
        <v>46</v>
      </c>
      <c r="C1058" s="3">
        <v>105.9</v>
      </c>
      <c r="D1058">
        <v>1</v>
      </c>
      <c r="E1058">
        <v>1</v>
      </c>
      <c r="F1058">
        <v>1</v>
      </c>
    </row>
    <row r="1059" spans="1:6">
      <c r="A1059" t="s">
        <v>123</v>
      </c>
      <c r="B1059" t="s">
        <v>392</v>
      </c>
      <c r="C1059" s="3"/>
      <c r="D1059">
        <v>0</v>
      </c>
      <c r="E1059">
        <v>1</v>
      </c>
      <c r="F1059">
        <v>1</v>
      </c>
    </row>
    <row r="1060" spans="1:6">
      <c r="A1060" t="s">
        <v>123</v>
      </c>
      <c r="B1060" t="s">
        <v>393</v>
      </c>
      <c r="C1060" s="3"/>
      <c r="D1060">
        <v>0</v>
      </c>
      <c r="E1060">
        <v>1</v>
      </c>
      <c r="F1060">
        <v>1</v>
      </c>
    </row>
    <row r="1061" spans="1:6">
      <c r="A1061" t="s">
        <v>123</v>
      </c>
      <c r="B1061" t="s">
        <v>394</v>
      </c>
      <c r="C1061" s="3"/>
      <c r="D1061">
        <v>0</v>
      </c>
      <c r="E1061">
        <v>1</v>
      </c>
      <c r="F1061">
        <v>1</v>
      </c>
    </row>
    <row r="1062" spans="1:6">
      <c r="A1062" t="s">
        <v>123</v>
      </c>
      <c r="B1062" t="s">
        <v>39</v>
      </c>
      <c r="C1062" s="3">
        <v>-2.94622929790828</v>
      </c>
      <c r="D1062">
        <v>1</v>
      </c>
      <c r="E1062">
        <v>1</v>
      </c>
      <c r="F1062">
        <v>1</v>
      </c>
    </row>
    <row r="1063" spans="1:6">
      <c r="A1063" t="s">
        <v>123</v>
      </c>
      <c r="B1063" t="s">
        <v>43</v>
      </c>
      <c r="C1063" s="3">
        <v>-0.900000000000006</v>
      </c>
      <c r="D1063">
        <v>1</v>
      </c>
      <c r="E1063">
        <v>1</v>
      </c>
      <c r="F1063">
        <v>1</v>
      </c>
    </row>
    <row r="1064" spans="1:6">
      <c r="A1064" t="s">
        <v>123</v>
      </c>
      <c r="B1064" t="s">
        <v>44</v>
      </c>
      <c r="C1064" s="3">
        <v>0.700000000000003</v>
      </c>
      <c r="D1064">
        <v>1</v>
      </c>
      <c r="E1064">
        <v>1</v>
      </c>
      <c r="F1064">
        <v>1</v>
      </c>
    </row>
    <row r="1065" spans="1:6">
      <c r="A1065" t="s">
        <v>123</v>
      </c>
      <c r="B1065" t="s">
        <v>45</v>
      </c>
      <c r="C1065" s="3">
        <v>1.2</v>
      </c>
      <c r="D1065">
        <v>1</v>
      </c>
      <c r="E1065">
        <v>1</v>
      </c>
      <c r="F1065">
        <v>1</v>
      </c>
    </row>
    <row r="1066" spans="1:6">
      <c r="A1066" t="s">
        <v>123</v>
      </c>
      <c r="B1066" t="s">
        <v>396</v>
      </c>
      <c r="C1066" s="3"/>
      <c r="D1066">
        <v>0</v>
      </c>
      <c r="E1066">
        <v>1</v>
      </c>
      <c r="F1066">
        <v>1</v>
      </c>
    </row>
    <row r="1067" spans="1:6">
      <c r="A1067" t="s">
        <v>124</v>
      </c>
      <c r="B1067" t="s">
        <v>34</v>
      </c>
      <c r="C1067" s="3">
        <v>29.81</v>
      </c>
      <c r="D1067">
        <v>1</v>
      </c>
      <c r="E1067">
        <v>1</v>
      </c>
      <c r="F1067">
        <v>1</v>
      </c>
    </row>
    <row r="1068" spans="1:6">
      <c r="A1068" t="s">
        <v>124</v>
      </c>
      <c r="B1068" t="s">
        <v>35</v>
      </c>
      <c r="C1068" s="3">
        <v>8.277</v>
      </c>
      <c r="D1068">
        <v>1</v>
      </c>
      <c r="E1068">
        <v>1</v>
      </c>
      <c r="F1068">
        <v>1</v>
      </c>
    </row>
    <row r="1069" spans="1:6">
      <c r="A1069" t="s">
        <v>124</v>
      </c>
      <c r="B1069" t="s">
        <v>36</v>
      </c>
      <c r="C1069" s="3">
        <v>246.73737</v>
      </c>
      <c r="D1069">
        <v>1</v>
      </c>
      <c r="E1069">
        <v>1</v>
      </c>
      <c r="F1069">
        <v>1</v>
      </c>
    </row>
    <row r="1070" spans="1:6">
      <c r="A1070" t="s">
        <v>124</v>
      </c>
      <c r="B1070" t="s">
        <v>40</v>
      </c>
      <c r="C1070" s="3">
        <v>104.7</v>
      </c>
      <c r="D1070">
        <v>1</v>
      </c>
      <c r="E1070">
        <v>1</v>
      </c>
      <c r="F1070">
        <v>1</v>
      </c>
    </row>
    <row r="1071" spans="1:6">
      <c r="A1071" t="s">
        <v>124</v>
      </c>
      <c r="B1071" t="s">
        <v>41</v>
      </c>
      <c r="C1071" s="3">
        <v>103</v>
      </c>
      <c r="D1071">
        <v>1</v>
      </c>
      <c r="E1071">
        <v>1</v>
      </c>
      <c r="F1071">
        <v>1</v>
      </c>
    </row>
    <row r="1072" spans="1:6">
      <c r="A1072" t="s">
        <v>124</v>
      </c>
      <c r="B1072" t="s">
        <v>42</v>
      </c>
      <c r="C1072" s="3">
        <v>103.2</v>
      </c>
      <c r="D1072">
        <v>1</v>
      </c>
      <c r="E1072">
        <v>1</v>
      </c>
      <c r="F1072">
        <v>1</v>
      </c>
    </row>
    <row r="1073" spans="1:6">
      <c r="A1073" t="s">
        <v>124</v>
      </c>
      <c r="B1073" t="s">
        <v>46</v>
      </c>
      <c r="C1073" s="3">
        <v>107.1</v>
      </c>
      <c r="D1073">
        <v>1</v>
      </c>
      <c r="E1073">
        <v>1</v>
      </c>
      <c r="F1073">
        <v>1</v>
      </c>
    </row>
    <row r="1074" spans="1:6">
      <c r="A1074" t="s">
        <v>124</v>
      </c>
      <c r="B1074" t="s">
        <v>392</v>
      </c>
      <c r="C1074" s="3"/>
      <c r="D1074">
        <v>0</v>
      </c>
      <c r="E1074">
        <v>1</v>
      </c>
      <c r="F1074">
        <v>1</v>
      </c>
    </row>
    <row r="1075" spans="1:6">
      <c r="A1075" t="s">
        <v>124</v>
      </c>
      <c r="B1075" t="s">
        <v>393</v>
      </c>
      <c r="C1075" s="3"/>
      <c r="D1075">
        <v>0</v>
      </c>
      <c r="E1075">
        <v>1</v>
      </c>
      <c r="F1075">
        <v>1</v>
      </c>
    </row>
    <row r="1076" spans="1:6">
      <c r="A1076" t="s">
        <v>124</v>
      </c>
      <c r="B1076" t="s">
        <v>394</v>
      </c>
      <c r="C1076" s="3"/>
      <c r="D1076">
        <v>0</v>
      </c>
      <c r="E1076">
        <v>1</v>
      </c>
      <c r="F1076">
        <v>1</v>
      </c>
    </row>
    <row r="1077" spans="1:6">
      <c r="A1077" t="s">
        <v>124</v>
      </c>
      <c r="B1077" t="s">
        <v>39</v>
      </c>
      <c r="C1077" s="3">
        <v>3.62182221917079</v>
      </c>
      <c r="D1077">
        <v>1</v>
      </c>
      <c r="E1077">
        <v>1</v>
      </c>
      <c r="F1077">
        <v>1</v>
      </c>
    </row>
    <row r="1078" spans="1:6">
      <c r="A1078" t="s">
        <v>124</v>
      </c>
      <c r="B1078" t="s">
        <v>43</v>
      </c>
      <c r="C1078" s="3">
        <v>1.7</v>
      </c>
      <c r="D1078">
        <v>1</v>
      </c>
      <c r="E1078">
        <v>1</v>
      </c>
      <c r="F1078">
        <v>1</v>
      </c>
    </row>
    <row r="1079" spans="1:6">
      <c r="A1079" t="s">
        <v>124</v>
      </c>
      <c r="B1079" t="s">
        <v>44</v>
      </c>
      <c r="C1079" s="3">
        <v>1.09999999999999</v>
      </c>
      <c r="D1079">
        <v>1</v>
      </c>
      <c r="E1079">
        <v>1</v>
      </c>
      <c r="F1079">
        <v>1</v>
      </c>
    </row>
    <row r="1080" spans="1:6">
      <c r="A1080" t="s">
        <v>124</v>
      </c>
      <c r="B1080" t="s">
        <v>45</v>
      </c>
      <c r="C1080" s="3">
        <v>0.200000000000003</v>
      </c>
      <c r="D1080">
        <v>1</v>
      </c>
      <c r="E1080">
        <v>1</v>
      </c>
      <c r="F1080">
        <v>1</v>
      </c>
    </row>
    <row r="1081" spans="1:6">
      <c r="A1081" t="s">
        <v>124</v>
      </c>
      <c r="B1081" t="s">
        <v>396</v>
      </c>
      <c r="C1081" s="3"/>
      <c r="D1081">
        <v>0</v>
      </c>
      <c r="E1081">
        <v>1</v>
      </c>
      <c r="F1081">
        <v>1</v>
      </c>
    </row>
    <row r="1082" spans="1:6">
      <c r="A1082" t="s">
        <v>125</v>
      </c>
      <c r="B1082" t="s">
        <v>34</v>
      </c>
      <c r="C1082" s="3">
        <v>31.28</v>
      </c>
      <c r="D1082">
        <v>1</v>
      </c>
      <c r="E1082">
        <v>1</v>
      </c>
      <c r="F1082">
        <v>1</v>
      </c>
    </row>
    <row r="1083" spans="1:6">
      <c r="A1083" t="s">
        <v>125</v>
      </c>
      <c r="B1083" t="s">
        <v>35</v>
      </c>
      <c r="C1083" s="3">
        <v>8.277</v>
      </c>
      <c r="D1083">
        <v>1</v>
      </c>
      <c r="E1083">
        <v>1</v>
      </c>
      <c r="F1083">
        <v>1</v>
      </c>
    </row>
    <row r="1084" spans="1:6">
      <c r="A1084" t="s">
        <v>125</v>
      </c>
      <c r="B1084" t="s">
        <v>36</v>
      </c>
      <c r="C1084" s="3">
        <v>258.90456</v>
      </c>
      <c r="D1084">
        <v>1</v>
      </c>
      <c r="E1084">
        <v>1</v>
      </c>
      <c r="F1084">
        <v>1</v>
      </c>
    </row>
    <row r="1085" spans="1:6">
      <c r="A1085" t="s">
        <v>125</v>
      </c>
      <c r="B1085" t="s">
        <v>40</v>
      </c>
      <c r="C1085" s="3">
        <v>104.1</v>
      </c>
      <c r="D1085">
        <v>1</v>
      </c>
      <c r="E1085">
        <v>1</v>
      </c>
      <c r="F1085">
        <v>1</v>
      </c>
    </row>
    <row r="1086" spans="1:6">
      <c r="A1086" t="s">
        <v>125</v>
      </c>
      <c r="B1086" t="s">
        <v>41</v>
      </c>
      <c r="C1086" s="3">
        <v>103.5</v>
      </c>
      <c r="D1086">
        <v>1</v>
      </c>
      <c r="E1086">
        <v>1</v>
      </c>
      <c r="F1086">
        <v>1</v>
      </c>
    </row>
    <row r="1087" spans="1:6">
      <c r="A1087" t="s">
        <v>125</v>
      </c>
      <c r="B1087" t="s">
        <v>42</v>
      </c>
      <c r="C1087" s="3">
        <v>103.2</v>
      </c>
      <c r="D1087">
        <v>1</v>
      </c>
      <c r="E1087">
        <v>1</v>
      </c>
      <c r="F1087">
        <v>1</v>
      </c>
    </row>
    <row r="1088" spans="1:6">
      <c r="A1088" t="s">
        <v>125</v>
      </c>
      <c r="B1088" t="s">
        <v>46</v>
      </c>
      <c r="C1088" s="3">
        <v>107.4</v>
      </c>
      <c r="D1088">
        <v>1</v>
      </c>
      <c r="E1088">
        <v>1</v>
      </c>
      <c r="F1088">
        <v>1</v>
      </c>
    </row>
    <row r="1089" spans="1:6">
      <c r="A1089" t="s">
        <v>125</v>
      </c>
      <c r="B1089" t="s">
        <v>392</v>
      </c>
      <c r="C1089" s="3"/>
      <c r="D1089">
        <v>0</v>
      </c>
      <c r="E1089">
        <v>1</v>
      </c>
      <c r="F1089">
        <v>1</v>
      </c>
    </row>
    <row r="1090" spans="1:6">
      <c r="A1090" t="s">
        <v>125</v>
      </c>
      <c r="B1090" t="s">
        <v>393</v>
      </c>
      <c r="C1090" s="3"/>
      <c r="D1090">
        <v>0</v>
      </c>
      <c r="E1090">
        <v>1</v>
      </c>
      <c r="F1090">
        <v>1</v>
      </c>
    </row>
    <row r="1091" spans="1:6">
      <c r="A1091" t="s">
        <v>125</v>
      </c>
      <c r="B1091" t="s">
        <v>394</v>
      </c>
      <c r="C1091" s="3"/>
      <c r="D1091">
        <v>0</v>
      </c>
      <c r="E1091">
        <v>1</v>
      </c>
      <c r="F1091">
        <v>1</v>
      </c>
    </row>
    <row r="1092" spans="1:6">
      <c r="A1092" t="s">
        <v>125</v>
      </c>
      <c r="B1092" t="s">
        <v>39</v>
      </c>
      <c r="C1092" s="3">
        <v>4.81350079871304</v>
      </c>
      <c r="D1092">
        <v>1</v>
      </c>
      <c r="E1092">
        <v>1</v>
      </c>
      <c r="F1092">
        <v>1</v>
      </c>
    </row>
    <row r="1093" spans="1:6">
      <c r="A1093" t="s">
        <v>125</v>
      </c>
      <c r="B1093" t="s">
        <v>43</v>
      </c>
      <c r="C1093" s="3">
        <v>-0.600000000000009</v>
      </c>
      <c r="D1093">
        <v>1</v>
      </c>
      <c r="E1093">
        <v>1</v>
      </c>
      <c r="F1093">
        <v>1</v>
      </c>
    </row>
    <row r="1094" spans="1:6">
      <c r="A1094" t="s">
        <v>125</v>
      </c>
      <c r="B1094" t="s">
        <v>44</v>
      </c>
      <c r="C1094" s="3">
        <v>0.5</v>
      </c>
      <c r="D1094">
        <v>1</v>
      </c>
      <c r="E1094">
        <v>1</v>
      </c>
      <c r="F1094">
        <v>1</v>
      </c>
    </row>
    <row r="1095" spans="1:6">
      <c r="A1095" t="s">
        <v>125</v>
      </c>
      <c r="B1095" t="s">
        <v>45</v>
      </c>
      <c r="C1095" s="3">
        <v>0</v>
      </c>
      <c r="D1095">
        <v>1</v>
      </c>
      <c r="E1095">
        <v>1</v>
      </c>
      <c r="F1095">
        <v>1</v>
      </c>
    </row>
    <row r="1096" spans="1:6">
      <c r="A1096" t="s">
        <v>125</v>
      </c>
      <c r="B1096" t="s">
        <v>396</v>
      </c>
      <c r="C1096" s="3"/>
      <c r="D1096">
        <v>0</v>
      </c>
      <c r="E1096">
        <v>1</v>
      </c>
      <c r="F1096">
        <v>1</v>
      </c>
    </row>
    <row r="1097" spans="1:6">
      <c r="A1097" t="s">
        <v>126</v>
      </c>
      <c r="B1097" t="s">
        <v>34</v>
      </c>
      <c r="C1097" s="3">
        <v>30.86</v>
      </c>
      <c r="D1097">
        <v>1</v>
      </c>
      <c r="E1097">
        <v>1</v>
      </c>
      <c r="F1097">
        <v>1</v>
      </c>
    </row>
    <row r="1098" spans="1:6">
      <c r="A1098" t="s">
        <v>126</v>
      </c>
      <c r="B1098" t="s">
        <v>35</v>
      </c>
      <c r="C1098" s="3">
        <v>8.2771</v>
      </c>
      <c r="D1098">
        <v>1</v>
      </c>
      <c r="E1098">
        <v>1</v>
      </c>
      <c r="F1098">
        <v>1</v>
      </c>
    </row>
    <row r="1099" spans="1:6">
      <c r="A1099" t="s">
        <v>126</v>
      </c>
      <c r="B1099" t="s">
        <v>36</v>
      </c>
      <c r="C1099" s="3">
        <v>255.431306</v>
      </c>
      <c r="D1099">
        <v>1</v>
      </c>
      <c r="E1099">
        <v>1</v>
      </c>
      <c r="F1099">
        <v>1</v>
      </c>
    </row>
    <row r="1100" spans="1:6">
      <c r="A1100" t="s">
        <v>126</v>
      </c>
      <c r="B1100" t="s">
        <v>40</v>
      </c>
      <c r="C1100" s="3">
        <v>102.9</v>
      </c>
      <c r="D1100">
        <v>1</v>
      </c>
      <c r="E1100">
        <v>1</v>
      </c>
      <c r="F1100">
        <v>1</v>
      </c>
    </row>
    <row r="1101" spans="1:6">
      <c r="A1101" t="s">
        <v>126</v>
      </c>
      <c r="B1101" t="s">
        <v>41</v>
      </c>
      <c r="C1101" s="3">
        <v>103.5</v>
      </c>
      <c r="D1101">
        <v>1</v>
      </c>
      <c r="E1101">
        <v>1</v>
      </c>
      <c r="F1101">
        <v>1</v>
      </c>
    </row>
    <row r="1102" spans="1:6">
      <c r="A1102" t="s">
        <v>126</v>
      </c>
      <c r="B1102" t="s">
        <v>42</v>
      </c>
      <c r="C1102" s="3">
        <v>102.1</v>
      </c>
      <c r="D1102">
        <v>1</v>
      </c>
      <c r="E1102">
        <v>1</v>
      </c>
      <c r="F1102">
        <v>1</v>
      </c>
    </row>
    <row r="1103" spans="1:6">
      <c r="A1103" t="s">
        <v>126</v>
      </c>
      <c r="B1103" t="s">
        <v>46</v>
      </c>
      <c r="C1103" s="3">
        <v>108.1</v>
      </c>
      <c r="D1103">
        <v>1</v>
      </c>
      <c r="E1103">
        <v>1</v>
      </c>
      <c r="F1103">
        <v>1</v>
      </c>
    </row>
    <row r="1104" spans="1:6">
      <c r="A1104" t="s">
        <v>126</v>
      </c>
      <c r="B1104" t="s">
        <v>392</v>
      </c>
      <c r="C1104" s="3"/>
      <c r="D1104">
        <v>0</v>
      </c>
      <c r="E1104">
        <v>1</v>
      </c>
      <c r="F1104">
        <v>1</v>
      </c>
    </row>
    <row r="1105" spans="1:6">
      <c r="A1105" t="s">
        <v>126</v>
      </c>
      <c r="B1105" t="s">
        <v>393</v>
      </c>
      <c r="C1105" s="3"/>
      <c r="D1105">
        <v>0</v>
      </c>
      <c r="E1105">
        <v>1</v>
      </c>
      <c r="F1105">
        <v>1</v>
      </c>
    </row>
    <row r="1106" spans="1:6">
      <c r="A1106" t="s">
        <v>126</v>
      </c>
      <c r="B1106" t="s">
        <v>394</v>
      </c>
      <c r="C1106" s="3"/>
      <c r="D1106">
        <v>0</v>
      </c>
      <c r="E1106">
        <v>1</v>
      </c>
      <c r="F1106">
        <v>1</v>
      </c>
    </row>
    <row r="1107" spans="1:6">
      <c r="A1107" t="s">
        <v>126</v>
      </c>
      <c r="B1107" t="s">
        <v>39</v>
      </c>
      <c r="C1107" s="3">
        <v>-1.35059871429749</v>
      </c>
      <c r="D1107">
        <v>1</v>
      </c>
      <c r="E1107">
        <v>1</v>
      </c>
      <c r="F1107">
        <v>1</v>
      </c>
    </row>
    <row r="1108" spans="1:6">
      <c r="A1108" t="s">
        <v>126</v>
      </c>
      <c r="B1108" t="s">
        <v>43</v>
      </c>
      <c r="C1108" s="3">
        <v>-1.19999999999999</v>
      </c>
      <c r="D1108">
        <v>1</v>
      </c>
      <c r="E1108">
        <v>1</v>
      </c>
      <c r="F1108">
        <v>1</v>
      </c>
    </row>
    <row r="1109" spans="1:6">
      <c r="A1109" t="s">
        <v>126</v>
      </c>
      <c r="B1109" t="s">
        <v>44</v>
      </c>
      <c r="C1109" s="3">
        <v>0</v>
      </c>
      <c r="D1109">
        <v>1</v>
      </c>
      <c r="E1109">
        <v>1</v>
      </c>
      <c r="F1109">
        <v>1</v>
      </c>
    </row>
    <row r="1110" spans="1:6">
      <c r="A1110" t="s">
        <v>126</v>
      </c>
      <c r="B1110" t="s">
        <v>45</v>
      </c>
      <c r="C1110" s="3">
        <v>-1.10000000000001</v>
      </c>
      <c r="D1110">
        <v>1</v>
      </c>
      <c r="E1110">
        <v>1</v>
      </c>
      <c r="F1110">
        <v>1</v>
      </c>
    </row>
    <row r="1111" spans="1:6">
      <c r="A1111" t="s">
        <v>126</v>
      </c>
      <c r="B1111" t="s">
        <v>396</v>
      </c>
      <c r="C1111" s="3"/>
      <c r="D1111">
        <v>0</v>
      </c>
      <c r="E1111">
        <v>1</v>
      </c>
      <c r="F1111">
        <v>1</v>
      </c>
    </row>
    <row r="1112" spans="1:6">
      <c r="A1112" t="s">
        <v>127</v>
      </c>
      <c r="B1112" t="s">
        <v>34</v>
      </c>
      <c r="C1112" s="3">
        <v>33.63</v>
      </c>
      <c r="D1112">
        <v>1</v>
      </c>
      <c r="E1112">
        <v>1</v>
      </c>
      <c r="F1112">
        <v>1</v>
      </c>
    </row>
    <row r="1113" spans="1:6">
      <c r="A1113" t="s">
        <v>127</v>
      </c>
      <c r="B1113" t="s">
        <v>35</v>
      </c>
      <c r="C1113" s="3">
        <v>8.2771</v>
      </c>
      <c r="D1113">
        <v>1</v>
      </c>
      <c r="E1113">
        <v>1</v>
      </c>
      <c r="F1113">
        <v>1</v>
      </c>
    </row>
    <row r="1114" spans="1:6">
      <c r="A1114" t="s">
        <v>127</v>
      </c>
      <c r="B1114" t="s">
        <v>36</v>
      </c>
      <c r="C1114" s="3">
        <v>278.358873</v>
      </c>
      <c r="D1114">
        <v>1</v>
      </c>
      <c r="E1114">
        <v>1</v>
      </c>
      <c r="F1114">
        <v>1</v>
      </c>
    </row>
    <row r="1115" spans="1:6">
      <c r="A1115" t="s">
        <v>127</v>
      </c>
      <c r="B1115" t="s">
        <v>40</v>
      </c>
      <c r="C1115" s="3">
        <v>102.8</v>
      </c>
      <c r="D1115">
        <v>1</v>
      </c>
      <c r="E1115">
        <v>1</v>
      </c>
      <c r="F1115">
        <v>1</v>
      </c>
    </row>
    <row r="1116" spans="1:6">
      <c r="A1116" t="s">
        <v>127</v>
      </c>
      <c r="B1116" t="s">
        <v>41</v>
      </c>
      <c r="C1116" s="3">
        <v>104</v>
      </c>
      <c r="D1116">
        <v>1</v>
      </c>
      <c r="E1116">
        <v>1</v>
      </c>
      <c r="F1116">
        <v>1</v>
      </c>
    </row>
    <row r="1117" spans="1:6">
      <c r="A1117" t="s">
        <v>127</v>
      </c>
      <c r="B1117" t="s">
        <v>42</v>
      </c>
      <c r="C1117" s="3">
        <v>103</v>
      </c>
      <c r="D1117">
        <v>1</v>
      </c>
      <c r="E1117">
        <v>1</v>
      </c>
      <c r="F1117">
        <v>1</v>
      </c>
    </row>
    <row r="1118" spans="1:6">
      <c r="A1118" t="s">
        <v>127</v>
      </c>
      <c r="B1118" t="s">
        <v>46</v>
      </c>
      <c r="C1118" s="3">
        <v>109.5</v>
      </c>
      <c r="D1118">
        <v>1</v>
      </c>
      <c r="E1118">
        <v>1</v>
      </c>
      <c r="F1118">
        <v>1</v>
      </c>
    </row>
    <row r="1119" spans="1:6">
      <c r="A1119" t="s">
        <v>127</v>
      </c>
      <c r="B1119" t="s">
        <v>392</v>
      </c>
      <c r="C1119" s="3"/>
      <c r="D1119">
        <v>0</v>
      </c>
      <c r="E1119">
        <v>1</v>
      </c>
      <c r="F1119">
        <v>1</v>
      </c>
    </row>
    <row r="1120" spans="1:6">
      <c r="A1120" t="s">
        <v>127</v>
      </c>
      <c r="B1120" t="s">
        <v>393</v>
      </c>
      <c r="C1120" s="3"/>
      <c r="D1120">
        <v>0</v>
      </c>
      <c r="E1120">
        <v>1</v>
      </c>
      <c r="F1120">
        <v>1</v>
      </c>
    </row>
    <row r="1121" spans="1:6">
      <c r="A1121" t="s">
        <v>127</v>
      </c>
      <c r="B1121" t="s">
        <v>394</v>
      </c>
      <c r="C1121" s="3"/>
      <c r="D1121">
        <v>0</v>
      </c>
      <c r="E1121">
        <v>1</v>
      </c>
      <c r="F1121">
        <v>1</v>
      </c>
    </row>
    <row r="1122" spans="1:6">
      <c r="A1122" t="s">
        <v>127</v>
      </c>
      <c r="B1122" t="s">
        <v>39</v>
      </c>
      <c r="C1122" s="3">
        <v>8.59576788171637</v>
      </c>
      <c r="D1122">
        <v>1</v>
      </c>
      <c r="E1122">
        <v>1</v>
      </c>
      <c r="F1122">
        <v>1</v>
      </c>
    </row>
    <row r="1123" spans="1:6">
      <c r="A1123" t="s">
        <v>127</v>
      </c>
      <c r="B1123" t="s">
        <v>43</v>
      </c>
      <c r="C1123" s="3">
        <v>-0.100000000000009</v>
      </c>
      <c r="D1123">
        <v>1</v>
      </c>
      <c r="E1123">
        <v>1</v>
      </c>
      <c r="F1123">
        <v>1</v>
      </c>
    </row>
    <row r="1124" spans="1:6">
      <c r="A1124" t="s">
        <v>127</v>
      </c>
      <c r="B1124" t="s">
        <v>44</v>
      </c>
      <c r="C1124" s="3">
        <v>0.5</v>
      </c>
      <c r="D1124">
        <v>1</v>
      </c>
      <c r="E1124">
        <v>1</v>
      </c>
      <c r="F1124">
        <v>1</v>
      </c>
    </row>
    <row r="1125" spans="1:6">
      <c r="A1125" t="s">
        <v>127</v>
      </c>
      <c r="B1125" t="s">
        <v>45</v>
      </c>
      <c r="C1125" s="3">
        <v>0.900000000000006</v>
      </c>
      <c r="D1125">
        <v>1</v>
      </c>
      <c r="E1125">
        <v>1</v>
      </c>
      <c r="F1125">
        <v>1</v>
      </c>
    </row>
    <row r="1126" spans="1:6">
      <c r="A1126" t="s">
        <v>127</v>
      </c>
      <c r="B1126" t="s">
        <v>396</v>
      </c>
      <c r="C1126" s="3"/>
      <c r="D1126">
        <v>0</v>
      </c>
      <c r="E1126">
        <v>1</v>
      </c>
      <c r="F1126">
        <v>1</v>
      </c>
    </row>
    <row r="1127" spans="1:6">
      <c r="A1127" t="s">
        <v>128</v>
      </c>
      <c r="B1127" t="s">
        <v>34</v>
      </c>
      <c r="C1127" s="3">
        <v>33.59</v>
      </c>
      <c r="D1127">
        <v>1</v>
      </c>
      <c r="E1127">
        <v>1</v>
      </c>
      <c r="F1127">
        <v>1</v>
      </c>
    </row>
    <row r="1128" spans="1:6">
      <c r="A1128" t="s">
        <v>128</v>
      </c>
      <c r="B1128" t="s">
        <v>35</v>
      </c>
      <c r="C1128" s="3">
        <v>8.2769</v>
      </c>
      <c r="D1128">
        <v>1</v>
      </c>
      <c r="E1128">
        <v>1</v>
      </c>
      <c r="F1128">
        <v>1</v>
      </c>
    </row>
    <row r="1129" spans="1:6">
      <c r="A1129" t="s">
        <v>128</v>
      </c>
      <c r="B1129" t="s">
        <v>36</v>
      </c>
      <c r="C1129" s="3">
        <v>278.021071</v>
      </c>
      <c r="D1129">
        <v>1</v>
      </c>
      <c r="E1129">
        <v>1</v>
      </c>
      <c r="F1129">
        <v>1</v>
      </c>
    </row>
    <row r="1130" spans="1:6">
      <c r="A1130" t="s">
        <v>128</v>
      </c>
      <c r="B1130" t="s">
        <v>40</v>
      </c>
      <c r="C1130" s="3">
        <v>104.2</v>
      </c>
      <c r="D1130">
        <v>1</v>
      </c>
      <c r="E1130">
        <v>1</v>
      </c>
      <c r="F1130">
        <v>1</v>
      </c>
    </row>
    <row r="1131" spans="1:6">
      <c r="A1131" t="s">
        <v>128</v>
      </c>
      <c r="B1131" t="s">
        <v>41</v>
      </c>
      <c r="C1131" s="3">
        <v>105</v>
      </c>
      <c r="D1131">
        <v>1</v>
      </c>
      <c r="E1131">
        <v>1</v>
      </c>
      <c r="F1131">
        <v>1</v>
      </c>
    </row>
    <row r="1132" spans="1:6">
      <c r="A1132" t="s">
        <v>128</v>
      </c>
      <c r="B1132" t="s">
        <v>42</v>
      </c>
      <c r="C1132" s="3">
        <v>103.8</v>
      </c>
      <c r="D1132">
        <v>1</v>
      </c>
      <c r="E1132">
        <v>1</v>
      </c>
      <c r="F1132">
        <v>1</v>
      </c>
    </row>
    <row r="1133" spans="1:6">
      <c r="A1133" t="s">
        <v>128</v>
      </c>
      <c r="B1133" t="s">
        <v>46</v>
      </c>
      <c r="C1133" s="3">
        <v>110.5</v>
      </c>
      <c r="D1133">
        <v>1</v>
      </c>
      <c r="E1133">
        <v>1</v>
      </c>
      <c r="F1133">
        <v>1</v>
      </c>
    </row>
    <row r="1134" spans="1:6">
      <c r="A1134" t="s">
        <v>128</v>
      </c>
      <c r="B1134" t="s">
        <v>392</v>
      </c>
      <c r="C1134" s="3"/>
      <c r="D1134">
        <v>0</v>
      </c>
      <c r="E1134">
        <v>1</v>
      </c>
      <c r="F1134">
        <v>1</v>
      </c>
    </row>
    <row r="1135" spans="1:6">
      <c r="A1135" t="s">
        <v>128</v>
      </c>
      <c r="B1135" t="s">
        <v>393</v>
      </c>
      <c r="C1135" s="3"/>
      <c r="D1135">
        <v>0</v>
      </c>
      <c r="E1135">
        <v>1</v>
      </c>
      <c r="F1135">
        <v>1</v>
      </c>
    </row>
    <row r="1136" spans="1:6">
      <c r="A1136" t="s">
        <v>128</v>
      </c>
      <c r="B1136" t="s">
        <v>394</v>
      </c>
      <c r="C1136" s="3"/>
      <c r="D1136">
        <v>0</v>
      </c>
      <c r="E1136">
        <v>1</v>
      </c>
      <c r="F1136">
        <v>1</v>
      </c>
    </row>
    <row r="1137" spans="1:6">
      <c r="A1137" t="s">
        <v>128</v>
      </c>
      <c r="B1137" t="s">
        <v>39</v>
      </c>
      <c r="C1137" s="3">
        <v>-0.121428547218513</v>
      </c>
      <c r="D1137">
        <v>1</v>
      </c>
      <c r="E1137">
        <v>1</v>
      </c>
      <c r="F1137">
        <v>1</v>
      </c>
    </row>
    <row r="1138" spans="1:6">
      <c r="A1138" t="s">
        <v>128</v>
      </c>
      <c r="B1138" t="s">
        <v>43</v>
      </c>
      <c r="C1138" s="3">
        <v>1.40000000000001</v>
      </c>
      <c r="D1138">
        <v>1</v>
      </c>
      <c r="E1138">
        <v>1</v>
      </c>
      <c r="F1138">
        <v>1</v>
      </c>
    </row>
    <row r="1139" spans="1:6">
      <c r="A1139" t="s">
        <v>128</v>
      </c>
      <c r="B1139" t="s">
        <v>44</v>
      </c>
      <c r="C1139" s="3">
        <v>1</v>
      </c>
      <c r="D1139">
        <v>1</v>
      </c>
      <c r="E1139">
        <v>1</v>
      </c>
      <c r="F1139">
        <v>1</v>
      </c>
    </row>
    <row r="1140" spans="1:6">
      <c r="A1140" t="s">
        <v>128</v>
      </c>
      <c r="B1140" t="s">
        <v>45</v>
      </c>
      <c r="C1140" s="3">
        <v>0.799999999999997</v>
      </c>
      <c r="D1140">
        <v>1</v>
      </c>
      <c r="E1140">
        <v>1</v>
      </c>
      <c r="F1140">
        <v>1</v>
      </c>
    </row>
    <row r="1141" spans="1:6">
      <c r="A1141" t="s">
        <v>128</v>
      </c>
      <c r="B1141" t="s">
        <v>396</v>
      </c>
      <c r="C1141" s="3"/>
      <c r="D1141">
        <v>0</v>
      </c>
      <c r="E1141">
        <v>1</v>
      </c>
      <c r="F1141">
        <v>1</v>
      </c>
    </row>
    <row r="1142" spans="1:6">
      <c r="A1142" t="s">
        <v>129</v>
      </c>
      <c r="B1142" t="s">
        <v>34</v>
      </c>
      <c r="C1142" s="3">
        <v>37.57</v>
      </c>
      <c r="D1142">
        <v>1</v>
      </c>
      <c r="E1142">
        <v>1</v>
      </c>
      <c r="F1142">
        <v>1</v>
      </c>
    </row>
    <row r="1143" spans="1:6">
      <c r="A1143" t="s">
        <v>129</v>
      </c>
      <c r="B1143" t="s">
        <v>35</v>
      </c>
      <c r="C1143" s="3">
        <v>8.2771</v>
      </c>
      <c r="D1143">
        <v>1</v>
      </c>
      <c r="E1143">
        <v>1</v>
      </c>
      <c r="F1143">
        <v>1</v>
      </c>
    </row>
    <row r="1144" spans="1:6">
      <c r="A1144" t="s">
        <v>129</v>
      </c>
      <c r="B1144" t="s">
        <v>36</v>
      </c>
      <c r="C1144" s="3">
        <v>310.970647</v>
      </c>
      <c r="D1144">
        <v>1</v>
      </c>
      <c r="E1144">
        <v>1</v>
      </c>
      <c r="F1144">
        <v>1</v>
      </c>
    </row>
    <row r="1145" spans="1:6">
      <c r="A1145" t="s">
        <v>129</v>
      </c>
      <c r="B1145" t="s">
        <v>40</v>
      </c>
      <c r="C1145" s="3">
        <v>106</v>
      </c>
      <c r="D1145">
        <v>1</v>
      </c>
      <c r="E1145">
        <v>1</v>
      </c>
      <c r="F1145">
        <v>1</v>
      </c>
    </row>
    <row r="1146" spans="1:6">
      <c r="A1146" t="s">
        <v>129</v>
      </c>
      <c r="B1146" t="s">
        <v>41</v>
      </c>
      <c r="C1146" s="3">
        <v>105.7</v>
      </c>
      <c r="D1146">
        <v>1</v>
      </c>
      <c r="E1146">
        <v>1</v>
      </c>
      <c r="F1146">
        <v>1</v>
      </c>
    </row>
    <row r="1147" spans="1:6">
      <c r="A1147" t="s">
        <v>129</v>
      </c>
      <c r="B1147" t="s">
        <v>42</v>
      </c>
      <c r="C1147" s="3">
        <v>104.4</v>
      </c>
      <c r="D1147">
        <v>1</v>
      </c>
      <c r="E1147">
        <v>1</v>
      </c>
      <c r="F1147">
        <v>1</v>
      </c>
    </row>
    <row r="1148" spans="1:6">
      <c r="A1148" t="s">
        <v>129</v>
      </c>
      <c r="B1148" t="s">
        <v>46</v>
      </c>
      <c r="C1148" s="3">
        <v>111.2</v>
      </c>
      <c r="D1148">
        <v>1</v>
      </c>
      <c r="E1148">
        <v>1</v>
      </c>
      <c r="F1148">
        <v>1</v>
      </c>
    </row>
    <row r="1149" spans="1:6">
      <c r="A1149" t="s">
        <v>129</v>
      </c>
      <c r="B1149" t="s">
        <v>392</v>
      </c>
      <c r="C1149" s="3"/>
      <c r="D1149">
        <v>0</v>
      </c>
      <c r="E1149">
        <v>1</v>
      </c>
      <c r="F1149">
        <v>1</v>
      </c>
    </row>
    <row r="1150" spans="1:6">
      <c r="A1150" t="s">
        <v>129</v>
      </c>
      <c r="B1150" t="s">
        <v>393</v>
      </c>
      <c r="C1150" s="3"/>
      <c r="D1150">
        <v>0</v>
      </c>
      <c r="E1150">
        <v>1</v>
      </c>
      <c r="F1150">
        <v>1</v>
      </c>
    </row>
    <row r="1151" spans="1:6">
      <c r="A1151" t="s">
        <v>129</v>
      </c>
      <c r="B1151" t="s">
        <v>394</v>
      </c>
      <c r="C1151" s="3"/>
      <c r="D1151">
        <v>0</v>
      </c>
      <c r="E1151">
        <v>1</v>
      </c>
      <c r="F1151">
        <v>1</v>
      </c>
    </row>
    <row r="1152" spans="1:6">
      <c r="A1152" t="s">
        <v>129</v>
      </c>
      <c r="B1152" t="s">
        <v>39</v>
      </c>
      <c r="C1152" s="3">
        <v>11.2001619305884</v>
      </c>
      <c r="D1152">
        <v>1</v>
      </c>
      <c r="E1152">
        <v>1</v>
      </c>
      <c r="F1152">
        <v>1</v>
      </c>
    </row>
    <row r="1153" spans="1:6">
      <c r="A1153" t="s">
        <v>129</v>
      </c>
      <c r="B1153" t="s">
        <v>43</v>
      </c>
      <c r="C1153" s="3">
        <v>1.8</v>
      </c>
      <c r="D1153">
        <v>1</v>
      </c>
      <c r="E1153">
        <v>1</v>
      </c>
      <c r="F1153">
        <v>1</v>
      </c>
    </row>
    <row r="1154" spans="1:6">
      <c r="A1154" t="s">
        <v>129</v>
      </c>
      <c r="B1154" t="s">
        <v>44</v>
      </c>
      <c r="C1154" s="3">
        <v>0.700000000000003</v>
      </c>
      <c r="D1154">
        <v>1</v>
      </c>
      <c r="E1154">
        <v>1</v>
      </c>
      <c r="F1154">
        <v>1</v>
      </c>
    </row>
    <row r="1155" spans="1:6">
      <c r="A1155" t="s">
        <v>129</v>
      </c>
      <c r="B1155" t="s">
        <v>45</v>
      </c>
      <c r="C1155" s="3">
        <v>0.600000000000009</v>
      </c>
      <c r="D1155">
        <v>1</v>
      </c>
      <c r="E1155">
        <v>1</v>
      </c>
      <c r="F1155">
        <v>1</v>
      </c>
    </row>
    <row r="1156" spans="1:6">
      <c r="A1156" t="s">
        <v>129</v>
      </c>
      <c r="B1156" t="s">
        <v>396</v>
      </c>
      <c r="C1156" s="3"/>
      <c r="D1156">
        <v>0</v>
      </c>
      <c r="E1156">
        <v>1</v>
      </c>
      <c r="F1156">
        <v>1</v>
      </c>
    </row>
    <row r="1157" spans="1:6">
      <c r="A1157" t="s">
        <v>130</v>
      </c>
      <c r="B1157" t="s">
        <v>34</v>
      </c>
      <c r="C1157" s="3">
        <v>35.18</v>
      </c>
      <c r="D1157">
        <v>1</v>
      </c>
      <c r="E1157">
        <v>1</v>
      </c>
      <c r="F1157">
        <v>1</v>
      </c>
    </row>
    <row r="1158" spans="1:6">
      <c r="A1158" t="s">
        <v>130</v>
      </c>
      <c r="B1158" t="s">
        <v>35</v>
      </c>
      <c r="C1158" s="3">
        <v>8.2767</v>
      </c>
      <c r="D1158">
        <v>1</v>
      </c>
      <c r="E1158">
        <v>1</v>
      </c>
      <c r="F1158">
        <v>1</v>
      </c>
    </row>
    <row r="1159" spans="1:6">
      <c r="A1159" t="s">
        <v>130</v>
      </c>
      <c r="B1159" t="s">
        <v>36</v>
      </c>
      <c r="C1159" s="3">
        <v>291.174306</v>
      </c>
      <c r="D1159">
        <v>1</v>
      </c>
      <c r="E1159">
        <v>1</v>
      </c>
      <c r="F1159">
        <v>1</v>
      </c>
    </row>
    <row r="1160" spans="1:6">
      <c r="A1160" t="s">
        <v>130</v>
      </c>
      <c r="B1160" t="s">
        <v>40</v>
      </c>
      <c r="C1160" s="3">
        <v>109.4</v>
      </c>
      <c r="D1160">
        <v>1</v>
      </c>
      <c r="E1160">
        <v>1</v>
      </c>
      <c r="F1160">
        <v>1</v>
      </c>
    </row>
    <row r="1161" spans="1:6">
      <c r="A1161" t="s">
        <v>130</v>
      </c>
      <c r="B1161" t="s">
        <v>41</v>
      </c>
      <c r="C1161" s="3">
        <v>106.4</v>
      </c>
      <c r="D1161">
        <v>1</v>
      </c>
      <c r="E1161">
        <v>1</v>
      </c>
      <c r="F1161">
        <v>1</v>
      </c>
    </row>
    <row r="1162" spans="1:6">
      <c r="A1162" t="s">
        <v>130</v>
      </c>
      <c r="B1162" t="s">
        <v>42</v>
      </c>
      <c r="C1162" s="3">
        <v>105</v>
      </c>
      <c r="D1162">
        <v>1</v>
      </c>
      <c r="E1162">
        <v>1</v>
      </c>
      <c r="F1162">
        <v>1</v>
      </c>
    </row>
    <row r="1163" spans="1:6">
      <c r="A1163" t="s">
        <v>130</v>
      </c>
      <c r="B1163" t="s">
        <v>46</v>
      </c>
      <c r="C1163" s="3">
        <v>111.8</v>
      </c>
      <c r="D1163">
        <v>1</v>
      </c>
      <c r="E1163">
        <v>1</v>
      </c>
      <c r="F1163">
        <v>1</v>
      </c>
    </row>
    <row r="1164" spans="1:6">
      <c r="A1164" t="s">
        <v>130</v>
      </c>
      <c r="B1164" t="s">
        <v>392</v>
      </c>
      <c r="C1164" s="3"/>
      <c r="D1164">
        <v>0</v>
      </c>
      <c r="E1164">
        <v>1</v>
      </c>
      <c r="F1164">
        <v>1</v>
      </c>
    </row>
    <row r="1165" spans="1:6">
      <c r="A1165" t="s">
        <v>130</v>
      </c>
      <c r="B1165" t="s">
        <v>393</v>
      </c>
      <c r="C1165" s="3"/>
      <c r="D1165">
        <v>0</v>
      </c>
      <c r="E1165">
        <v>1</v>
      </c>
      <c r="F1165">
        <v>1</v>
      </c>
    </row>
    <row r="1166" spans="1:6">
      <c r="A1166" t="s">
        <v>130</v>
      </c>
      <c r="B1166" t="s">
        <v>394</v>
      </c>
      <c r="C1166" s="3"/>
      <c r="D1166">
        <v>0</v>
      </c>
      <c r="E1166">
        <v>1</v>
      </c>
      <c r="F1166">
        <v>1</v>
      </c>
    </row>
    <row r="1167" spans="1:6">
      <c r="A1167" t="s">
        <v>130</v>
      </c>
      <c r="B1167" t="s">
        <v>39</v>
      </c>
      <c r="C1167" s="3">
        <v>-6.57764475487628</v>
      </c>
      <c r="D1167">
        <v>1</v>
      </c>
      <c r="E1167">
        <v>1</v>
      </c>
      <c r="F1167">
        <v>1</v>
      </c>
    </row>
    <row r="1168" spans="1:6">
      <c r="A1168" t="s">
        <v>130</v>
      </c>
      <c r="B1168" t="s">
        <v>43</v>
      </c>
      <c r="C1168" s="3">
        <v>3.40000000000001</v>
      </c>
      <c r="D1168">
        <v>1</v>
      </c>
      <c r="E1168">
        <v>1</v>
      </c>
      <c r="F1168">
        <v>1</v>
      </c>
    </row>
    <row r="1169" spans="1:6">
      <c r="A1169" t="s">
        <v>130</v>
      </c>
      <c r="B1169" t="s">
        <v>44</v>
      </c>
      <c r="C1169" s="3">
        <v>0.700000000000003</v>
      </c>
      <c r="D1169">
        <v>1</v>
      </c>
      <c r="E1169">
        <v>1</v>
      </c>
      <c r="F1169">
        <v>1</v>
      </c>
    </row>
    <row r="1170" spans="1:6">
      <c r="A1170" t="s">
        <v>130</v>
      </c>
      <c r="B1170" t="s">
        <v>45</v>
      </c>
      <c r="C1170" s="3">
        <v>0.599999999999994</v>
      </c>
      <c r="D1170">
        <v>1</v>
      </c>
      <c r="E1170">
        <v>1</v>
      </c>
      <c r="F1170">
        <v>1</v>
      </c>
    </row>
    <row r="1171" spans="1:6">
      <c r="A1171" t="s">
        <v>130</v>
      </c>
      <c r="B1171" t="s">
        <v>396</v>
      </c>
      <c r="C1171" s="3"/>
      <c r="D1171">
        <v>0</v>
      </c>
      <c r="E1171">
        <v>1</v>
      </c>
      <c r="F1171">
        <v>1</v>
      </c>
    </row>
    <row r="1172" spans="1:6">
      <c r="A1172" t="s">
        <v>131</v>
      </c>
      <c r="B1172" t="s">
        <v>34</v>
      </c>
      <c r="C1172" s="3">
        <v>38.22</v>
      </c>
      <c r="D1172">
        <v>1</v>
      </c>
      <c r="E1172">
        <v>1</v>
      </c>
      <c r="F1172">
        <v>1</v>
      </c>
    </row>
    <row r="1173" spans="1:6">
      <c r="A1173" t="s">
        <v>131</v>
      </c>
      <c r="B1173" t="s">
        <v>35</v>
      </c>
      <c r="C1173" s="3">
        <v>8.2767</v>
      </c>
      <c r="D1173">
        <v>1</v>
      </c>
      <c r="E1173">
        <v>1</v>
      </c>
      <c r="F1173">
        <v>1</v>
      </c>
    </row>
    <row r="1174" spans="1:6">
      <c r="A1174" t="s">
        <v>131</v>
      </c>
      <c r="B1174" t="s">
        <v>36</v>
      </c>
      <c r="C1174" s="3">
        <v>316.335474</v>
      </c>
      <c r="D1174">
        <v>1</v>
      </c>
      <c r="E1174">
        <v>1</v>
      </c>
      <c r="F1174">
        <v>1</v>
      </c>
    </row>
    <row r="1175" spans="1:6">
      <c r="A1175" t="s">
        <v>131</v>
      </c>
      <c r="B1175" t="s">
        <v>40</v>
      </c>
      <c r="C1175" s="3">
        <v>111</v>
      </c>
      <c r="D1175">
        <v>1</v>
      </c>
      <c r="E1175">
        <v>1</v>
      </c>
      <c r="F1175">
        <v>1</v>
      </c>
    </row>
    <row r="1176" spans="1:6">
      <c r="A1176" t="s">
        <v>131</v>
      </c>
      <c r="B1176" t="s">
        <v>41</v>
      </c>
      <c r="C1176" s="3">
        <v>106.4</v>
      </c>
      <c r="D1176">
        <v>1</v>
      </c>
      <c r="E1176">
        <v>1</v>
      </c>
      <c r="F1176">
        <v>1</v>
      </c>
    </row>
    <row r="1177" spans="1:6">
      <c r="A1177" t="s">
        <v>131</v>
      </c>
      <c r="B1177" t="s">
        <v>42</v>
      </c>
      <c r="C1177" s="3">
        <v>105.3</v>
      </c>
      <c r="D1177">
        <v>1</v>
      </c>
      <c r="E1177">
        <v>1</v>
      </c>
      <c r="F1177">
        <v>1</v>
      </c>
    </row>
    <row r="1178" spans="1:6">
      <c r="A1178" t="s">
        <v>131</v>
      </c>
      <c r="B1178" t="s">
        <v>46</v>
      </c>
      <c r="C1178" s="3">
        <v>112</v>
      </c>
      <c r="D1178">
        <v>1</v>
      </c>
      <c r="E1178">
        <v>1</v>
      </c>
      <c r="F1178">
        <v>1</v>
      </c>
    </row>
    <row r="1179" spans="1:6">
      <c r="A1179" t="s">
        <v>131</v>
      </c>
      <c r="B1179" t="s">
        <v>392</v>
      </c>
      <c r="C1179" s="3"/>
      <c r="D1179">
        <v>0</v>
      </c>
      <c r="E1179">
        <v>1</v>
      </c>
      <c r="F1179">
        <v>1</v>
      </c>
    </row>
    <row r="1180" spans="1:6">
      <c r="A1180" t="s">
        <v>131</v>
      </c>
      <c r="B1180" t="s">
        <v>393</v>
      </c>
      <c r="C1180" s="3"/>
      <c r="D1180">
        <v>0</v>
      </c>
      <c r="E1180">
        <v>1</v>
      </c>
      <c r="F1180">
        <v>1</v>
      </c>
    </row>
    <row r="1181" spans="1:6">
      <c r="A1181" t="s">
        <v>131</v>
      </c>
      <c r="B1181" t="s">
        <v>394</v>
      </c>
      <c r="C1181" s="3"/>
      <c r="D1181">
        <v>0</v>
      </c>
      <c r="E1181">
        <v>1</v>
      </c>
      <c r="F1181">
        <v>1</v>
      </c>
    </row>
    <row r="1182" spans="1:6">
      <c r="A1182" t="s">
        <v>131</v>
      </c>
      <c r="B1182" t="s">
        <v>39</v>
      </c>
      <c r="C1182" s="3">
        <v>8.28811995027148</v>
      </c>
      <c r="D1182">
        <v>1</v>
      </c>
      <c r="E1182">
        <v>1</v>
      </c>
      <c r="F1182">
        <v>1</v>
      </c>
    </row>
    <row r="1183" spans="1:6">
      <c r="A1183" t="s">
        <v>131</v>
      </c>
      <c r="B1183" t="s">
        <v>43</v>
      </c>
      <c r="C1183" s="3">
        <v>1.59999999999999</v>
      </c>
      <c r="D1183">
        <v>1</v>
      </c>
      <c r="E1183">
        <v>1</v>
      </c>
      <c r="F1183">
        <v>1</v>
      </c>
    </row>
    <row r="1184" spans="1:6">
      <c r="A1184" t="s">
        <v>131</v>
      </c>
      <c r="B1184" t="s">
        <v>44</v>
      </c>
      <c r="C1184" s="3">
        <v>0</v>
      </c>
      <c r="D1184">
        <v>1</v>
      </c>
      <c r="E1184">
        <v>1</v>
      </c>
      <c r="F1184">
        <v>1</v>
      </c>
    </row>
    <row r="1185" spans="1:6">
      <c r="A1185" t="s">
        <v>131</v>
      </c>
      <c r="B1185" t="s">
        <v>45</v>
      </c>
      <c r="C1185" s="3">
        <v>0.299999999999997</v>
      </c>
      <c r="D1185">
        <v>1</v>
      </c>
      <c r="E1185">
        <v>1</v>
      </c>
      <c r="F1185">
        <v>1</v>
      </c>
    </row>
    <row r="1186" spans="1:6">
      <c r="A1186" t="s">
        <v>131</v>
      </c>
      <c r="B1186" t="s">
        <v>396</v>
      </c>
      <c r="C1186" s="3"/>
      <c r="D1186">
        <v>0</v>
      </c>
      <c r="E1186">
        <v>1</v>
      </c>
      <c r="F1186">
        <v>1</v>
      </c>
    </row>
    <row r="1187" spans="1:6">
      <c r="A1187" t="s">
        <v>132</v>
      </c>
      <c r="B1187" t="s">
        <v>34</v>
      </c>
      <c r="C1187" s="3">
        <v>42.74</v>
      </c>
      <c r="D1187">
        <v>1</v>
      </c>
      <c r="E1187">
        <v>1</v>
      </c>
      <c r="F1187">
        <v>1</v>
      </c>
    </row>
    <row r="1188" spans="1:6">
      <c r="A1188" t="s">
        <v>132</v>
      </c>
      <c r="B1188" t="s">
        <v>35</v>
      </c>
      <c r="C1188" s="3">
        <v>8.2768</v>
      </c>
      <c r="D1188">
        <v>1</v>
      </c>
      <c r="E1188">
        <v>1</v>
      </c>
      <c r="F1188">
        <v>1</v>
      </c>
    </row>
    <row r="1189" spans="1:6">
      <c r="A1189" t="s">
        <v>132</v>
      </c>
      <c r="B1189" t="s">
        <v>36</v>
      </c>
      <c r="C1189" s="3">
        <v>353.750432</v>
      </c>
      <c r="D1189">
        <v>1</v>
      </c>
      <c r="E1189">
        <v>1</v>
      </c>
      <c r="F1189">
        <v>1</v>
      </c>
    </row>
    <row r="1190" spans="1:6">
      <c r="A1190" t="s">
        <v>132</v>
      </c>
      <c r="B1190" t="s">
        <v>40</v>
      </c>
      <c r="C1190" s="3">
        <v>111.9</v>
      </c>
      <c r="D1190">
        <v>1</v>
      </c>
      <c r="E1190">
        <v>1</v>
      </c>
      <c r="F1190">
        <v>1</v>
      </c>
    </row>
    <row r="1191" spans="1:6">
      <c r="A1191" t="s">
        <v>132</v>
      </c>
      <c r="B1191" t="s">
        <v>41</v>
      </c>
      <c r="C1191" s="3">
        <v>106.8</v>
      </c>
      <c r="D1191">
        <v>1</v>
      </c>
      <c r="E1191">
        <v>1</v>
      </c>
      <c r="F1191">
        <v>1</v>
      </c>
    </row>
    <row r="1192" spans="1:6">
      <c r="A1192" t="s">
        <v>132</v>
      </c>
      <c r="B1192" t="s">
        <v>42</v>
      </c>
      <c r="C1192" s="3">
        <v>105.3</v>
      </c>
      <c r="D1192">
        <v>1</v>
      </c>
      <c r="E1192">
        <v>1</v>
      </c>
      <c r="F1192">
        <v>1</v>
      </c>
    </row>
    <row r="1193" spans="1:6">
      <c r="A1193" t="s">
        <v>132</v>
      </c>
      <c r="B1193" t="s">
        <v>46</v>
      </c>
      <c r="C1193" s="3">
        <v>112.9</v>
      </c>
      <c r="D1193">
        <v>1</v>
      </c>
      <c r="E1193">
        <v>1</v>
      </c>
      <c r="F1193">
        <v>1</v>
      </c>
    </row>
    <row r="1194" spans="1:6">
      <c r="A1194" t="s">
        <v>132</v>
      </c>
      <c r="B1194" t="s">
        <v>392</v>
      </c>
      <c r="C1194" s="3"/>
      <c r="D1194">
        <v>0</v>
      </c>
      <c r="E1194">
        <v>1</v>
      </c>
      <c r="F1194">
        <v>1</v>
      </c>
    </row>
    <row r="1195" spans="1:6">
      <c r="A1195" t="s">
        <v>132</v>
      </c>
      <c r="B1195" t="s">
        <v>393</v>
      </c>
      <c r="C1195" s="3"/>
      <c r="D1195">
        <v>0</v>
      </c>
      <c r="E1195">
        <v>1</v>
      </c>
      <c r="F1195">
        <v>1</v>
      </c>
    </row>
    <row r="1196" spans="1:6">
      <c r="A1196" t="s">
        <v>132</v>
      </c>
      <c r="B1196" t="s">
        <v>394</v>
      </c>
      <c r="C1196" s="3"/>
      <c r="D1196">
        <v>0</v>
      </c>
      <c r="E1196">
        <v>1</v>
      </c>
      <c r="F1196">
        <v>1</v>
      </c>
    </row>
    <row r="1197" spans="1:6">
      <c r="A1197" t="s">
        <v>132</v>
      </c>
      <c r="B1197" t="s">
        <v>39</v>
      </c>
      <c r="C1197" s="3">
        <v>11.1788393115906</v>
      </c>
      <c r="D1197">
        <v>1</v>
      </c>
      <c r="E1197">
        <v>1</v>
      </c>
      <c r="F1197">
        <v>1</v>
      </c>
    </row>
    <row r="1198" spans="1:6">
      <c r="A1198" t="s">
        <v>132</v>
      </c>
      <c r="B1198" t="s">
        <v>43</v>
      </c>
      <c r="C1198" s="3">
        <v>0.900000000000006</v>
      </c>
      <c r="D1198">
        <v>1</v>
      </c>
      <c r="E1198">
        <v>1</v>
      </c>
      <c r="F1198">
        <v>1</v>
      </c>
    </row>
    <row r="1199" spans="1:6">
      <c r="A1199" t="s">
        <v>132</v>
      </c>
      <c r="B1199" t="s">
        <v>44</v>
      </c>
      <c r="C1199" s="3">
        <v>0.399999999999991</v>
      </c>
      <c r="D1199">
        <v>1</v>
      </c>
      <c r="E1199">
        <v>1</v>
      </c>
      <c r="F1199">
        <v>1</v>
      </c>
    </row>
    <row r="1200" spans="1:6">
      <c r="A1200" t="s">
        <v>132</v>
      </c>
      <c r="B1200" t="s">
        <v>45</v>
      </c>
      <c r="C1200" s="3">
        <v>0</v>
      </c>
      <c r="D1200">
        <v>1</v>
      </c>
      <c r="E1200">
        <v>1</v>
      </c>
      <c r="F1200">
        <v>1</v>
      </c>
    </row>
    <row r="1201" spans="1:6">
      <c r="A1201" t="s">
        <v>132</v>
      </c>
      <c r="B1201" t="s">
        <v>396</v>
      </c>
      <c r="C1201" s="3"/>
      <c r="D1201">
        <v>0</v>
      </c>
      <c r="E1201">
        <v>1</v>
      </c>
      <c r="F1201">
        <v>1</v>
      </c>
    </row>
    <row r="1202" spans="1:6">
      <c r="A1202" t="s">
        <v>133</v>
      </c>
      <c r="B1202" t="s">
        <v>34</v>
      </c>
      <c r="C1202" s="3">
        <v>43.2</v>
      </c>
      <c r="D1202">
        <v>1</v>
      </c>
      <c r="E1202">
        <v>1</v>
      </c>
      <c r="F1202">
        <v>1</v>
      </c>
    </row>
    <row r="1203" spans="1:6">
      <c r="A1203" t="s">
        <v>133</v>
      </c>
      <c r="B1203" t="s">
        <v>35</v>
      </c>
      <c r="C1203" s="3">
        <v>8.2767</v>
      </c>
      <c r="D1203">
        <v>1</v>
      </c>
      <c r="E1203">
        <v>1</v>
      </c>
      <c r="F1203">
        <v>1</v>
      </c>
    </row>
    <row r="1204" spans="1:6">
      <c r="A1204" t="s">
        <v>133</v>
      </c>
      <c r="B1204" t="s">
        <v>36</v>
      </c>
      <c r="C1204" s="3">
        <v>357.55344</v>
      </c>
      <c r="D1204">
        <v>1</v>
      </c>
      <c r="E1204">
        <v>1</v>
      </c>
      <c r="F1204">
        <v>1</v>
      </c>
    </row>
    <row r="1205" spans="1:6">
      <c r="A1205" t="s">
        <v>133</v>
      </c>
      <c r="B1205" t="s">
        <v>40</v>
      </c>
      <c r="C1205" s="3">
        <v>114</v>
      </c>
      <c r="D1205">
        <v>1</v>
      </c>
      <c r="E1205">
        <v>1</v>
      </c>
      <c r="F1205">
        <v>1</v>
      </c>
    </row>
    <row r="1206" spans="1:6">
      <c r="A1206" t="s">
        <v>133</v>
      </c>
      <c r="B1206" t="s">
        <v>41</v>
      </c>
      <c r="C1206" s="3">
        <v>108</v>
      </c>
      <c r="D1206">
        <v>1</v>
      </c>
      <c r="E1206">
        <v>1</v>
      </c>
      <c r="F1206">
        <v>1</v>
      </c>
    </row>
    <row r="1207" spans="1:6">
      <c r="A1207" t="s">
        <v>133</v>
      </c>
      <c r="B1207" t="s">
        <v>42</v>
      </c>
      <c r="C1207" s="3">
        <v>105.2</v>
      </c>
      <c r="D1207">
        <v>1</v>
      </c>
      <c r="E1207">
        <v>1</v>
      </c>
      <c r="F1207">
        <v>1</v>
      </c>
    </row>
    <row r="1208" spans="1:6">
      <c r="A1208" t="s">
        <v>133</v>
      </c>
      <c r="B1208" t="s">
        <v>46</v>
      </c>
      <c r="C1208" s="3">
        <v>113.7</v>
      </c>
      <c r="D1208">
        <v>1</v>
      </c>
      <c r="E1208">
        <v>1</v>
      </c>
      <c r="F1208">
        <v>1</v>
      </c>
    </row>
    <row r="1209" spans="1:6">
      <c r="A1209" t="s">
        <v>133</v>
      </c>
      <c r="B1209" t="s">
        <v>392</v>
      </c>
      <c r="C1209" s="3"/>
      <c r="D1209">
        <v>0</v>
      </c>
      <c r="E1209">
        <v>1</v>
      </c>
      <c r="F1209">
        <v>1</v>
      </c>
    </row>
    <row r="1210" spans="1:6">
      <c r="A1210" t="s">
        <v>133</v>
      </c>
      <c r="B1210" t="s">
        <v>393</v>
      </c>
      <c r="C1210" s="3"/>
      <c r="D1210">
        <v>0</v>
      </c>
      <c r="E1210">
        <v>1</v>
      </c>
      <c r="F1210">
        <v>1</v>
      </c>
    </row>
    <row r="1211" spans="1:6">
      <c r="A1211" t="s">
        <v>133</v>
      </c>
      <c r="B1211" t="s">
        <v>394</v>
      </c>
      <c r="C1211" s="3"/>
      <c r="D1211">
        <v>0</v>
      </c>
      <c r="E1211">
        <v>1</v>
      </c>
      <c r="F1211">
        <v>1</v>
      </c>
    </row>
    <row r="1212" spans="1:6">
      <c r="A1212" t="s">
        <v>133</v>
      </c>
      <c r="B1212" t="s">
        <v>39</v>
      </c>
      <c r="C1212" s="3">
        <v>1.06931633220316</v>
      </c>
      <c r="D1212">
        <v>1</v>
      </c>
      <c r="E1212">
        <v>1</v>
      </c>
      <c r="F1212">
        <v>1</v>
      </c>
    </row>
    <row r="1213" spans="1:6">
      <c r="A1213" t="s">
        <v>133</v>
      </c>
      <c r="B1213" t="s">
        <v>43</v>
      </c>
      <c r="C1213" s="3">
        <v>2.09999999999999</v>
      </c>
      <c r="D1213">
        <v>1</v>
      </c>
      <c r="E1213">
        <v>1</v>
      </c>
      <c r="F1213">
        <v>1</v>
      </c>
    </row>
    <row r="1214" spans="1:6">
      <c r="A1214" t="s">
        <v>133</v>
      </c>
      <c r="B1214" t="s">
        <v>44</v>
      </c>
      <c r="C1214" s="3">
        <v>1.2</v>
      </c>
      <c r="D1214">
        <v>1</v>
      </c>
      <c r="E1214">
        <v>1</v>
      </c>
      <c r="F1214">
        <v>1</v>
      </c>
    </row>
    <row r="1215" spans="1:6">
      <c r="A1215" t="s">
        <v>133</v>
      </c>
      <c r="B1215" t="s">
        <v>45</v>
      </c>
      <c r="C1215" s="3">
        <v>-0.0999999999999943</v>
      </c>
      <c r="D1215">
        <v>1</v>
      </c>
      <c r="E1215">
        <v>1</v>
      </c>
      <c r="F1215">
        <v>1</v>
      </c>
    </row>
    <row r="1216" spans="1:6">
      <c r="A1216" t="s">
        <v>133</v>
      </c>
      <c r="B1216" t="s">
        <v>396</v>
      </c>
      <c r="C1216" s="3"/>
      <c r="D1216">
        <v>0</v>
      </c>
      <c r="E1216">
        <v>1</v>
      </c>
      <c r="F1216">
        <v>1</v>
      </c>
    </row>
    <row r="1217" spans="1:6">
      <c r="A1217" t="s">
        <v>134</v>
      </c>
      <c r="B1217" t="s">
        <v>34</v>
      </c>
      <c r="C1217" s="3">
        <v>49.78</v>
      </c>
      <c r="D1217">
        <v>1</v>
      </c>
      <c r="E1217">
        <v>1</v>
      </c>
      <c r="F1217">
        <v>1</v>
      </c>
    </row>
    <row r="1218" spans="1:6">
      <c r="A1218" t="s">
        <v>134</v>
      </c>
      <c r="B1218" t="s">
        <v>35</v>
      </c>
      <c r="C1218" s="3">
        <v>8.2765</v>
      </c>
      <c r="D1218">
        <v>1</v>
      </c>
      <c r="E1218">
        <v>1</v>
      </c>
      <c r="F1218">
        <v>1</v>
      </c>
    </row>
    <row r="1219" spans="1:6">
      <c r="A1219" t="s">
        <v>134</v>
      </c>
      <c r="B1219" t="s">
        <v>36</v>
      </c>
      <c r="C1219" s="3">
        <v>412.00417</v>
      </c>
      <c r="D1219">
        <v>1</v>
      </c>
      <c r="E1219">
        <v>1</v>
      </c>
      <c r="F1219">
        <v>1</v>
      </c>
    </row>
    <row r="1220" spans="1:6">
      <c r="A1220" t="s">
        <v>134</v>
      </c>
      <c r="B1220" t="s">
        <v>40</v>
      </c>
      <c r="C1220" s="3">
        <v>116.7</v>
      </c>
      <c r="D1220">
        <v>1</v>
      </c>
      <c r="E1220">
        <v>1</v>
      </c>
      <c r="F1220">
        <v>1</v>
      </c>
    </row>
    <row r="1221" spans="1:6">
      <c r="A1221" t="s">
        <v>134</v>
      </c>
      <c r="B1221" t="s">
        <v>41</v>
      </c>
      <c r="C1221" s="3">
        <v>108.4</v>
      </c>
      <c r="D1221">
        <v>1</v>
      </c>
      <c r="E1221">
        <v>1</v>
      </c>
      <c r="F1221">
        <v>1</v>
      </c>
    </row>
    <row r="1222" spans="1:6">
      <c r="A1222" t="s">
        <v>134</v>
      </c>
      <c r="B1222" t="s">
        <v>42</v>
      </c>
      <c r="C1222" s="3">
        <v>104.3</v>
      </c>
      <c r="D1222">
        <v>1</v>
      </c>
      <c r="E1222">
        <v>1</v>
      </c>
      <c r="F1222">
        <v>1</v>
      </c>
    </row>
    <row r="1223" spans="1:6">
      <c r="A1223" t="s">
        <v>134</v>
      </c>
      <c r="B1223" t="s">
        <v>46</v>
      </c>
      <c r="C1223" s="3">
        <v>114.2</v>
      </c>
      <c r="D1223">
        <v>1</v>
      </c>
      <c r="E1223">
        <v>1</v>
      </c>
      <c r="F1223">
        <v>1</v>
      </c>
    </row>
    <row r="1224" spans="1:6">
      <c r="A1224" t="s">
        <v>134</v>
      </c>
      <c r="B1224" t="s">
        <v>392</v>
      </c>
      <c r="C1224" s="3"/>
      <c r="D1224">
        <v>0</v>
      </c>
      <c r="E1224">
        <v>1</v>
      </c>
      <c r="F1224">
        <v>1</v>
      </c>
    </row>
    <row r="1225" spans="1:6">
      <c r="A1225" t="s">
        <v>134</v>
      </c>
      <c r="B1225" t="s">
        <v>393</v>
      </c>
      <c r="C1225" s="3"/>
      <c r="D1225">
        <v>0</v>
      </c>
      <c r="E1225">
        <v>1</v>
      </c>
      <c r="F1225">
        <v>1</v>
      </c>
    </row>
    <row r="1226" spans="1:6">
      <c r="A1226" t="s">
        <v>134</v>
      </c>
      <c r="B1226" t="s">
        <v>394</v>
      </c>
      <c r="C1226" s="3"/>
      <c r="D1226">
        <v>0</v>
      </c>
      <c r="E1226">
        <v>1</v>
      </c>
      <c r="F1226">
        <v>1</v>
      </c>
    </row>
    <row r="1227" spans="1:6">
      <c r="A1227" t="s">
        <v>134</v>
      </c>
      <c r="B1227" t="s">
        <v>39</v>
      </c>
      <c r="C1227" s="3">
        <v>14.1748637177382</v>
      </c>
      <c r="D1227">
        <v>1</v>
      </c>
      <c r="E1227">
        <v>1</v>
      </c>
      <c r="F1227">
        <v>1</v>
      </c>
    </row>
    <row r="1228" spans="1:6">
      <c r="A1228" t="s">
        <v>134</v>
      </c>
      <c r="B1228" t="s">
        <v>43</v>
      </c>
      <c r="C1228" s="3">
        <v>2.7</v>
      </c>
      <c r="D1228">
        <v>1</v>
      </c>
      <c r="E1228">
        <v>1</v>
      </c>
      <c r="F1228">
        <v>1</v>
      </c>
    </row>
    <row r="1229" spans="1:6">
      <c r="A1229" t="s">
        <v>134</v>
      </c>
      <c r="B1229" t="s">
        <v>44</v>
      </c>
      <c r="C1229" s="3">
        <v>0.400000000000006</v>
      </c>
      <c r="D1229">
        <v>1</v>
      </c>
      <c r="E1229">
        <v>1</v>
      </c>
      <c r="F1229">
        <v>1</v>
      </c>
    </row>
    <row r="1230" spans="1:6">
      <c r="A1230" t="s">
        <v>134</v>
      </c>
      <c r="B1230" t="s">
        <v>45</v>
      </c>
      <c r="C1230" s="3">
        <v>-0.900000000000006</v>
      </c>
      <c r="D1230">
        <v>1</v>
      </c>
      <c r="E1230">
        <v>1</v>
      </c>
      <c r="F1230">
        <v>1</v>
      </c>
    </row>
    <row r="1231" spans="1:6">
      <c r="A1231" t="s">
        <v>134</v>
      </c>
      <c r="B1231" t="s">
        <v>396</v>
      </c>
      <c r="C1231" s="3"/>
      <c r="D1231">
        <v>0</v>
      </c>
      <c r="E1231">
        <v>1</v>
      </c>
      <c r="F1231">
        <v>1</v>
      </c>
    </row>
    <row r="1232" spans="1:6">
      <c r="A1232" t="s">
        <v>135</v>
      </c>
      <c r="B1232" t="s">
        <v>34</v>
      </c>
      <c r="C1232" s="3">
        <v>43.11</v>
      </c>
      <c r="D1232">
        <v>1</v>
      </c>
      <c r="E1232">
        <v>1</v>
      </c>
      <c r="F1232">
        <v>1</v>
      </c>
    </row>
    <row r="1233" spans="1:6">
      <c r="A1233" t="s">
        <v>135</v>
      </c>
      <c r="B1233" t="s">
        <v>35</v>
      </c>
      <c r="C1233" s="3">
        <v>8.2765</v>
      </c>
      <c r="D1233">
        <v>1</v>
      </c>
      <c r="E1233">
        <v>1</v>
      </c>
      <c r="F1233">
        <v>1</v>
      </c>
    </row>
    <row r="1234" spans="1:6">
      <c r="A1234" t="s">
        <v>135</v>
      </c>
      <c r="B1234" t="s">
        <v>36</v>
      </c>
      <c r="C1234" s="3">
        <v>356.799915</v>
      </c>
      <c r="D1234">
        <v>1</v>
      </c>
      <c r="E1234">
        <v>1</v>
      </c>
      <c r="F1234">
        <v>1</v>
      </c>
    </row>
    <row r="1235" spans="1:6">
      <c r="A1235" t="s">
        <v>135</v>
      </c>
      <c r="B1235" t="s">
        <v>40</v>
      </c>
      <c r="C1235" s="3">
        <v>118.3</v>
      </c>
      <c r="D1235">
        <v>1</v>
      </c>
      <c r="E1235">
        <v>1</v>
      </c>
      <c r="F1235">
        <v>1</v>
      </c>
    </row>
    <row r="1236" spans="1:6">
      <c r="A1236" t="s">
        <v>135</v>
      </c>
      <c r="B1236" t="s">
        <v>41</v>
      </c>
      <c r="C1236" s="3">
        <v>108.1</v>
      </c>
      <c r="D1236">
        <v>1</v>
      </c>
      <c r="E1236">
        <v>1</v>
      </c>
      <c r="F1236">
        <v>1</v>
      </c>
    </row>
    <row r="1237" spans="1:6">
      <c r="A1237" t="s">
        <v>135</v>
      </c>
      <c r="B1237" t="s">
        <v>42</v>
      </c>
      <c r="C1237" s="3">
        <v>102.8</v>
      </c>
      <c r="D1237">
        <v>1</v>
      </c>
      <c r="E1237">
        <v>1</v>
      </c>
      <c r="F1237">
        <v>1</v>
      </c>
    </row>
    <row r="1238" spans="1:6">
      <c r="A1238" t="s">
        <v>135</v>
      </c>
      <c r="B1238" t="s">
        <v>46</v>
      </c>
      <c r="C1238" s="3">
        <v>113.7</v>
      </c>
      <c r="D1238">
        <v>1</v>
      </c>
      <c r="E1238">
        <v>1</v>
      </c>
      <c r="F1238">
        <v>1</v>
      </c>
    </row>
    <row r="1239" spans="1:6">
      <c r="A1239" t="s">
        <v>135</v>
      </c>
      <c r="B1239" t="s">
        <v>392</v>
      </c>
      <c r="C1239" s="3"/>
      <c r="D1239">
        <v>0</v>
      </c>
      <c r="E1239">
        <v>1</v>
      </c>
      <c r="F1239">
        <v>1</v>
      </c>
    </row>
    <row r="1240" spans="1:6">
      <c r="A1240" t="s">
        <v>135</v>
      </c>
      <c r="B1240" t="s">
        <v>393</v>
      </c>
      <c r="C1240" s="3"/>
      <c r="D1240">
        <v>0</v>
      </c>
      <c r="E1240">
        <v>1</v>
      </c>
      <c r="F1240">
        <v>1</v>
      </c>
    </row>
    <row r="1241" spans="1:6">
      <c r="A1241" t="s">
        <v>135</v>
      </c>
      <c r="B1241" t="s">
        <v>394</v>
      </c>
      <c r="C1241" s="3"/>
      <c r="D1241">
        <v>0</v>
      </c>
      <c r="E1241">
        <v>1</v>
      </c>
      <c r="F1241">
        <v>1</v>
      </c>
    </row>
    <row r="1242" spans="1:6">
      <c r="A1242" t="s">
        <v>135</v>
      </c>
      <c r="B1242" t="s">
        <v>39</v>
      </c>
      <c r="C1242" s="3">
        <v>-14.3858308180403</v>
      </c>
      <c r="D1242">
        <v>1</v>
      </c>
      <c r="E1242">
        <v>1</v>
      </c>
      <c r="F1242">
        <v>1</v>
      </c>
    </row>
    <row r="1243" spans="1:6">
      <c r="A1243" t="s">
        <v>135</v>
      </c>
      <c r="B1243" t="s">
        <v>43</v>
      </c>
      <c r="C1243" s="3">
        <v>1.59999999999999</v>
      </c>
      <c r="D1243">
        <v>1</v>
      </c>
      <c r="E1243">
        <v>1</v>
      </c>
      <c r="F1243">
        <v>1</v>
      </c>
    </row>
    <row r="1244" spans="1:6">
      <c r="A1244" t="s">
        <v>135</v>
      </c>
      <c r="B1244" t="s">
        <v>44</v>
      </c>
      <c r="C1244" s="3">
        <v>-0.300000000000011</v>
      </c>
      <c r="D1244">
        <v>1</v>
      </c>
      <c r="E1244">
        <v>1</v>
      </c>
      <c r="F1244">
        <v>1</v>
      </c>
    </row>
    <row r="1245" spans="1:6">
      <c r="A1245" t="s">
        <v>135</v>
      </c>
      <c r="B1245" t="s">
        <v>45</v>
      </c>
      <c r="C1245" s="3">
        <v>-1.5</v>
      </c>
      <c r="D1245">
        <v>1</v>
      </c>
      <c r="E1245">
        <v>1</v>
      </c>
      <c r="F1245">
        <v>1</v>
      </c>
    </row>
    <row r="1246" spans="1:6">
      <c r="A1246" t="s">
        <v>135</v>
      </c>
      <c r="B1246" t="s">
        <v>396</v>
      </c>
      <c r="C1246" s="3"/>
      <c r="D1246">
        <v>0</v>
      </c>
      <c r="E1246">
        <v>1</v>
      </c>
      <c r="F1246">
        <v>1</v>
      </c>
    </row>
    <row r="1247" spans="1:6">
      <c r="A1247" t="s">
        <v>136</v>
      </c>
      <c r="B1247" t="s">
        <v>34</v>
      </c>
      <c r="C1247" s="3">
        <v>39.6</v>
      </c>
      <c r="D1247">
        <v>1</v>
      </c>
      <c r="E1247">
        <v>1</v>
      </c>
      <c r="F1247">
        <v>1</v>
      </c>
    </row>
    <row r="1248" spans="1:6">
      <c r="A1248" t="s">
        <v>136</v>
      </c>
      <c r="B1248" t="s">
        <v>35</v>
      </c>
      <c r="C1248" s="3">
        <v>8.2765</v>
      </c>
      <c r="D1248">
        <v>1</v>
      </c>
      <c r="E1248">
        <v>1</v>
      </c>
      <c r="F1248">
        <v>1</v>
      </c>
    </row>
    <row r="1249" spans="1:6">
      <c r="A1249" t="s">
        <v>136</v>
      </c>
      <c r="B1249" t="s">
        <v>36</v>
      </c>
      <c r="C1249" s="3">
        <v>327.7494</v>
      </c>
      <c r="D1249">
        <v>1</v>
      </c>
      <c r="E1249">
        <v>1</v>
      </c>
      <c r="F1249">
        <v>1</v>
      </c>
    </row>
    <row r="1250" spans="1:6">
      <c r="A1250" t="s">
        <v>136</v>
      </c>
      <c r="B1250" t="s">
        <v>40</v>
      </c>
      <c r="C1250" s="3">
        <v>115</v>
      </c>
      <c r="D1250">
        <v>1</v>
      </c>
      <c r="E1250">
        <v>1</v>
      </c>
      <c r="F1250">
        <v>1</v>
      </c>
    </row>
    <row r="1251" spans="1:6">
      <c r="A1251" t="s">
        <v>136</v>
      </c>
      <c r="B1251" t="s">
        <v>41</v>
      </c>
      <c r="C1251" s="3">
        <v>107.1</v>
      </c>
      <c r="D1251">
        <v>1</v>
      </c>
      <c r="E1251">
        <v>1</v>
      </c>
      <c r="F1251">
        <v>1</v>
      </c>
    </row>
    <row r="1252" spans="1:6">
      <c r="A1252" t="s">
        <v>136</v>
      </c>
      <c r="B1252" t="s">
        <v>42</v>
      </c>
      <c r="C1252" s="3">
        <v>102.4</v>
      </c>
      <c r="D1252">
        <v>1</v>
      </c>
      <c r="E1252">
        <v>1</v>
      </c>
      <c r="F1252">
        <v>1</v>
      </c>
    </row>
    <row r="1253" spans="1:6">
      <c r="A1253" t="s">
        <v>136</v>
      </c>
      <c r="B1253" t="s">
        <v>46</v>
      </c>
      <c r="C1253" s="3">
        <v>112</v>
      </c>
      <c r="D1253">
        <v>1</v>
      </c>
      <c r="E1253">
        <v>1</v>
      </c>
      <c r="F1253">
        <v>1</v>
      </c>
    </row>
    <row r="1254" spans="1:6">
      <c r="A1254" t="s">
        <v>136</v>
      </c>
      <c r="B1254" t="s">
        <v>392</v>
      </c>
      <c r="C1254" s="3"/>
      <c r="D1254">
        <v>0</v>
      </c>
      <c r="E1254">
        <v>1</v>
      </c>
      <c r="F1254">
        <v>1</v>
      </c>
    </row>
    <row r="1255" spans="1:6">
      <c r="A1255" t="s">
        <v>136</v>
      </c>
      <c r="B1255" t="s">
        <v>393</v>
      </c>
      <c r="C1255" s="3"/>
      <c r="D1255">
        <v>0</v>
      </c>
      <c r="E1255">
        <v>1</v>
      </c>
      <c r="F1255">
        <v>1</v>
      </c>
    </row>
    <row r="1256" spans="1:6">
      <c r="A1256" t="s">
        <v>136</v>
      </c>
      <c r="B1256" t="s">
        <v>394</v>
      </c>
      <c r="C1256" s="3"/>
      <c r="D1256">
        <v>0</v>
      </c>
      <c r="E1256">
        <v>1</v>
      </c>
      <c r="F1256">
        <v>1</v>
      </c>
    </row>
    <row r="1257" spans="1:6">
      <c r="A1257" t="s">
        <v>136</v>
      </c>
      <c r="B1257" t="s">
        <v>39</v>
      </c>
      <c r="C1257" s="3">
        <v>-8.49258704986083</v>
      </c>
      <c r="D1257">
        <v>1</v>
      </c>
      <c r="E1257">
        <v>1</v>
      </c>
      <c r="F1257">
        <v>1</v>
      </c>
    </row>
    <row r="1258" spans="1:6">
      <c r="A1258" t="s">
        <v>136</v>
      </c>
      <c r="B1258" t="s">
        <v>43</v>
      </c>
      <c r="C1258" s="3">
        <v>-3.3</v>
      </c>
      <c r="D1258">
        <v>1</v>
      </c>
      <c r="E1258">
        <v>1</v>
      </c>
      <c r="F1258">
        <v>1</v>
      </c>
    </row>
    <row r="1259" spans="1:6">
      <c r="A1259" t="s">
        <v>136</v>
      </c>
      <c r="B1259" t="s">
        <v>44</v>
      </c>
      <c r="C1259" s="3">
        <v>-1</v>
      </c>
      <c r="D1259">
        <v>1</v>
      </c>
      <c r="E1259">
        <v>1</v>
      </c>
      <c r="F1259">
        <v>1</v>
      </c>
    </row>
    <row r="1260" spans="1:6">
      <c r="A1260" t="s">
        <v>136</v>
      </c>
      <c r="B1260" t="s">
        <v>45</v>
      </c>
      <c r="C1260" s="3">
        <v>-0.399999999999991</v>
      </c>
      <c r="D1260">
        <v>1</v>
      </c>
      <c r="E1260">
        <v>1</v>
      </c>
      <c r="F1260">
        <v>1</v>
      </c>
    </row>
    <row r="1261" spans="1:6">
      <c r="A1261" t="s">
        <v>136</v>
      </c>
      <c r="B1261" t="s">
        <v>396</v>
      </c>
      <c r="C1261" s="3"/>
      <c r="D1261">
        <v>0</v>
      </c>
      <c r="E1261">
        <v>1</v>
      </c>
      <c r="F1261">
        <v>1</v>
      </c>
    </row>
    <row r="1262" spans="1:6">
      <c r="A1262" t="s">
        <v>137</v>
      </c>
      <c r="B1262" t="s">
        <v>34</v>
      </c>
      <c r="C1262" s="3">
        <v>44.51</v>
      </c>
      <c r="D1262">
        <v>1</v>
      </c>
      <c r="E1262">
        <v>1</v>
      </c>
      <c r="F1262">
        <v>1</v>
      </c>
    </row>
    <row r="1263" spans="1:6">
      <c r="A1263" t="s">
        <v>137</v>
      </c>
      <c r="B1263" t="s">
        <v>35</v>
      </c>
      <c r="C1263" s="3">
        <v>8.2765</v>
      </c>
      <c r="D1263">
        <v>1</v>
      </c>
      <c r="E1263">
        <v>1</v>
      </c>
      <c r="F1263">
        <v>1</v>
      </c>
    </row>
    <row r="1264" spans="1:6">
      <c r="A1264" t="s">
        <v>137</v>
      </c>
      <c r="B1264" t="s">
        <v>36</v>
      </c>
      <c r="C1264" s="3">
        <v>368.387015</v>
      </c>
      <c r="D1264">
        <v>1</v>
      </c>
      <c r="E1264">
        <v>1</v>
      </c>
      <c r="F1264">
        <v>1</v>
      </c>
    </row>
    <row r="1265" spans="1:6">
      <c r="A1265" t="s">
        <v>137</v>
      </c>
      <c r="B1265" t="s">
        <v>40</v>
      </c>
      <c r="C1265" s="3">
        <v>112.6</v>
      </c>
      <c r="D1265">
        <v>1</v>
      </c>
      <c r="E1265">
        <v>1</v>
      </c>
      <c r="F1265">
        <v>1</v>
      </c>
    </row>
    <row r="1266" spans="1:6">
      <c r="A1266" t="s">
        <v>137</v>
      </c>
      <c r="B1266" t="s">
        <v>41</v>
      </c>
      <c r="C1266" s="3">
        <v>105.8</v>
      </c>
      <c r="D1266">
        <v>1</v>
      </c>
      <c r="E1266">
        <v>1</v>
      </c>
      <c r="F1266">
        <v>1</v>
      </c>
    </row>
    <row r="1267" spans="1:6">
      <c r="A1267" t="s">
        <v>137</v>
      </c>
      <c r="B1267" t="s">
        <v>42</v>
      </c>
      <c r="C1267" s="3">
        <v>101.9</v>
      </c>
      <c r="D1267">
        <v>1</v>
      </c>
      <c r="E1267">
        <v>1</v>
      </c>
      <c r="F1267">
        <v>1</v>
      </c>
    </row>
    <row r="1268" spans="1:6">
      <c r="A1268" t="s">
        <v>137</v>
      </c>
      <c r="B1268" t="s">
        <v>46</v>
      </c>
      <c r="C1268" s="3">
        <v>110.7</v>
      </c>
      <c r="D1268">
        <v>1</v>
      </c>
      <c r="E1268">
        <v>1</v>
      </c>
      <c r="F1268">
        <v>1</v>
      </c>
    </row>
    <row r="1269" spans="1:6">
      <c r="A1269" t="s">
        <v>137</v>
      </c>
      <c r="B1269" t="s">
        <v>392</v>
      </c>
      <c r="C1269" s="3"/>
      <c r="D1269">
        <v>0</v>
      </c>
      <c r="E1269">
        <v>1</v>
      </c>
      <c r="F1269">
        <v>1</v>
      </c>
    </row>
    <row r="1270" spans="1:6">
      <c r="A1270" t="s">
        <v>137</v>
      </c>
      <c r="B1270" t="s">
        <v>393</v>
      </c>
      <c r="C1270" s="3"/>
      <c r="D1270">
        <v>0</v>
      </c>
      <c r="E1270">
        <v>1</v>
      </c>
      <c r="F1270">
        <v>1</v>
      </c>
    </row>
    <row r="1271" spans="1:6">
      <c r="A1271" t="s">
        <v>137</v>
      </c>
      <c r="B1271" t="s">
        <v>394</v>
      </c>
      <c r="C1271" s="3"/>
      <c r="D1271">
        <v>0</v>
      </c>
      <c r="E1271">
        <v>1</v>
      </c>
      <c r="F1271">
        <v>1</v>
      </c>
    </row>
    <row r="1272" spans="1:6">
      <c r="A1272" t="s">
        <v>137</v>
      </c>
      <c r="B1272" t="s">
        <v>39</v>
      </c>
      <c r="C1272" s="3">
        <v>11.6884764767328</v>
      </c>
      <c r="D1272">
        <v>1</v>
      </c>
      <c r="E1272">
        <v>1</v>
      </c>
      <c r="F1272">
        <v>1</v>
      </c>
    </row>
    <row r="1273" spans="1:6">
      <c r="A1273" t="s">
        <v>137</v>
      </c>
      <c r="B1273" t="s">
        <v>43</v>
      </c>
      <c r="C1273" s="3">
        <v>-2.40000000000001</v>
      </c>
      <c r="D1273">
        <v>1</v>
      </c>
      <c r="E1273">
        <v>1</v>
      </c>
      <c r="F1273">
        <v>1</v>
      </c>
    </row>
    <row r="1274" spans="1:6">
      <c r="A1274" t="s">
        <v>137</v>
      </c>
      <c r="B1274" t="s">
        <v>44</v>
      </c>
      <c r="C1274" s="3">
        <v>-1.3</v>
      </c>
      <c r="D1274">
        <v>1</v>
      </c>
      <c r="E1274">
        <v>1</v>
      </c>
      <c r="F1274">
        <v>1</v>
      </c>
    </row>
    <row r="1275" spans="1:6">
      <c r="A1275" t="s">
        <v>137</v>
      </c>
      <c r="B1275" t="s">
        <v>45</v>
      </c>
      <c r="C1275" s="3">
        <v>-0.5</v>
      </c>
      <c r="D1275">
        <v>1</v>
      </c>
      <c r="E1275">
        <v>1</v>
      </c>
      <c r="F1275">
        <v>1</v>
      </c>
    </row>
    <row r="1276" spans="1:6">
      <c r="A1276" t="s">
        <v>137</v>
      </c>
      <c r="B1276" t="s">
        <v>396</v>
      </c>
      <c r="C1276" s="3"/>
      <c r="D1276">
        <v>0</v>
      </c>
      <c r="E1276">
        <v>1</v>
      </c>
      <c r="F1276">
        <v>1</v>
      </c>
    </row>
    <row r="1277" spans="1:6">
      <c r="A1277" t="s">
        <v>138</v>
      </c>
      <c r="B1277" t="s">
        <v>34</v>
      </c>
      <c r="C1277" s="3">
        <v>45.48</v>
      </c>
      <c r="D1277">
        <v>1</v>
      </c>
      <c r="E1277">
        <v>1</v>
      </c>
      <c r="F1277">
        <v>1</v>
      </c>
    </row>
    <row r="1278" spans="1:6">
      <c r="A1278" t="s">
        <v>138</v>
      </c>
      <c r="B1278" t="s">
        <v>35</v>
      </c>
      <c r="C1278" s="3">
        <v>8.2765</v>
      </c>
      <c r="D1278">
        <v>1</v>
      </c>
      <c r="E1278">
        <v>1</v>
      </c>
      <c r="F1278">
        <v>1</v>
      </c>
    </row>
    <row r="1279" spans="1:6">
      <c r="A1279" t="s">
        <v>138</v>
      </c>
      <c r="B1279" t="s">
        <v>36</v>
      </c>
      <c r="C1279" s="3">
        <v>376.41522</v>
      </c>
      <c r="D1279">
        <v>1</v>
      </c>
      <c r="E1279">
        <v>1</v>
      </c>
      <c r="F1279">
        <v>1</v>
      </c>
    </row>
    <row r="1280" spans="1:6">
      <c r="A1280" t="s">
        <v>138</v>
      </c>
      <c r="B1280" t="s">
        <v>40</v>
      </c>
      <c r="C1280" s="3">
        <v>113.1</v>
      </c>
      <c r="D1280">
        <v>1</v>
      </c>
      <c r="E1280">
        <v>1</v>
      </c>
      <c r="F1280">
        <v>1</v>
      </c>
    </row>
    <row r="1281" spans="1:6">
      <c r="A1281" t="s">
        <v>138</v>
      </c>
      <c r="B1281" t="s">
        <v>41</v>
      </c>
      <c r="C1281" s="3">
        <v>105.4</v>
      </c>
      <c r="D1281">
        <v>1</v>
      </c>
      <c r="E1281">
        <v>1</v>
      </c>
      <c r="F1281">
        <v>1</v>
      </c>
    </row>
    <row r="1282" spans="1:6">
      <c r="A1282" t="s">
        <v>138</v>
      </c>
      <c r="B1282" t="s">
        <v>42</v>
      </c>
      <c r="C1282" s="3">
        <v>103.9</v>
      </c>
      <c r="D1282">
        <v>1</v>
      </c>
      <c r="E1282">
        <v>1</v>
      </c>
      <c r="F1282">
        <v>1</v>
      </c>
    </row>
    <row r="1283" spans="1:6">
      <c r="A1283" t="s">
        <v>138</v>
      </c>
      <c r="B1283" t="s">
        <v>46</v>
      </c>
      <c r="C1283" s="3">
        <v>109.8</v>
      </c>
      <c r="D1283">
        <v>1</v>
      </c>
      <c r="E1283">
        <v>1</v>
      </c>
      <c r="F1283">
        <v>1</v>
      </c>
    </row>
    <row r="1284" spans="1:6">
      <c r="A1284" t="s">
        <v>138</v>
      </c>
      <c r="B1284" t="s">
        <v>392</v>
      </c>
      <c r="C1284" s="3"/>
      <c r="D1284">
        <v>0</v>
      </c>
      <c r="E1284">
        <v>1</v>
      </c>
      <c r="F1284">
        <v>1</v>
      </c>
    </row>
    <row r="1285" spans="1:6">
      <c r="A1285" t="s">
        <v>138</v>
      </c>
      <c r="B1285" t="s">
        <v>393</v>
      </c>
      <c r="C1285" s="3"/>
      <c r="D1285">
        <v>0</v>
      </c>
      <c r="E1285">
        <v>1</v>
      </c>
      <c r="F1285">
        <v>1</v>
      </c>
    </row>
    <row r="1286" spans="1:6">
      <c r="A1286" t="s">
        <v>138</v>
      </c>
      <c r="B1286" t="s">
        <v>394</v>
      </c>
      <c r="C1286" s="3"/>
      <c r="D1286">
        <v>0</v>
      </c>
      <c r="E1286">
        <v>1</v>
      </c>
      <c r="F1286">
        <v>1</v>
      </c>
    </row>
    <row r="1287" spans="1:6">
      <c r="A1287" t="s">
        <v>138</v>
      </c>
      <c r="B1287" t="s">
        <v>39</v>
      </c>
      <c r="C1287" s="3">
        <v>2.15587858545723</v>
      </c>
      <c r="D1287">
        <v>1</v>
      </c>
      <c r="E1287">
        <v>1</v>
      </c>
      <c r="F1287">
        <v>1</v>
      </c>
    </row>
    <row r="1288" spans="1:6">
      <c r="A1288" t="s">
        <v>138</v>
      </c>
      <c r="B1288" t="s">
        <v>43</v>
      </c>
      <c r="C1288" s="3">
        <v>0.5</v>
      </c>
      <c r="D1288">
        <v>1</v>
      </c>
      <c r="E1288">
        <v>1</v>
      </c>
      <c r="F1288">
        <v>1</v>
      </c>
    </row>
    <row r="1289" spans="1:6">
      <c r="A1289" t="s">
        <v>138</v>
      </c>
      <c r="B1289" t="s">
        <v>44</v>
      </c>
      <c r="C1289" s="3">
        <v>-0.399999999999991</v>
      </c>
      <c r="D1289">
        <v>1</v>
      </c>
      <c r="E1289">
        <v>1</v>
      </c>
      <c r="F1289">
        <v>1</v>
      </c>
    </row>
    <row r="1290" spans="1:6">
      <c r="A1290" t="s">
        <v>138</v>
      </c>
      <c r="B1290" t="s">
        <v>45</v>
      </c>
      <c r="C1290" s="3">
        <v>2</v>
      </c>
      <c r="D1290">
        <v>1</v>
      </c>
      <c r="E1290">
        <v>1</v>
      </c>
      <c r="F1290">
        <v>1</v>
      </c>
    </row>
    <row r="1291" spans="1:6">
      <c r="A1291" t="s">
        <v>138</v>
      </c>
      <c r="B1291" t="s">
        <v>396</v>
      </c>
      <c r="C1291" s="3"/>
      <c r="D1291">
        <v>0</v>
      </c>
      <c r="E1291">
        <v>1</v>
      </c>
      <c r="F1291">
        <v>1</v>
      </c>
    </row>
    <row r="1292" spans="1:6">
      <c r="A1292" t="s">
        <v>139</v>
      </c>
      <c r="B1292" t="s">
        <v>34</v>
      </c>
      <c r="C1292" s="3">
        <v>53.1</v>
      </c>
      <c r="D1292">
        <v>1</v>
      </c>
      <c r="E1292">
        <v>1</v>
      </c>
      <c r="F1292">
        <v>1</v>
      </c>
    </row>
    <row r="1293" spans="1:6">
      <c r="A1293" t="s">
        <v>139</v>
      </c>
      <c r="B1293" t="s">
        <v>35</v>
      </c>
      <c r="C1293" s="3">
        <v>8.2765</v>
      </c>
      <c r="D1293">
        <v>1</v>
      </c>
      <c r="E1293">
        <v>1</v>
      </c>
      <c r="F1293">
        <v>1</v>
      </c>
    </row>
    <row r="1294" spans="1:6">
      <c r="A1294" t="s">
        <v>139</v>
      </c>
      <c r="B1294" t="s">
        <v>36</v>
      </c>
      <c r="C1294" s="3">
        <v>439.48215</v>
      </c>
      <c r="D1294">
        <v>1</v>
      </c>
      <c r="E1294">
        <v>1</v>
      </c>
      <c r="F1294">
        <v>1</v>
      </c>
    </row>
    <row r="1295" spans="1:6">
      <c r="A1295" t="s">
        <v>139</v>
      </c>
      <c r="B1295" t="s">
        <v>40</v>
      </c>
      <c r="C1295" s="3">
        <v>115.5</v>
      </c>
      <c r="D1295">
        <v>1</v>
      </c>
      <c r="E1295">
        <v>1</v>
      </c>
      <c r="F1295">
        <v>1</v>
      </c>
    </row>
    <row r="1296" spans="1:6">
      <c r="A1296" t="s">
        <v>139</v>
      </c>
      <c r="B1296" t="s">
        <v>41</v>
      </c>
      <c r="C1296" s="3">
        <v>105.6</v>
      </c>
      <c r="D1296">
        <v>1</v>
      </c>
      <c r="E1296">
        <v>1</v>
      </c>
      <c r="F1296">
        <v>1</v>
      </c>
    </row>
    <row r="1297" spans="1:6">
      <c r="A1297" t="s">
        <v>139</v>
      </c>
      <c r="B1297" t="s">
        <v>42</v>
      </c>
      <c r="C1297" s="3">
        <v>102.7</v>
      </c>
      <c r="D1297">
        <v>1</v>
      </c>
      <c r="E1297">
        <v>1</v>
      </c>
      <c r="F1297">
        <v>1</v>
      </c>
    </row>
    <row r="1298" spans="1:6">
      <c r="A1298" t="s">
        <v>139</v>
      </c>
      <c r="B1298" t="s">
        <v>46</v>
      </c>
      <c r="C1298" s="3">
        <v>109.7</v>
      </c>
      <c r="D1298">
        <v>1</v>
      </c>
      <c r="E1298">
        <v>1</v>
      </c>
      <c r="F1298">
        <v>1</v>
      </c>
    </row>
    <row r="1299" spans="1:6">
      <c r="A1299" t="s">
        <v>139</v>
      </c>
      <c r="B1299" t="s">
        <v>392</v>
      </c>
      <c r="C1299" s="3"/>
      <c r="D1299">
        <v>0</v>
      </c>
      <c r="E1299">
        <v>1</v>
      </c>
      <c r="F1299">
        <v>1</v>
      </c>
    </row>
    <row r="1300" spans="1:6">
      <c r="A1300" t="s">
        <v>139</v>
      </c>
      <c r="B1300" t="s">
        <v>393</v>
      </c>
      <c r="C1300" s="3"/>
      <c r="D1300">
        <v>0</v>
      </c>
      <c r="E1300">
        <v>1</v>
      </c>
      <c r="F1300">
        <v>1</v>
      </c>
    </row>
    <row r="1301" spans="1:6">
      <c r="A1301" t="s">
        <v>139</v>
      </c>
      <c r="B1301" t="s">
        <v>394</v>
      </c>
      <c r="C1301" s="3"/>
      <c r="D1301">
        <v>0</v>
      </c>
      <c r="E1301">
        <v>1</v>
      </c>
      <c r="F1301">
        <v>1</v>
      </c>
    </row>
    <row r="1302" spans="1:6">
      <c r="A1302" t="s">
        <v>139</v>
      </c>
      <c r="B1302" t="s">
        <v>39</v>
      </c>
      <c r="C1302" s="3">
        <v>15.4904259365558</v>
      </c>
      <c r="D1302">
        <v>1</v>
      </c>
      <c r="E1302">
        <v>1</v>
      </c>
      <c r="F1302">
        <v>1</v>
      </c>
    </row>
    <row r="1303" spans="1:6">
      <c r="A1303" t="s">
        <v>139</v>
      </c>
      <c r="B1303" t="s">
        <v>43</v>
      </c>
      <c r="C1303" s="3">
        <v>2.40000000000001</v>
      </c>
      <c r="D1303">
        <v>1</v>
      </c>
      <c r="E1303">
        <v>1</v>
      </c>
      <c r="F1303">
        <v>1</v>
      </c>
    </row>
    <row r="1304" spans="1:6">
      <c r="A1304" t="s">
        <v>139</v>
      </c>
      <c r="B1304" t="s">
        <v>44</v>
      </c>
      <c r="C1304" s="3">
        <v>0.199999999999989</v>
      </c>
      <c r="D1304">
        <v>1</v>
      </c>
      <c r="E1304">
        <v>1</v>
      </c>
      <c r="F1304">
        <v>1</v>
      </c>
    </row>
    <row r="1305" spans="1:6">
      <c r="A1305" t="s">
        <v>139</v>
      </c>
      <c r="B1305" t="s">
        <v>45</v>
      </c>
      <c r="C1305" s="3">
        <v>-1.2</v>
      </c>
      <c r="D1305">
        <v>1</v>
      </c>
      <c r="E1305">
        <v>1</v>
      </c>
      <c r="F1305">
        <v>1</v>
      </c>
    </row>
    <row r="1306" spans="1:6">
      <c r="A1306" t="s">
        <v>139</v>
      </c>
      <c r="B1306" t="s">
        <v>396</v>
      </c>
      <c r="C1306" s="3"/>
      <c r="D1306">
        <v>0</v>
      </c>
      <c r="E1306">
        <v>1</v>
      </c>
      <c r="F1306">
        <v>1</v>
      </c>
    </row>
    <row r="1307" spans="1:6">
      <c r="A1307" t="s">
        <v>140</v>
      </c>
      <c r="B1307" t="s">
        <v>34</v>
      </c>
      <c r="C1307" s="3">
        <v>51.88</v>
      </c>
      <c r="D1307">
        <v>1</v>
      </c>
      <c r="E1307">
        <v>1</v>
      </c>
      <c r="F1307">
        <v>1</v>
      </c>
    </row>
    <row r="1308" spans="1:6">
      <c r="A1308" t="s">
        <v>140</v>
      </c>
      <c r="B1308" t="s">
        <v>35</v>
      </c>
      <c r="C1308" s="3">
        <v>8.2765</v>
      </c>
      <c r="D1308">
        <v>1</v>
      </c>
      <c r="E1308">
        <v>1</v>
      </c>
      <c r="F1308">
        <v>1</v>
      </c>
    </row>
    <row r="1309" spans="1:6">
      <c r="A1309" t="s">
        <v>140</v>
      </c>
      <c r="B1309" t="s">
        <v>36</v>
      </c>
      <c r="C1309" s="3">
        <v>429.38482</v>
      </c>
      <c r="D1309">
        <v>1</v>
      </c>
      <c r="E1309">
        <v>1</v>
      </c>
      <c r="F1309">
        <v>1</v>
      </c>
    </row>
    <row r="1310" spans="1:6">
      <c r="A1310" t="s">
        <v>140</v>
      </c>
      <c r="B1310" t="s">
        <v>40</v>
      </c>
      <c r="C1310" s="3">
        <v>117.6</v>
      </c>
      <c r="D1310">
        <v>1</v>
      </c>
      <c r="E1310">
        <v>1</v>
      </c>
      <c r="F1310">
        <v>1</v>
      </c>
    </row>
    <row r="1311" spans="1:6">
      <c r="A1311" t="s">
        <v>140</v>
      </c>
      <c r="B1311" t="s">
        <v>41</v>
      </c>
      <c r="C1311" s="3">
        <v>105.8</v>
      </c>
      <c r="D1311">
        <v>1</v>
      </c>
      <c r="E1311">
        <v>1</v>
      </c>
      <c r="F1311">
        <v>1</v>
      </c>
    </row>
    <row r="1312" spans="1:6">
      <c r="A1312" t="s">
        <v>140</v>
      </c>
      <c r="B1312" t="s">
        <v>42</v>
      </c>
      <c r="C1312" s="3">
        <v>101.8</v>
      </c>
      <c r="D1312">
        <v>1</v>
      </c>
      <c r="E1312">
        <v>1</v>
      </c>
      <c r="F1312">
        <v>1</v>
      </c>
    </row>
    <row r="1313" spans="1:6">
      <c r="A1313" t="s">
        <v>140</v>
      </c>
      <c r="B1313" t="s">
        <v>46</v>
      </c>
      <c r="C1313" s="3">
        <v>109.9</v>
      </c>
      <c r="D1313">
        <v>1</v>
      </c>
      <c r="E1313">
        <v>1</v>
      </c>
      <c r="F1313">
        <v>1</v>
      </c>
    </row>
    <row r="1314" spans="1:6">
      <c r="A1314" t="s">
        <v>140</v>
      </c>
      <c r="B1314" t="s">
        <v>392</v>
      </c>
      <c r="C1314" s="3"/>
      <c r="D1314">
        <v>0</v>
      </c>
      <c r="E1314">
        <v>1</v>
      </c>
      <c r="F1314">
        <v>1</v>
      </c>
    </row>
    <row r="1315" spans="1:6">
      <c r="A1315" t="s">
        <v>140</v>
      </c>
      <c r="B1315" t="s">
        <v>393</v>
      </c>
      <c r="C1315" s="3"/>
      <c r="D1315">
        <v>0</v>
      </c>
      <c r="E1315">
        <v>1</v>
      </c>
      <c r="F1315">
        <v>1</v>
      </c>
    </row>
    <row r="1316" spans="1:6">
      <c r="A1316" t="s">
        <v>140</v>
      </c>
      <c r="B1316" t="s">
        <v>394</v>
      </c>
      <c r="C1316" s="3"/>
      <c r="D1316">
        <v>0</v>
      </c>
      <c r="E1316">
        <v>1</v>
      </c>
      <c r="F1316">
        <v>1</v>
      </c>
    </row>
    <row r="1317" spans="1:6">
      <c r="A1317" t="s">
        <v>140</v>
      </c>
      <c r="B1317" t="s">
        <v>39</v>
      </c>
      <c r="C1317" s="3">
        <v>-2.324356879965</v>
      </c>
      <c r="D1317">
        <v>1</v>
      </c>
      <c r="E1317">
        <v>1</v>
      </c>
      <c r="F1317">
        <v>1</v>
      </c>
    </row>
    <row r="1318" spans="1:6">
      <c r="A1318" t="s">
        <v>140</v>
      </c>
      <c r="B1318" t="s">
        <v>43</v>
      </c>
      <c r="C1318" s="3">
        <v>2.09999999999999</v>
      </c>
      <c r="D1318">
        <v>1</v>
      </c>
      <c r="E1318">
        <v>1</v>
      </c>
      <c r="F1318">
        <v>1</v>
      </c>
    </row>
    <row r="1319" spans="1:6">
      <c r="A1319" t="s">
        <v>140</v>
      </c>
      <c r="B1319" t="s">
        <v>44</v>
      </c>
      <c r="C1319" s="3">
        <v>0.200000000000003</v>
      </c>
      <c r="D1319">
        <v>1</v>
      </c>
      <c r="E1319">
        <v>1</v>
      </c>
      <c r="F1319">
        <v>1</v>
      </c>
    </row>
    <row r="1320" spans="1:6">
      <c r="A1320" t="s">
        <v>140</v>
      </c>
      <c r="B1320" t="s">
        <v>45</v>
      </c>
      <c r="C1320" s="3">
        <v>-0.900000000000006</v>
      </c>
      <c r="D1320">
        <v>1</v>
      </c>
      <c r="E1320">
        <v>1</v>
      </c>
      <c r="F1320">
        <v>1</v>
      </c>
    </row>
    <row r="1321" spans="1:6">
      <c r="A1321" t="s">
        <v>140</v>
      </c>
      <c r="B1321" t="s">
        <v>396</v>
      </c>
      <c r="C1321" s="3"/>
      <c r="D1321">
        <v>0</v>
      </c>
      <c r="E1321">
        <v>1</v>
      </c>
      <c r="F1321">
        <v>1</v>
      </c>
    </row>
    <row r="1322" spans="1:6">
      <c r="A1322" t="s">
        <v>141</v>
      </c>
      <c r="B1322" t="s">
        <v>34</v>
      </c>
      <c r="C1322" s="3">
        <v>48.65</v>
      </c>
      <c r="D1322">
        <v>1</v>
      </c>
      <c r="E1322">
        <v>1</v>
      </c>
      <c r="F1322">
        <v>1</v>
      </c>
    </row>
    <row r="1323" spans="1:6">
      <c r="A1323" t="s">
        <v>141</v>
      </c>
      <c r="B1323" t="s">
        <v>35</v>
      </c>
      <c r="C1323" s="3">
        <v>8.2765</v>
      </c>
      <c r="D1323">
        <v>1</v>
      </c>
      <c r="E1323">
        <v>1</v>
      </c>
      <c r="F1323">
        <v>1</v>
      </c>
    </row>
    <row r="1324" spans="1:6">
      <c r="A1324" t="s">
        <v>141</v>
      </c>
      <c r="B1324" t="s">
        <v>36</v>
      </c>
      <c r="C1324" s="3">
        <v>402.651725</v>
      </c>
      <c r="D1324">
        <v>1</v>
      </c>
      <c r="E1324">
        <v>1</v>
      </c>
      <c r="F1324">
        <v>1</v>
      </c>
    </row>
    <row r="1325" spans="1:6">
      <c r="A1325" t="s">
        <v>141</v>
      </c>
      <c r="B1325" t="s">
        <v>40</v>
      </c>
      <c r="C1325" s="3">
        <v>118.9</v>
      </c>
      <c r="D1325">
        <v>1</v>
      </c>
      <c r="E1325">
        <v>1</v>
      </c>
      <c r="F1325">
        <v>1</v>
      </c>
    </row>
    <row r="1326" spans="1:6">
      <c r="A1326" t="s">
        <v>141</v>
      </c>
      <c r="B1326" t="s">
        <v>41</v>
      </c>
      <c r="C1326" s="3">
        <v>106</v>
      </c>
      <c r="D1326">
        <v>1</v>
      </c>
      <c r="E1326">
        <v>1</v>
      </c>
      <c r="F1326">
        <v>1</v>
      </c>
    </row>
    <row r="1327" spans="1:6">
      <c r="A1327" t="s">
        <v>141</v>
      </c>
      <c r="B1327" t="s">
        <v>42</v>
      </c>
      <c r="C1327" s="3">
        <v>101.8</v>
      </c>
      <c r="D1327">
        <v>1</v>
      </c>
      <c r="E1327">
        <v>1</v>
      </c>
      <c r="F1327">
        <v>1</v>
      </c>
    </row>
    <row r="1328" spans="1:6">
      <c r="A1328" t="s">
        <v>141</v>
      </c>
      <c r="B1328" t="s">
        <v>46</v>
      </c>
      <c r="C1328" s="3">
        <v>110</v>
      </c>
      <c r="D1328">
        <v>1</v>
      </c>
      <c r="E1328">
        <v>1</v>
      </c>
      <c r="F1328">
        <v>1</v>
      </c>
    </row>
    <row r="1329" spans="1:6">
      <c r="A1329" t="s">
        <v>141</v>
      </c>
      <c r="B1329" t="s">
        <v>392</v>
      </c>
      <c r="C1329" s="3"/>
      <c r="D1329">
        <v>0</v>
      </c>
      <c r="E1329">
        <v>1</v>
      </c>
      <c r="F1329">
        <v>1</v>
      </c>
    </row>
    <row r="1330" spans="1:6">
      <c r="A1330" t="s">
        <v>141</v>
      </c>
      <c r="B1330" t="s">
        <v>393</v>
      </c>
      <c r="C1330" s="3"/>
      <c r="D1330">
        <v>0</v>
      </c>
      <c r="E1330">
        <v>1</v>
      </c>
      <c r="F1330">
        <v>1</v>
      </c>
    </row>
    <row r="1331" spans="1:6">
      <c r="A1331" t="s">
        <v>141</v>
      </c>
      <c r="B1331" t="s">
        <v>394</v>
      </c>
      <c r="C1331" s="3"/>
      <c r="D1331">
        <v>0</v>
      </c>
      <c r="E1331">
        <v>1</v>
      </c>
      <c r="F1331">
        <v>1</v>
      </c>
    </row>
    <row r="1332" spans="1:6">
      <c r="A1332" t="s">
        <v>141</v>
      </c>
      <c r="B1332" t="s">
        <v>39</v>
      </c>
      <c r="C1332" s="3">
        <v>-6.42815508162292</v>
      </c>
      <c r="D1332">
        <v>1</v>
      </c>
      <c r="E1332">
        <v>1</v>
      </c>
      <c r="F1332">
        <v>1</v>
      </c>
    </row>
    <row r="1333" spans="1:6">
      <c r="A1333" t="s">
        <v>141</v>
      </c>
      <c r="B1333" t="s">
        <v>43</v>
      </c>
      <c r="C1333" s="3">
        <v>1.30000000000001</v>
      </c>
      <c r="D1333">
        <v>1</v>
      </c>
      <c r="E1333">
        <v>1</v>
      </c>
      <c r="F1333">
        <v>1</v>
      </c>
    </row>
    <row r="1334" spans="1:6">
      <c r="A1334" t="s">
        <v>141</v>
      </c>
      <c r="B1334" t="s">
        <v>44</v>
      </c>
      <c r="C1334" s="3">
        <v>0.200000000000003</v>
      </c>
      <c r="D1334">
        <v>1</v>
      </c>
      <c r="E1334">
        <v>1</v>
      </c>
      <c r="F1334">
        <v>1</v>
      </c>
    </row>
    <row r="1335" spans="1:6">
      <c r="A1335" t="s">
        <v>141</v>
      </c>
      <c r="B1335" t="s">
        <v>45</v>
      </c>
      <c r="C1335" s="3">
        <v>0</v>
      </c>
      <c r="D1335">
        <v>1</v>
      </c>
      <c r="E1335">
        <v>1</v>
      </c>
      <c r="F1335">
        <v>1</v>
      </c>
    </row>
    <row r="1336" spans="1:6">
      <c r="A1336" t="s">
        <v>141</v>
      </c>
      <c r="B1336" t="s">
        <v>396</v>
      </c>
      <c r="C1336" s="3"/>
      <c r="D1336">
        <v>0</v>
      </c>
      <c r="E1336">
        <v>1</v>
      </c>
      <c r="F1336">
        <v>1</v>
      </c>
    </row>
    <row r="1337" spans="1:6">
      <c r="A1337" t="s">
        <v>142</v>
      </c>
      <c r="B1337" t="s">
        <v>34</v>
      </c>
      <c r="C1337" s="3">
        <v>54.35</v>
      </c>
      <c r="D1337">
        <v>1</v>
      </c>
      <c r="E1337">
        <v>1</v>
      </c>
      <c r="F1337">
        <v>1</v>
      </c>
    </row>
    <row r="1338" spans="1:6">
      <c r="A1338" t="s">
        <v>142</v>
      </c>
      <c r="B1338" t="s">
        <v>35</v>
      </c>
      <c r="C1338" s="3">
        <v>8.2765</v>
      </c>
      <c r="D1338">
        <v>1</v>
      </c>
      <c r="E1338">
        <v>1</v>
      </c>
      <c r="F1338">
        <v>1</v>
      </c>
    </row>
    <row r="1339" spans="1:6">
      <c r="A1339" t="s">
        <v>142</v>
      </c>
      <c r="B1339" t="s">
        <v>36</v>
      </c>
      <c r="C1339" s="3">
        <v>449.827775</v>
      </c>
      <c r="D1339">
        <v>1</v>
      </c>
      <c r="E1339">
        <v>1</v>
      </c>
      <c r="F1339">
        <v>1</v>
      </c>
    </row>
    <row r="1340" spans="1:6">
      <c r="A1340" t="s">
        <v>142</v>
      </c>
      <c r="B1340" t="s">
        <v>40</v>
      </c>
      <c r="C1340" s="3">
        <v>116.2</v>
      </c>
      <c r="D1340">
        <v>1</v>
      </c>
      <c r="E1340">
        <v>1</v>
      </c>
      <c r="F1340">
        <v>1</v>
      </c>
    </row>
    <row r="1341" spans="1:6">
      <c r="A1341" t="s">
        <v>142</v>
      </c>
      <c r="B1341" t="s">
        <v>41</v>
      </c>
      <c r="C1341" s="3">
        <v>105.2</v>
      </c>
      <c r="D1341">
        <v>1</v>
      </c>
      <c r="E1341">
        <v>1</v>
      </c>
      <c r="F1341">
        <v>1</v>
      </c>
    </row>
    <row r="1342" spans="1:6">
      <c r="A1342" t="s">
        <v>142</v>
      </c>
      <c r="B1342" t="s">
        <v>42</v>
      </c>
      <c r="C1342" s="3">
        <v>101.6</v>
      </c>
      <c r="D1342">
        <v>1</v>
      </c>
      <c r="E1342">
        <v>1</v>
      </c>
      <c r="F1342">
        <v>1</v>
      </c>
    </row>
    <row r="1343" spans="1:6">
      <c r="A1343" t="s">
        <v>142</v>
      </c>
      <c r="B1343" t="s">
        <v>46</v>
      </c>
      <c r="C1343" s="3">
        <v>109</v>
      </c>
      <c r="D1343">
        <v>1</v>
      </c>
      <c r="E1343">
        <v>1</v>
      </c>
      <c r="F1343">
        <v>1</v>
      </c>
    </row>
    <row r="1344" spans="1:6">
      <c r="A1344" t="s">
        <v>142</v>
      </c>
      <c r="B1344" t="s">
        <v>392</v>
      </c>
      <c r="C1344" s="3"/>
      <c r="D1344">
        <v>0</v>
      </c>
      <c r="E1344">
        <v>1</v>
      </c>
      <c r="F1344">
        <v>1</v>
      </c>
    </row>
    <row r="1345" spans="1:6">
      <c r="A1345" t="s">
        <v>142</v>
      </c>
      <c r="B1345" t="s">
        <v>393</v>
      </c>
      <c r="C1345" s="3"/>
      <c r="D1345">
        <v>0</v>
      </c>
      <c r="E1345">
        <v>1</v>
      </c>
      <c r="F1345">
        <v>1</v>
      </c>
    </row>
    <row r="1346" spans="1:6">
      <c r="A1346" t="s">
        <v>142</v>
      </c>
      <c r="B1346" t="s">
        <v>394</v>
      </c>
      <c r="C1346" s="3"/>
      <c r="D1346">
        <v>0</v>
      </c>
      <c r="E1346">
        <v>1</v>
      </c>
      <c r="F1346">
        <v>1</v>
      </c>
    </row>
    <row r="1347" spans="1:6">
      <c r="A1347" t="s">
        <v>142</v>
      </c>
      <c r="B1347" t="s">
        <v>39</v>
      </c>
      <c r="C1347" s="3">
        <v>11.0792804935204</v>
      </c>
      <c r="D1347">
        <v>1</v>
      </c>
      <c r="E1347">
        <v>1</v>
      </c>
      <c r="F1347">
        <v>1</v>
      </c>
    </row>
    <row r="1348" spans="1:6">
      <c r="A1348" t="s">
        <v>142</v>
      </c>
      <c r="B1348" t="s">
        <v>43</v>
      </c>
      <c r="C1348" s="3">
        <v>-2.7</v>
      </c>
      <c r="D1348">
        <v>1</v>
      </c>
      <c r="E1348">
        <v>1</v>
      </c>
      <c r="F1348">
        <v>1</v>
      </c>
    </row>
    <row r="1349" spans="1:6">
      <c r="A1349" t="s">
        <v>142</v>
      </c>
      <c r="B1349" t="s">
        <v>44</v>
      </c>
      <c r="C1349" s="3">
        <v>-0.799999999999997</v>
      </c>
      <c r="D1349">
        <v>1</v>
      </c>
      <c r="E1349">
        <v>1</v>
      </c>
      <c r="F1349">
        <v>1</v>
      </c>
    </row>
    <row r="1350" spans="1:6">
      <c r="A1350" t="s">
        <v>142</v>
      </c>
      <c r="B1350" t="s">
        <v>45</v>
      </c>
      <c r="C1350" s="3">
        <v>-0.200000000000003</v>
      </c>
      <c r="D1350">
        <v>1</v>
      </c>
      <c r="E1350">
        <v>1</v>
      </c>
      <c r="F1350">
        <v>1</v>
      </c>
    </row>
    <row r="1351" spans="1:6">
      <c r="A1351" t="s">
        <v>142</v>
      </c>
      <c r="B1351" t="s">
        <v>396</v>
      </c>
      <c r="C1351" s="3"/>
      <c r="D1351">
        <v>0</v>
      </c>
      <c r="E1351">
        <v>1</v>
      </c>
      <c r="F1351">
        <v>1</v>
      </c>
    </row>
    <row r="1352" spans="1:6">
      <c r="A1352" t="s">
        <v>143</v>
      </c>
      <c r="B1352" t="s">
        <v>34</v>
      </c>
      <c r="C1352" s="3">
        <v>57.52</v>
      </c>
      <c r="D1352">
        <v>1</v>
      </c>
      <c r="E1352">
        <v>1</v>
      </c>
      <c r="F1352">
        <v>1</v>
      </c>
    </row>
    <row r="1353" spans="1:6">
      <c r="A1353" t="s">
        <v>143</v>
      </c>
      <c r="B1353" t="s">
        <v>35</v>
      </c>
      <c r="C1353" s="3">
        <v>8.2264</v>
      </c>
      <c r="D1353">
        <v>1</v>
      </c>
      <c r="E1353">
        <v>1</v>
      </c>
      <c r="F1353">
        <v>1</v>
      </c>
    </row>
    <row r="1354" spans="1:6">
      <c r="A1354" t="s">
        <v>143</v>
      </c>
      <c r="B1354" t="s">
        <v>36</v>
      </c>
      <c r="C1354" s="3">
        <v>473.182528</v>
      </c>
      <c r="D1354">
        <v>1</v>
      </c>
      <c r="E1354">
        <v>1</v>
      </c>
      <c r="F1354">
        <v>1</v>
      </c>
    </row>
    <row r="1355" spans="1:6">
      <c r="A1355" t="s">
        <v>143</v>
      </c>
      <c r="B1355" t="s">
        <v>40</v>
      </c>
      <c r="C1355" s="3">
        <v>115.6</v>
      </c>
      <c r="D1355">
        <v>1</v>
      </c>
      <c r="E1355">
        <v>1</v>
      </c>
      <c r="F1355">
        <v>1</v>
      </c>
    </row>
    <row r="1356" spans="1:6">
      <c r="A1356" t="s">
        <v>143</v>
      </c>
      <c r="B1356" t="s">
        <v>41</v>
      </c>
      <c r="C1356" s="3">
        <v>105.2</v>
      </c>
      <c r="D1356">
        <v>1</v>
      </c>
      <c r="E1356">
        <v>1</v>
      </c>
      <c r="F1356">
        <v>1</v>
      </c>
    </row>
    <row r="1357" spans="1:6">
      <c r="A1357" t="s">
        <v>143</v>
      </c>
      <c r="B1357" t="s">
        <v>42</v>
      </c>
      <c r="C1357" s="3">
        <v>101.8</v>
      </c>
      <c r="D1357">
        <v>1</v>
      </c>
      <c r="E1357">
        <v>1</v>
      </c>
      <c r="F1357">
        <v>1</v>
      </c>
    </row>
    <row r="1358" spans="1:6">
      <c r="A1358" t="s">
        <v>143</v>
      </c>
      <c r="B1358" t="s">
        <v>46</v>
      </c>
      <c r="C1358" s="3">
        <v>108.5</v>
      </c>
      <c r="D1358">
        <v>1</v>
      </c>
      <c r="E1358">
        <v>1</v>
      </c>
      <c r="F1358">
        <v>1</v>
      </c>
    </row>
    <row r="1359" spans="1:6">
      <c r="A1359" t="s">
        <v>143</v>
      </c>
      <c r="B1359" t="s">
        <v>392</v>
      </c>
      <c r="C1359" s="3"/>
      <c r="D1359">
        <v>0</v>
      </c>
      <c r="E1359">
        <v>1</v>
      </c>
      <c r="F1359">
        <v>1</v>
      </c>
    </row>
    <row r="1360" spans="1:6">
      <c r="A1360" t="s">
        <v>143</v>
      </c>
      <c r="B1360" t="s">
        <v>393</v>
      </c>
      <c r="C1360" s="3"/>
      <c r="D1360">
        <v>0</v>
      </c>
      <c r="E1360">
        <v>1</v>
      </c>
      <c r="F1360">
        <v>1</v>
      </c>
    </row>
    <row r="1361" spans="1:6">
      <c r="A1361" t="s">
        <v>143</v>
      </c>
      <c r="B1361" t="s">
        <v>394</v>
      </c>
      <c r="C1361" s="3"/>
      <c r="D1361">
        <v>0</v>
      </c>
      <c r="E1361">
        <v>1</v>
      </c>
      <c r="F1361">
        <v>1</v>
      </c>
    </row>
    <row r="1362" spans="1:6">
      <c r="A1362" t="s">
        <v>143</v>
      </c>
      <c r="B1362" t="s">
        <v>39</v>
      </c>
      <c r="C1362" s="3">
        <v>5.06164210603334</v>
      </c>
      <c r="D1362">
        <v>1</v>
      </c>
      <c r="E1362">
        <v>1</v>
      </c>
      <c r="F1362">
        <v>1</v>
      </c>
    </row>
    <row r="1363" spans="1:6">
      <c r="A1363" t="s">
        <v>143</v>
      </c>
      <c r="B1363" t="s">
        <v>43</v>
      </c>
      <c r="C1363" s="3">
        <v>-0.600000000000009</v>
      </c>
      <c r="D1363">
        <v>1</v>
      </c>
      <c r="E1363">
        <v>1</v>
      </c>
      <c r="F1363">
        <v>1</v>
      </c>
    </row>
    <row r="1364" spans="1:6">
      <c r="A1364" t="s">
        <v>143</v>
      </c>
      <c r="B1364" t="s">
        <v>44</v>
      </c>
      <c r="C1364" s="3">
        <v>0</v>
      </c>
      <c r="D1364">
        <v>1</v>
      </c>
      <c r="E1364">
        <v>1</v>
      </c>
      <c r="F1364">
        <v>1</v>
      </c>
    </row>
    <row r="1365" spans="1:6">
      <c r="A1365" t="s">
        <v>143</v>
      </c>
      <c r="B1365" t="s">
        <v>45</v>
      </c>
      <c r="C1365" s="3">
        <v>0.200000000000003</v>
      </c>
      <c r="D1365">
        <v>1</v>
      </c>
      <c r="E1365">
        <v>1</v>
      </c>
      <c r="F1365">
        <v>1</v>
      </c>
    </row>
    <row r="1366" spans="1:6">
      <c r="A1366" t="s">
        <v>143</v>
      </c>
      <c r="B1366" t="s">
        <v>396</v>
      </c>
      <c r="C1366" s="3"/>
      <c r="D1366">
        <v>0</v>
      </c>
      <c r="E1366">
        <v>1</v>
      </c>
      <c r="F1366">
        <v>1</v>
      </c>
    </row>
    <row r="1367" spans="1:6">
      <c r="A1367" t="s">
        <v>144</v>
      </c>
      <c r="B1367" t="s">
        <v>34</v>
      </c>
      <c r="C1367" s="3">
        <v>63.98</v>
      </c>
      <c r="D1367">
        <v>1</v>
      </c>
      <c r="E1367">
        <v>1</v>
      </c>
      <c r="F1367">
        <v>1</v>
      </c>
    </row>
    <row r="1368" spans="1:6">
      <c r="A1368" t="s">
        <v>144</v>
      </c>
      <c r="B1368" t="s">
        <v>35</v>
      </c>
      <c r="C1368" s="3">
        <v>8.1017</v>
      </c>
      <c r="D1368">
        <v>1</v>
      </c>
      <c r="E1368">
        <v>1</v>
      </c>
      <c r="F1368">
        <v>1</v>
      </c>
    </row>
    <row r="1369" spans="1:6">
      <c r="A1369" t="s">
        <v>144</v>
      </c>
      <c r="B1369" t="s">
        <v>36</v>
      </c>
      <c r="C1369" s="3">
        <v>518.346766</v>
      </c>
      <c r="D1369">
        <v>1</v>
      </c>
      <c r="E1369">
        <v>1</v>
      </c>
      <c r="F1369">
        <v>1</v>
      </c>
    </row>
    <row r="1370" spans="1:6">
      <c r="A1370" t="s">
        <v>144</v>
      </c>
      <c r="B1370" t="s">
        <v>40</v>
      </c>
      <c r="C1370" s="3">
        <v>116.4</v>
      </c>
      <c r="D1370">
        <v>1</v>
      </c>
      <c r="E1370">
        <v>1</v>
      </c>
      <c r="F1370">
        <v>1</v>
      </c>
    </row>
    <row r="1371" spans="1:6">
      <c r="A1371" t="s">
        <v>144</v>
      </c>
      <c r="B1371" t="s">
        <v>41</v>
      </c>
      <c r="C1371" s="3">
        <v>105.3</v>
      </c>
      <c r="D1371">
        <v>1</v>
      </c>
      <c r="E1371">
        <v>1</v>
      </c>
      <c r="F1371">
        <v>1</v>
      </c>
    </row>
    <row r="1372" spans="1:6">
      <c r="A1372" t="s">
        <v>144</v>
      </c>
      <c r="B1372" t="s">
        <v>42</v>
      </c>
      <c r="C1372" s="3">
        <v>101.3</v>
      </c>
      <c r="D1372">
        <v>1</v>
      </c>
      <c r="E1372">
        <v>1</v>
      </c>
      <c r="F1372">
        <v>1</v>
      </c>
    </row>
    <row r="1373" spans="1:6">
      <c r="A1373" t="s">
        <v>144</v>
      </c>
      <c r="B1373" t="s">
        <v>46</v>
      </c>
      <c r="C1373" s="3">
        <v>108.1</v>
      </c>
      <c r="D1373">
        <v>1</v>
      </c>
      <c r="E1373">
        <v>1</v>
      </c>
      <c r="F1373">
        <v>1</v>
      </c>
    </row>
    <row r="1374" spans="1:6">
      <c r="A1374" t="s">
        <v>144</v>
      </c>
      <c r="B1374" t="s">
        <v>392</v>
      </c>
      <c r="C1374" s="3"/>
      <c r="D1374">
        <v>0</v>
      </c>
      <c r="E1374">
        <v>1</v>
      </c>
      <c r="F1374">
        <v>1</v>
      </c>
    </row>
    <row r="1375" spans="1:6">
      <c r="A1375" t="s">
        <v>144</v>
      </c>
      <c r="B1375" t="s">
        <v>393</v>
      </c>
      <c r="C1375" s="3"/>
      <c r="D1375">
        <v>0</v>
      </c>
      <c r="E1375">
        <v>1</v>
      </c>
      <c r="F1375">
        <v>1</v>
      </c>
    </row>
    <row r="1376" spans="1:6">
      <c r="A1376" t="s">
        <v>144</v>
      </c>
      <c r="B1376" t="s">
        <v>394</v>
      </c>
      <c r="C1376" s="3"/>
      <c r="D1376">
        <v>0</v>
      </c>
      <c r="E1376">
        <v>1</v>
      </c>
      <c r="F1376">
        <v>1</v>
      </c>
    </row>
    <row r="1377" spans="1:6">
      <c r="A1377" t="s">
        <v>144</v>
      </c>
      <c r="B1377" t="s">
        <v>39</v>
      </c>
      <c r="C1377" s="3">
        <v>9.1163242376339</v>
      </c>
      <c r="D1377">
        <v>1</v>
      </c>
      <c r="E1377">
        <v>1</v>
      </c>
      <c r="F1377">
        <v>1</v>
      </c>
    </row>
    <row r="1378" spans="1:6">
      <c r="A1378" t="s">
        <v>144</v>
      </c>
      <c r="B1378" t="s">
        <v>43</v>
      </c>
      <c r="C1378" s="3">
        <v>0.800000000000011</v>
      </c>
      <c r="D1378">
        <v>1</v>
      </c>
      <c r="E1378">
        <v>1</v>
      </c>
      <c r="F1378">
        <v>1</v>
      </c>
    </row>
    <row r="1379" spans="1:6">
      <c r="A1379" t="s">
        <v>144</v>
      </c>
      <c r="B1379" t="s">
        <v>44</v>
      </c>
      <c r="C1379" s="3">
        <v>0.0999999999999943</v>
      </c>
      <c r="D1379">
        <v>1</v>
      </c>
      <c r="E1379">
        <v>1</v>
      </c>
      <c r="F1379">
        <v>1</v>
      </c>
    </row>
    <row r="1380" spans="1:6">
      <c r="A1380" t="s">
        <v>144</v>
      </c>
      <c r="B1380" t="s">
        <v>45</v>
      </c>
      <c r="C1380" s="3">
        <v>-0.5</v>
      </c>
      <c r="D1380">
        <v>1</v>
      </c>
      <c r="E1380">
        <v>1</v>
      </c>
      <c r="F1380">
        <v>1</v>
      </c>
    </row>
    <row r="1381" spans="1:6">
      <c r="A1381" t="s">
        <v>144</v>
      </c>
      <c r="B1381" t="s">
        <v>396</v>
      </c>
      <c r="C1381" s="3"/>
      <c r="D1381">
        <v>0</v>
      </c>
      <c r="E1381">
        <v>1</v>
      </c>
      <c r="F1381">
        <v>1</v>
      </c>
    </row>
    <row r="1382" spans="1:6">
      <c r="A1382" t="s">
        <v>145</v>
      </c>
      <c r="B1382" t="s">
        <v>34</v>
      </c>
      <c r="C1382" s="3">
        <v>62.91</v>
      </c>
      <c r="D1382">
        <v>1</v>
      </c>
      <c r="E1382">
        <v>1</v>
      </c>
      <c r="F1382">
        <v>1</v>
      </c>
    </row>
    <row r="1383" spans="1:6">
      <c r="A1383" t="s">
        <v>145</v>
      </c>
      <c r="B1383" t="s">
        <v>35</v>
      </c>
      <c r="C1383" s="3">
        <v>8.0919</v>
      </c>
      <c r="D1383">
        <v>1</v>
      </c>
      <c r="E1383">
        <v>1</v>
      </c>
      <c r="F1383">
        <v>1</v>
      </c>
    </row>
    <row r="1384" spans="1:6">
      <c r="A1384" t="s">
        <v>145</v>
      </c>
      <c r="B1384" t="s">
        <v>36</v>
      </c>
      <c r="C1384" s="3">
        <v>509.061429</v>
      </c>
      <c r="D1384">
        <v>1</v>
      </c>
      <c r="E1384">
        <v>1</v>
      </c>
      <c r="F1384">
        <v>1</v>
      </c>
    </row>
    <row r="1385" spans="1:6">
      <c r="A1385" t="s">
        <v>145</v>
      </c>
      <c r="B1385" t="s">
        <v>40</v>
      </c>
      <c r="C1385" s="3">
        <v>115.8</v>
      </c>
      <c r="D1385">
        <v>1</v>
      </c>
      <c r="E1385">
        <v>1</v>
      </c>
      <c r="F1385">
        <v>1</v>
      </c>
    </row>
    <row r="1386" spans="1:6">
      <c r="A1386" t="s">
        <v>145</v>
      </c>
      <c r="B1386" t="s">
        <v>41</v>
      </c>
      <c r="C1386" s="3">
        <v>104.5</v>
      </c>
      <c r="D1386">
        <v>1</v>
      </c>
      <c r="E1386">
        <v>1</v>
      </c>
      <c r="F1386">
        <v>1</v>
      </c>
    </row>
    <row r="1387" spans="1:6">
      <c r="A1387" t="s">
        <v>145</v>
      </c>
      <c r="B1387" t="s">
        <v>42</v>
      </c>
      <c r="C1387" s="3">
        <v>100.9</v>
      </c>
      <c r="D1387">
        <v>1</v>
      </c>
      <c r="E1387">
        <v>1</v>
      </c>
      <c r="F1387">
        <v>1</v>
      </c>
    </row>
    <row r="1388" spans="1:6">
      <c r="A1388" t="s">
        <v>145</v>
      </c>
      <c r="B1388" t="s">
        <v>46</v>
      </c>
      <c r="C1388" s="3">
        <v>107.1</v>
      </c>
      <c r="D1388">
        <v>1</v>
      </c>
      <c r="E1388">
        <v>1</v>
      </c>
      <c r="F1388">
        <v>1</v>
      </c>
    </row>
    <row r="1389" spans="1:6">
      <c r="A1389" t="s">
        <v>145</v>
      </c>
      <c r="B1389" t="s">
        <v>392</v>
      </c>
      <c r="C1389" s="3"/>
      <c r="D1389">
        <v>0</v>
      </c>
      <c r="E1389">
        <v>1</v>
      </c>
      <c r="F1389">
        <v>1</v>
      </c>
    </row>
    <row r="1390" spans="1:6">
      <c r="A1390" t="s">
        <v>145</v>
      </c>
      <c r="B1390" t="s">
        <v>393</v>
      </c>
      <c r="C1390" s="3"/>
      <c r="D1390">
        <v>0</v>
      </c>
      <c r="E1390">
        <v>1</v>
      </c>
      <c r="F1390">
        <v>1</v>
      </c>
    </row>
    <row r="1391" spans="1:6">
      <c r="A1391" t="s">
        <v>145</v>
      </c>
      <c r="B1391" t="s">
        <v>394</v>
      </c>
      <c r="C1391" s="3"/>
      <c r="D1391">
        <v>0</v>
      </c>
      <c r="E1391">
        <v>1</v>
      </c>
      <c r="F1391">
        <v>1</v>
      </c>
    </row>
    <row r="1392" spans="1:6">
      <c r="A1392" t="s">
        <v>145</v>
      </c>
      <c r="B1392" t="s">
        <v>39</v>
      </c>
      <c r="C1392" s="3">
        <v>-1.80757557952262</v>
      </c>
      <c r="D1392">
        <v>1</v>
      </c>
      <c r="E1392">
        <v>1</v>
      </c>
      <c r="F1392">
        <v>1</v>
      </c>
    </row>
    <row r="1393" spans="1:6">
      <c r="A1393" t="s">
        <v>145</v>
      </c>
      <c r="B1393" t="s">
        <v>43</v>
      </c>
      <c r="C1393" s="3">
        <v>-0.600000000000009</v>
      </c>
      <c r="D1393">
        <v>1</v>
      </c>
      <c r="E1393">
        <v>1</v>
      </c>
      <c r="F1393">
        <v>1</v>
      </c>
    </row>
    <row r="1394" spans="1:6">
      <c r="A1394" t="s">
        <v>145</v>
      </c>
      <c r="B1394" t="s">
        <v>44</v>
      </c>
      <c r="C1394" s="3">
        <v>-0.799999999999997</v>
      </c>
      <c r="D1394">
        <v>1</v>
      </c>
      <c r="E1394">
        <v>1</v>
      </c>
      <c r="F1394">
        <v>1</v>
      </c>
    </row>
    <row r="1395" spans="1:6">
      <c r="A1395" t="s">
        <v>145</v>
      </c>
      <c r="B1395" t="s">
        <v>45</v>
      </c>
      <c r="C1395" s="3">
        <v>-0.399999999999991</v>
      </c>
      <c r="D1395">
        <v>1</v>
      </c>
      <c r="E1395">
        <v>1</v>
      </c>
      <c r="F1395">
        <v>1</v>
      </c>
    </row>
    <row r="1396" spans="1:6">
      <c r="A1396" t="s">
        <v>145</v>
      </c>
      <c r="B1396" t="s">
        <v>396</v>
      </c>
      <c r="C1396" s="3"/>
      <c r="D1396">
        <v>0</v>
      </c>
      <c r="E1396">
        <v>1</v>
      </c>
      <c r="F1396">
        <v>1</v>
      </c>
    </row>
    <row r="1397" spans="1:6">
      <c r="A1397" t="s">
        <v>146</v>
      </c>
      <c r="B1397" t="s">
        <v>34</v>
      </c>
      <c r="C1397" s="3">
        <v>58.54</v>
      </c>
      <c r="D1397">
        <v>1</v>
      </c>
      <c r="E1397">
        <v>1</v>
      </c>
      <c r="F1397">
        <v>1</v>
      </c>
    </row>
    <row r="1398" spans="1:6">
      <c r="A1398" t="s">
        <v>146</v>
      </c>
      <c r="B1398" t="s">
        <v>35</v>
      </c>
      <c r="C1398" s="3">
        <v>8.0895</v>
      </c>
      <c r="D1398">
        <v>1</v>
      </c>
      <c r="E1398">
        <v>1</v>
      </c>
      <c r="F1398">
        <v>1</v>
      </c>
    </row>
    <row r="1399" spans="1:6">
      <c r="A1399" t="s">
        <v>146</v>
      </c>
      <c r="B1399" t="s">
        <v>36</v>
      </c>
      <c r="C1399" s="3">
        <v>473.55933</v>
      </c>
      <c r="D1399">
        <v>1</v>
      </c>
      <c r="E1399">
        <v>1</v>
      </c>
      <c r="F1399">
        <v>1</v>
      </c>
    </row>
    <row r="1400" spans="1:6">
      <c r="A1400" t="s">
        <v>146</v>
      </c>
      <c r="B1400" t="s">
        <v>40</v>
      </c>
      <c r="C1400" s="3">
        <v>114.9</v>
      </c>
      <c r="D1400">
        <v>1</v>
      </c>
      <c r="E1400">
        <v>1</v>
      </c>
      <c r="F1400">
        <v>1</v>
      </c>
    </row>
    <row r="1401" spans="1:6">
      <c r="A1401" t="s">
        <v>146</v>
      </c>
      <c r="B1401" t="s">
        <v>41</v>
      </c>
      <c r="C1401" s="3">
        <v>104</v>
      </c>
      <c r="D1401">
        <v>1</v>
      </c>
      <c r="E1401">
        <v>1</v>
      </c>
      <c r="F1401">
        <v>1</v>
      </c>
    </row>
    <row r="1402" spans="1:6">
      <c r="A1402" t="s">
        <v>146</v>
      </c>
      <c r="B1402" t="s">
        <v>42</v>
      </c>
      <c r="C1402" s="3">
        <v>101.2</v>
      </c>
      <c r="D1402">
        <v>1</v>
      </c>
      <c r="E1402">
        <v>1</v>
      </c>
      <c r="F1402">
        <v>1</v>
      </c>
    </row>
    <row r="1403" spans="1:6">
      <c r="A1403" t="s">
        <v>146</v>
      </c>
      <c r="B1403" t="s">
        <v>46</v>
      </c>
      <c r="C1403" s="3">
        <v>106.5</v>
      </c>
      <c r="D1403">
        <v>1</v>
      </c>
      <c r="E1403">
        <v>1</v>
      </c>
      <c r="F1403">
        <v>1</v>
      </c>
    </row>
    <row r="1404" spans="1:6">
      <c r="A1404" t="s">
        <v>146</v>
      </c>
      <c r="B1404" t="s">
        <v>392</v>
      </c>
      <c r="C1404" s="3"/>
      <c r="D1404">
        <v>0</v>
      </c>
      <c r="E1404">
        <v>1</v>
      </c>
      <c r="F1404">
        <v>1</v>
      </c>
    </row>
    <row r="1405" spans="1:6">
      <c r="A1405" t="s">
        <v>146</v>
      </c>
      <c r="B1405" t="s">
        <v>393</v>
      </c>
      <c r="C1405" s="3"/>
      <c r="D1405">
        <v>0</v>
      </c>
      <c r="E1405">
        <v>1</v>
      </c>
      <c r="F1405">
        <v>1</v>
      </c>
    </row>
    <row r="1406" spans="1:6">
      <c r="A1406" t="s">
        <v>146</v>
      </c>
      <c r="B1406" t="s">
        <v>394</v>
      </c>
      <c r="C1406" s="3"/>
      <c r="D1406">
        <v>0</v>
      </c>
      <c r="E1406">
        <v>1</v>
      </c>
      <c r="F1406">
        <v>1</v>
      </c>
    </row>
    <row r="1407" spans="1:6">
      <c r="A1407" t="s">
        <v>146</v>
      </c>
      <c r="B1407" t="s">
        <v>39</v>
      </c>
      <c r="C1407" s="3">
        <v>-7.22914891997539</v>
      </c>
      <c r="D1407">
        <v>1</v>
      </c>
      <c r="E1407">
        <v>1</v>
      </c>
      <c r="F1407">
        <v>1</v>
      </c>
    </row>
    <row r="1408" spans="1:6">
      <c r="A1408" t="s">
        <v>146</v>
      </c>
      <c r="B1408" t="s">
        <v>43</v>
      </c>
      <c r="C1408" s="3">
        <v>-0.899999999999991</v>
      </c>
      <c r="D1408">
        <v>1</v>
      </c>
      <c r="E1408">
        <v>1</v>
      </c>
      <c r="F1408">
        <v>1</v>
      </c>
    </row>
    <row r="1409" spans="1:6">
      <c r="A1409" t="s">
        <v>146</v>
      </c>
      <c r="B1409" t="s">
        <v>44</v>
      </c>
      <c r="C1409" s="3">
        <v>-0.5</v>
      </c>
      <c r="D1409">
        <v>1</v>
      </c>
      <c r="E1409">
        <v>1</v>
      </c>
      <c r="F1409">
        <v>1</v>
      </c>
    </row>
    <row r="1410" spans="1:6">
      <c r="A1410" t="s">
        <v>146</v>
      </c>
      <c r="B1410" t="s">
        <v>45</v>
      </c>
      <c r="C1410" s="3">
        <v>0.299999999999997</v>
      </c>
      <c r="D1410">
        <v>1</v>
      </c>
      <c r="E1410">
        <v>1</v>
      </c>
      <c r="F1410">
        <v>1</v>
      </c>
    </row>
    <row r="1411" spans="1:6">
      <c r="A1411" t="s">
        <v>146</v>
      </c>
      <c r="B1411" t="s">
        <v>396</v>
      </c>
      <c r="C1411" s="3"/>
      <c r="D1411">
        <v>0</v>
      </c>
      <c r="E1411">
        <v>1</v>
      </c>
      <c r="F1411">
        <v>1</v>
      </c>
    </row>
    <row r="1412" spans="1:6">
      <c r="A1412" t="s">
        <v>147</v>
      </c>
      <c r="B1412" t="s">
        <v>34</v>
      </c>
      <c r="C1412" s="3">
        <v>55.24</v>
      </c>
      <c r="D1412">
        <v>1</v>
      </c>
      <c r="E1412">
        <v>1</v>
      </c>
      <c r="F1412">
        <v>1</v>
      </c>
    </row>
    <row r="1413" spans="1:6">
      <c r="A1413" t="s">
        <v>147</v>
      </c>
      <c r="B1413" t="s">
        <v>35</v>
      </c>
      <c r="C1413" s="3">
        <v>8.084</v>
      </c>
      <c r="D1413">
        <v>1</v>
      </c>
      <c r="E1413">
        <v>1</v>
      </c>
      <c r="F1413">
        <v>1</v>
      </c>
    </row>
    <row r="1414" spans="1:6">
      <c r="A1414" t="s">
        <v>147</v>
      </c>
      <c r="B1414" t="s">
        <v>36</v>
      </c>
      <c r="C1414" s="3">
        <v>446.56016</v>
      </c>
      <c r="D1414">
        <v>1</v>
      </c>
      <c r="E1414">
        <v>1</v>
      </c>
      <c r="F1414">
        <v>1</v>
      </c>
    </row>
    <row r="1415" spans="1:6">
      <c r="A1415" t="s">
        <v>147</v>
      </c>
      <c r="B1415" t="s">
        <v>40</v>
      </c>
      <c r="C1415" s="3">
        <v>112</v>
      </c>
      <c r="D1415">
        <v>1</v>
      </c>
      <c r="E1415">
        <v>1</v>
      </c>
      <c r="F1415">
        <v>1</v>
      </c>
    </row>
    <row r="1416" spans="1:6">
      <c r="A1416" t="s">
        <v>147</v>
      </c>
      <c r="B1416" t="s">
        <v>41</v>
      </c>
      <c r="C1416" s="3">
        <v>103.2</v>
      </c>
      <c r="D1416">
        <v>1</v>
      </c>
      <c r="E1416">
        <v>1</v>
      </c>
      <c r="F1416">
        <v>1</v>
      </c>
    </row>
    <row r="1417" spans="1:6">
      <c r="A1417" t="s">
        <v>147</v>
      </c>
      <c r="B1417" t="s">
        <v>42</v>
      </c>
      <c r="C1417" s="3">
        <v>101.3</v>
      </c>
      <c r="D1417">
        <v>1</v>
      </c>
      <c r="E1417">
        <v>1</v>
      </c>
      <c r="F1417">
        <v>1</v>
      </c>
    </row>
    <row r="1418" spans="1:6">
      <c r="A1418" t="s">
        <v>147</v>
      </c>
      <c r="B1418" t="s">
        <v>46</v>
      </c>
      <c r="C1418" s="3">
        <v>105.4</v>
      </c>
      <c r="D1418">
        <v>1</v>
      </c>
      <c r="E1418">
        <v>1</v>
      </c>
      <c r="F1418">
        <v>1</v>
      </c>
    </row>
    <row r="1419" spans="1:6">
      <c r="A1419" t="s">
        <v>147</v>
      </c>
      <c r="B1419" t="s">
        <v>392</v>
      </c>
      <c r="C1419" s="3"/>
      <c r="D1419">
        <v>0</v>
      </c>
      <c r="E1419">
        <v>1</v>
      </c>
      <c r="F1419">
        <v>1</v>
      </c>
    </row>
    <row r="1420" spans="1:6">
      <c r="A1420" t="s">
        <v>147</v>
      </c>
      <c r="B1420" t="s">
        <v>393</v>
      </c>
      <c r="C1420" s="3"/>
      <c r="D1420">
        <v>0</v>
      </c>
      <c r="E1420">
        <v>1</v>
      </c>
      <c r="F1420">
        <v>1</v>
      </c>
    </row>
    <row r="1421" spans="1:6">
      <c r="A1421" t="s">
        <v>147</v>
      </c>
      <c r="B1421" t="s">
        <v>394</v>
      </c>
      <c r="C1421" s="3"/>
      <c r="D1421">
        <v>0</v>
      </c>
      <c r="E1421">
        <v>1</v>
      </c>
      <c r="F1421">
        <v>1</v>
      </c>
    </row>
    <row r="1422" spans="1:6">
      <c r="A1422" t="s">
        <v>147</v>
      </c>
      <c r="B1422" t="s">
        <v>39</v>
      </c>
      <c r="C1422" s="3">
        <v>-5.8703077644528</v>
      </c>
      <c r="D1422">
        <v>1</v>
      </c>
      <c r="E1422">
        <v>1</v>
      </c>
      <c r="F1422">
        <v>1</v>
      </c>
    </row>
    <row r="1423" spans="1:6">
      <c r="A1423" t="s">
        <v>147</v>
      </c>
      <c r="B1423" t="s">
        <v>43</v>
      </c>
      <c r="C1423" s="3">
        <v>-2.90000000000001</v>
      </c>
      <c r="D1423">
        <v>1</v>
      </c>
      <c r="E1423">
        <v>1</v>
      </c>
      <c r="F1423">
        <v>1</v>
      </c>
    </row>
    <row r="1424" spans="1:6">
      <c r="A1424" t="s">
        <v>147</v>
      </c>
      <c r="B1424" t="s">
        <v>44</v>
      </c>
      <c r="C1424" s="3">
        <v>-0.799999999999997</v>
      </c>
      <c r="D1424">
        <v>1</v>
      </c>
      <c r="E1424">
        <v>1</v>
      </c>
      <c r="F1424">
        <v>1</v>
      </c>
    </row>
    <row r="1425" spans="1:6">
      <c r="A1425" t="s">
        <v>147</v>
      </c>
      <c r="B1425" t="s">
        <v>45</v>
      </c>
      <c r="C1425" s="3">
        <v>0.0999999999999943</v>
      </c>
      <c r="D1425">
        <v>1</v>
      </c>
      <c r="E1425">
        <v>1</v>
      </c>
      <c r="F1425">
        <v>1</v>
      </c>
    </row>
    <row r="1426" spans="1:6">
      <c r="A1426" t="s">
        <v>147</v>
      </c>
      <c r="B1426" t="s">
        <v>396</v>
      </c>
      <c r="C1426" s="3"/>
      <c r="D1426">
        <v>0</v>
      </c>
      <c r="E1426">
        <v>1</v>
      </c>
      <c r="F1426">
        <v>1</v>
      </c>
    </row>
    <row r="1427" spans="1:6">
      <c r="A1427" t="s">
        <v>148</v>
      </c>
      <c r="B1427" t="s">
        <v>34</v>
      </c>
      <c r="C1427" s="3">
        <v>56.86</v>
      </c>
      <c r="D1427">
        <v>1</v>
      </c>
      <c r="E1427">
        <v>1</v>
      </c>
      <c r="F1427">
        <v>1</v>
      </c>
    </row>
    <row r="1428" spans="1:6">
      <c r="A1428" t="s">
        <v>148</v>
      </c>
      <c r="B1428" t="s">
        <v>35</v>
      </c>
      <c r="C1428" s="3">
        <v>8.0755</v>
      </c>
      <c r="D1428">
        <v>1</v>
      </c>
      <c r="E1428">
        <v>1</v>
      </c>
      <c r="F1428">
        <v>1</v>
      </c>
    </row>
    <row r="1429" spans="1:6">
      <c r="A1429" t="s">
        <v>148</v>
      </c>
      <c r="B1429" t="s">
        <v>36</v>
      </c>
      <c r="C1429" s="3">
        <v>459.17293</v>
      </c>
      <c r="D1429">
        <v>1</v>
      </c>
      <c r="E1429">
        <v>1</v>
      </c>
      <c r="F1429">
        <v>1</v>
      </c>
    </row>
    <row r="1430" spans="1:6">
      <c r="A1430" t="s">
        <v>148</v>
      </c>
      <c r="B1430" t="s">
        <v>40</v>
      </c>
      <c r="C1430" s="3">
        <v>111.8</v>
      </c>
      <c r="D1430">
        <v>1</v>
      </c>
      <c r="E1430">
        <v>1</v>
      </c>
      <c r="F1430">
        <v>1</v>
      </c>
    </row>
    <row r="1431" spans="1:6">
      <c r="A1431" t="s">
        <v>148</v>
      </c>
      <c r="B1431" t="s">
        <v>41</v>
      </c>
      <c r="C1431" s="3">
        <v>103.2</v>
      </c>
      <c r="D1431">
        <v>1</v>
      </c>
      <c r="E1431">
        <v>1</v>
      </c>
      <c r="F1431">
        <v>1</v>
      </c>
    </row>
    <row r="1432" spans="1:6">
      <c r="A1432" t="s">
        <v>148</v>
      </c>
      <c r="B1432" t="s">
        <v>42</v>
      </c>
      <c r="C1432" s="3">
        <v>101.6</v>
      </c>
      <c r="D1432">
        <v>1</v>
      </c>
      <c r="E1432">
        <v>1</v>
      </c>
      <c r="F1432">
        <v>1</v>
      </c>
    </row>
    <row r="1433" spans="1:6">
      <c r="A1433" t="s">
        <v>148</v>
      </c>
      <c r="B1433" t="s">
        <v>46</v>
      </c>
      <c r="C1433" s="3">
        <v>105</v>
      </c>
      <c r="D1433">
        <v>1</v>
      </c>
      <c r="E1433">
        <v>1</v>
      </c>
      <c r="F1433">
        <v>1</v>
      </c>
    </row>
    <row r="1434" spans="1:6">
      <c r="A1434" t="s">
        <v>148</v>
      </c>
      <c r="B1434" t="s">
        <v>392</v>
      </c>
      <c r="C1434" s="3"/>
      <c r="D1434">
        <v>0</v>
      </c>
      <c r="E1434">
        <v>1</v>
      </c>
      <c r="F1434">
        <v>1</v>
      </c>
    </row>
    <row r="1435" spans="1:6">
      <c r="A1435" t="s">
        <v>148</v>
      </c>
      <c r="B1435" t="s">
        <v>393</v>
      </c>
      <c r="C1435" s="3"/>
      <c r="D1435">
        <v>0</v>
      </c>
      <c r="E1435">
        <v>1</v>
      </c>
      <c r="F1435">
        <v>1</v>
      </c>
    </row>
    <row r="1436" spans="1:6">
      <c r="A1436" t="s">
        <v>148</v>
      </c>
      <c r="B1436" t="s">
        <v>394</v>
      </c>
      <c r="C1436" s="3"/>
      <c r="D1436">
        <v>0</v>
      </c>
      <c r="E1436">
        <v>1</v>
      </c>
      <c r="F1436">
        <v>1</v>
      </c>
    </row>
    <row r="1437" spans="1:6">
      <c r="A1437" t="s">
        <v>148</v>
      </c>
      <c r="B1437" t="s">
        <v>39</v>
      </c>
      <c r="C1437" s="3">
        <v>2.78527648368186</v>
      </c>
      <c r="D1437">
        <v>1</v>
      </c>
      <c r="E1437">
        <v>1</v>
      </c>
      <c r="F1437">
        <v>1</v>
      </c>
    </row>
    <row r="1438" spans="1:6">
      <c r="A1438" t="s">
        <v>148</v>
      </c>
      <c r="B1438" t="s">
        <v>43</v>
      </c>
      <c r="C1438" s="3">
        <v>-0.200000000000003</v>
      </c>
      <c r="D1438">
        <v>1</v>
      </c>
      <c r="E1438">
        <v>1</v>
      </c>
      <c r="F1438">
        <v>1</v>
      </c>
    </row>
    <row r="1439" spans="1:6">
      <c r="A1439" t="s">
        <v>148</v>
      </c>
      <c r="B1439" t="s">
        <v>44</v>
      </c>
      <c r="C1439" s="3">
        <v>0</v>
      </c>
      <c r="D1439">
        <v>1</v>
      </c>
      <c r="E1439">
        <v>1</v>
      </c>
      <c r="F1439">
        <v>1</v>
      </c>
    </row>
    <row r="1440" spans="1:6">
      <c r="A1440" t="s">
        <v>148</v>
      </c>
      <c r="B1440" t="s">
        <v>45</v>
      </c>
      <c r="C1440" s="3">
        <v>0.299999999999997</v>
      </c>
      <c r="D1440">
        <v>1</v>
      </c>
      <c r="E1440">
        <v>1</v>
      </c>
      <c r="F1440">
        <v>1</v>
      </c>
    </row>
    <row r="1441" spans="1:6">
      <c r="A1441" t="s">
        <v>148</v>
      </c>
      <c r="B1441" t="s">
        <v>396</v>
      </c>
      <c r="C1441" s="3"/>
      <c r="D1441">
        <v>0</v>
      </c>
      <c r="E1441">
        <v>1</v>
      </c>
      <c r="F1441">
        <v>1</v>
      </c>
    </row>
    <row r="1442" spans="1:6">
      <c r="A1442" t="s">
        <v>149</v>
      </c>
      <c r="B1442" t="s">
        <v>34</v>
      </c>
      <c r="C1442" s="3">
        <v>62.99</v>
      </c>
      <c r="D1442">
        <v>1</v>
      </c>
      <c r="E1442">
        <v>1</v>
      </c>
      <c r="F1442">
        <v>1</v>
      </c>
    </row>
    <row r="1443" spans="1:6">
      <c r="A1443" t="s">
        <v>149</v>
      </c>
      <c r="B1443" t="s">
        <v>35</v>
      </c>
      <c r="C1443" s="3">
        <v>8.0654</v>
      </c>
      <c r="D1443">
        <v>1</v>
      </c>
      <c r="E1443">
        <v>1</v>
      </c>
      <c r="F1443">
        <v>1</v>
      </c>
    </row>
    <row r="1444" spans="1:6">
      <c r="A1444" t="s">
        <v>149</v>
      </c>
      <c r="B1444" t="s">
        <v>36</v>
      </c>
      <c r="C1444" s="3">
        <v>508.039546</v>
      </c>
      <c r="D1444">
        <v>1</v>
      </c>
      <c r="E1444">
        <v>1</v>
      </c>
      <c r="F1444">
        <v>1</v>
      </c>
    </row>
    <row r="1445" spans="1:6">
      <c r="A1445" t="s">
        <v>149</v>
      </c>
      <c r="B1445" t="s">
        <v>40</v>
      </c>
      <c r="C1445" s="3">
        <v>117.9</v>
      </c>
      <c r="D1445">
        <v>1</v>
      </c>
      <c r="E1445">
        <v>1</v>
      </c>
      <c r="F1445">
        <v>1</v>
      </c>
    </row>
    <row r="1446" spans="1:6">
      <c r="A1446" t="s">
        <v>149</v>
      </c>
      <c r="B1446" t="s">
        <v>41</v>
      </c>
      <c r="C1446" s="3">
        <v>103.1</v>
      </c>
      <c r="D1446">
        <v>1</v>
      </c>
      <c r="E1446">
        <v>1</v>
      </c>
      <c r="F1446">
        <v>1</v>
      </c>
    </row>
    <row r="1447" spans="1:6">
      <c r="A1447" t="s">
        <v>149</v>
      </c>
      <c r="B1447" t="s">
        <v>42</v>
      </c>
      <c r="C1447" s="3">
        <v>101.9</v>
      </c>
      <c r="D1447">
        <v>1</v>
      </c>
      <c r="E1447">
        <v>1</v>
      </c>
      <c r="F1447">
        <v>1</v>
      </c>
    </row>
    <row r="1448" spans="1:6">
      <c r="A1448" t="s">
        <v>149</v>
      </c>
      <c r="B1448" t="s">
        <v>46</v>
      </c>
      <c r="C1448" s="3">
        <v>106.5</v>
      </c>
      <c r="D1448">
        <v>1</v>
      </c>
      <c r="E1448">
        <v>1</v>
      </c>
      <c r="F1448">
        <v>1</v>
      </c>
    </row>
    <row r="1449" spans="1:6">
      <c r="A1449" t="s">
        <v>149</v>
      </c>
      <c r="B1449" t="s">
        <v>392</v>
      </c>
      <c r="C1449" s="3"/>
      <c r="D1449">
        <v>0</v>
      </c>
      <c r="E1449">
        <v>1</v>
      </c>
      <c r="F1449">
        <v>1</v>
      </c>
    </row>
    <row r="1450" spans="1:6">
      <c r="A1450" t="s">
        <v>149</v>
      </c>
      <c r="B1450" t="s">
        <v>393</v>
      </c>
      <c r="C1450" s="3"/>
      <c r="D1450">
        <v>0</v>
      </c>
      <c r="E1450">
        <v>1</v>
      </c>
      <c r="F1450">
        <v>1</v>
      </c>
    </row>
    <row r="1451" spans="1:6">
      <c r="A1451" t="s">
        <v>149</v>
      </c>
      <c r="B1451" t="s">
        <v>394</v>
      </c>
      <c r="C1451" s="3"/>
      <c r="D1451">
        <v>0</v>
      </c>
      <c r="E1451">
        <v>1</v>
      </c>
      <c r="F1451">
        <v>1</v>
      </c>
    </row>
    <row r="1452" spans="1:6">
      <c r="A1452" t="s">
        <v>149</v>
      </c>
      <c r="B1452" t="s">
        <v>39</v>
      </c>
      <c r="C1452" s="3">
        <v>10.1132398086012</v>
      </c>
      <c r="D1452">
        <v>1</v>
      </c>
      <c r="E1452">
        <v>1</v>
      </c>
      <c r="F1452">
        <v>1</v>
      </c>
    </row>
    <row r="1453" spans="1:6">
      <c r="A1453" t="s">
        <v>149</v>
      </c>
      <c r="B1453" t="s">
        <v>43</v>
      </c>
      <c r="C1453" s="3">
        <v>6.10000000000001</v>
      </c>
      <c r="D1453">
        <v>1</v>
      </c>
      <c r="E1453">
        <v>1</v>
      </c>
      <c r="F1453">
        <v>1</v>
      </c>
    </row>
    <row r="1454" spans="1:6">
      <c r="A1454" t="s">
        <v>149</v>
      </c>
      <c r="B1454" t="s">
        <v>44</v>
      </c>
      <c r="C1454" s="3">
        <v>-0.100000000000009</v>
      </c>
      <c r="D1454">
        <v>1</v>
      </c>
      <c r="E1454">
        <v>1</v>
      </c>
      <c r="F1454">
        <v>1</v>
      </c>
    </row>
    <row r="1455" spans="1:6">
      <c r="A1455" t="s">
        <v>149</v>
      </c>
      <c r="B1455" t="s">
        <v>45</v>
      </c>
      <c r="C1455" s="3">
        <v>0.300000000000011</v>
      </c>
      <c r="D1455">
        <v>1</v>
      </c>
      <c r="E1455">
        <v>1</v>
      </c>
      <c r="F1455">
        <v>1</v>
      </c>
    </row>
    <row r="1456" spans="1:6">
      <c r="A1456" t="s">
        <v>149</v>
      </c>
      <c r="B1456" t="s">
        <v>396</v>
      </c>
      <c r="C1456" s="3"/>
      <c r="D1456">
        <v>0</v>
      </c>
      <c r="E1456">
        <v>1</v>
      </c>
      <c r="F1456">
        <v>1</v>
      </c>
    </row>
    <row r="1457" spans="1:6">
      <c r="A1457" t="s">
        <v>150</v>
      </c>
      <c r="B1457" t="s">
        <v>34</v>
      </c>
      <c r="C1457" s="3">
        <v>60.21</v>
      </c>
      <c r="D1457">
        <v>1</v>
      </c>
      <c r="E1457">
        <v>1</v>
      </c>
      <c r="F1457">
        <v>1</v>
      </c>
    </row>
    <row r="1458" spans="1:6">
      <c r="A1458" t="s">
        <v>150</v>
      </c>
      <c r="B1458" t="s">
        <v>35</v>
      </c>
      <c r="C1458" s="3">
        <v>8.0512</v>
      </c>
      <c r="D1458">
        <v>1</v>
      </c>
      <c r="E1458">
        <v>1</v>
      </c>
      <c r="F1458">
        <v>1</v>
      </c>
    </row>
    <row r="1459" spans="1:6">
      <c r="A1459" t="s">
        <v>150</v>
      </c>
      <c r="B1459" t="s">
        <v>36</v>
      </c>
      <c r="C1459" s="3">
        <v>484.762752</v>
      </c>
      <c r="D1459">
        <v>1</v>
      </c>
      <c r="E1459">
        <v>1</v>
      </c>
      <c r="F1459">
        <v>1</v>
      </c>
    </row>
    <row r="1460" spans="1:6">
      <c r="A1460" t="s">
        <v>150</v>
      </c>
      <c r="B1460" t="s">
        <v>40</v>
      </c>
      <c r="C1460" s="3">
        <v>117.8</v>
      </c>
      <c r="D1460">
        <v>1</v>
      </c>
      <c r="E1460">
        <v>1</v>
      </c>
      <c r="F1460">
        <v>1</v>
      </c>
    </row>
    <row r="1461" spans="1:6">
      <c r="A1461" t="s">
        <v>150</v>
      </c>
      <c r="B1461" t="s">
        <v>41</v>
      </c>
      <c r="C1461" s="3">
        <v>103</v>
      </c>
      <c r="D1461">
        <v>1</v>
      </c>
      <c r="E1461">
        <v>1</v>
      </c>
      <c r="F1461">
        <v>1</v>
      </c>
    </row>
    <row r="1462" spans="1:6">
      <c r="A1462" t="s">
        <v>150</v>
      </c>
      <c r="B1462" t="s">
        <v>42</v>
      </c>
      <c r="C1462" s="3">
        <v>100.9</v>
      </c>
      <c r="D1462">
        <v>1</v>
      </c>
      <c r="E1462">
        <v>1</v>
      </c>
      <c r="F1462">
        <v>1</v>
      </c>
    </row>
    <row r="1463" spans="1:6">
      <c r="A1463" t="s">
        <v>150</v>
      </c>
      <c r="B1463" t="s">
        <v>46</v>
      </c>
      <c r="C1463" s="3">
        <v>106.8</v>
      </c>
      <c r="D1463">
        <v>1</v>
      </c>
      <c r="E1463">
        <v>1</v>
      </c>
      <c r="F1463">
        <v>1</v>
      </c>
    </row>
    <row r="1464" spans="1:6">
      <c r="A1464" t="s">
        <v>150</v>
      </c>
      <c r="B1464" t="s">
        <v>392</v>
      </c>
      <c r="C1464" s="3"/>
      <c r="D1464">
        <v>0</v>
      </c>
      <c r="E1464">
        <v>1</v>
      </c>
      <c r="F1464">
        <v>1</v>
      </c>
    </row>
    <row r="1465" spans="1:6">
      <c r="A1465" t="s">
        <v>150</v>
      </c>
      <c r="B1465" t="s">
        <v>393</v>
      </c>
      <c r="C1465" s="3"/>
      <c r="D1465">
        <v>0</v>
      </c>
      <c r="E1465">
        <v>1</v>
      </c>
      <c r="F1465">
        <v>1</v>
      </c>
    </row>
    <row r="1466" spans="1:6">
      <c r="A1466" t="s">
        <v>150</v>
      </c>
      <c r="B1466" t="s">
        <v>394</v>
      </c>
      <c r="C1466" s="3"/>
      <c r="D1466">
        <v>0</v>
      </c>
      <c r="E1466">
        <v>1</v>
      </c>
      <c r="F1466">
        <v>1</v>
      </c>
    </row>
    <row r="1467" spans="1:6">
      <c r="A1467" t="s">
        <v>150</v>
      </c>
      <c r="B1467" t="s">
        <v>39</v>
      </c>
      <c r="C1467" s="3">
        <v>-4.68996908850653</v>
      </c>
      <c r="D1467">
        <v>1</v>
      </c>
      <c r="E1467">
        <v>1</v>
      </c>
      <c r="F1467">
        <v>1</v>
      </c>
    </row>
    <row r="1468" spans="1:6">
      <c r="A1468" t="s">
        <v>150</v>
      </c>
      <c r="B1468" t="s">
        <v>43</v>
      </c>
      <c r="C1468" s="3">
        <v>-0.100000000000009</v>
      </c>
      <c r="D1468">
        <v>1</v>
      </c>
      <c r="E1468">
        <v>1</v>
      </c>
      <c r="F1468">
        <v>1</v>
      </c>
    </row>
    <row r="1469" spans="1:6">
      <c r="A1469" t="s">
        <v>150</v>
      </c>
      <c r="B1469" t="s">
        <v>44</v>
      </c>
      <c r="C1469" s="3">
        <v>-0.0999999999999943</v>
      </c>
      <c r="D1469">
        <v>1</v>
      </c>
      <c r="E1469">
        <v>1</v>
      </c>
      <c r="F1469">
        <v>1</v>
      </c>
    </row>
    <row r="1470" spans="1:6">
      <c r="A1470" t="s">
        <v>150</v>
      </c>
      <c r="B1470" t="s">
        <v>45</v>
      </c>
      <c r="C1470" s="3">
        <v>-1</v>
      </c>
      <c r="D1470">
        <v>1</v>
      </c>
      <c r="E1470">
        <v>1</v>
      </c>
      <c r="F1470">
        <v>1</v>
      </c>
    </row>
    <row r="1471" spans="1:6">
      <c r="A1471" t="s">
        <v>150</v>
      </c>
      <c r="B1471" t="s">
        <v>396</v>
      </c>
      <c r="C1471" s="3"/>
      <c r="D1471">
        <v>0</v>
      </c>
      <c r="E1471">
        <v>1</v>
      </c>
      <c r="F1471">
        <v>1</v>
      </c>
    </row>
    <row r="1472" spans="1:6">
      <c r="A1472" t="s">
        <v>151</v>
      </c>
      <c r="B1472" t="s">
        <v>34</v>
      </c>
      <c r="C1472" s="3">
        <v>62.06</v>
      </c>
      <c r="D1472">
        <v>1</v>
      </c>
      <c r="E1472">
        <v>1</v>
      </c>
      <c r="F1472">
        <v>1</v>
      </c>
    </row>
    <row r="1473" spans="1:6">
      <c r="A1473" t="s">
        <v>151</v>
      </c>
      <c r="B1473" t="s">
        <v>35</v>
      </c>
      <c r="C1473" s="3">
        <v>8.035</v>
      </c>
      <c r="D1473">
        <v>1</v>
      </c>
      <c r="E1473">
        <v>1</v>
      </c>
      <c r="F1473">
        <v>1</v>
      </c>
    </row>
    <row r="1474" spans="1:6">
      <c r="A1474" t="s">
        <v>151</v>
      </c>
      <c r="B1474" t="s">
        <v>36</v>
      </c>
      <c r="C1474" s="3">
        <v>498.6521</v>
      </c>
      <c r="D1474">
        <v>1</v>
      </c>
      <c r="E1474">
        <v>1</v>
      </c>
      <c r="F1474">
        <v>1</v>
      </c>
    </row>
    <row r="1475" spans="1:6">
      <c r="A1475" t="s">
        <v>151</v>
      </c>
      <c r="B1475" t="s">
        <v>40</v>
      </c>
      <c r="C1475" s="3">
        <v>116.7</v>
      </c>
      <c r="D1475">
        <v>1</v>
      </c>
      <c r="E1475">
        <v>1</v>
      </c>
      <c r="F1475">
        <v>1</v>
      </c>
    </row>
    <row r="1476" spans="1:6">
      <c r="A1476" t="s">
        <v>151</v>
      </c>
      <c r="B1476" t="s">
        <v>41</v>
      </c>
      <c r="C1476" s="3">
        <v>102.5</v>
      </c>
      <c r="D1476">
        <v>1</v>
      </c>
      <c r="E1476">
        <v>1</v>
      </c>
      <c r="F1476">
        <v>1</v>
      </c>
    </row>
    <row r="1477" spans="1:6">
      <c r="A1477" t="s">
        <v>151</v>
      </c>
      <c r="B1477" t="s">
        <v>42</v>
      </c>
      <c r="C1477" s="3">
        <v>100.8</v>
      </c>
      <c r="D1477">
        <v>1</v>
      </c>
      <c r="E1477">
        <v>1</v>
      </c>
      <c r="F1477">
        <v>1</v>
      </c>
    </row>
    <row r="1478" spans="1:6">
      <c r="A1478" t="s">
        <v>151</v>
      </c>
      <c r="B1478" t="s">
        <v>46</v>
      </c>
      <c r="C1478" s="3">
        <v>106.2</v>
      </c>
      <c r="D1478">
        <v>1</v>
      </c>
      <c r="E1478">
        <v>1</v>
      </c>
      <c r="F1478">
        <v>1</v>
      </c>
    </row>
    <row r="1479" spans="1:6">
      <c r="A1479" t="s">
        <v>151</v>
      </c>
      <c r="B1479" t="s">
        <v>392</v>
      </c>
      <c r="C1479" s="3"/>
      <c r="D1479">
        <v>0</v>
      </c>
      <c r="E1479">
        <v>1</v>
      </c>
      <c r="F1479">
        <v>1</v>
      </c>
    </row>
    <row r="1480" spans="1:6">
      <c r="A1480" t="s">
        <v>151</v>
      </c>
      <c r="B1480" t="s">
        <v>393</v>
      </c>
      <c r="C1480" s="3"/>
      <c r="D1480">
        <v>0</v>
      </c>
      <c r="E1480">
        <v>1</v>
      </c>
      <c r="F1480">
        <v>1</v>
      </c>
    </row>
    <row r="1481" spans="1:6">
      <c r="A1481" t="s">
        <v>151</v>
      </c>
      <c r="B1481" t="s">
        <v>394</v>
      </c>
      <c r="C1481" s="3"/>
      <c r="D1481">
        <v>0</v>
      </c>
      <c r="E1481">
        <v>1</v>
      </c>
      <c r="F1481">
        <v>1</v>
      </c>
    </row>
    <row r="1482" spans="1:6">
      <c r="A1482" t="s">
        <v>151</v>
      </c>
      <c r="B1482" t="s">
        <v>39</v>
      </c>
      <c r="C1482" s="3">
        <v>2.82490580894788</v>
      </c>
      <c r="D1482">
        <v>1</v>
      </c>
      <c r="E1482">
        <v>1</v>
      </c>
      <c r="F1482">
        <v>1</v>
      </c>
    </row>
    <row r="1483" spans="1:6">
      <c r="A1483" t="s">
        <v>151</v>
      </c>
      <c r="B1483" t="s">
        <v>43</v>
      </c>
      <c r="C1483" s="3">
        <v>-1.09999999999999</v>
      </c>
      <c r="D1483">
        <v>1</v>
      </c>
      <c r="E1483">
        <v>1</v>
      </c>
      <c r="F1483">
        <v>1</v>
      </c>
    </row>
    <row r="1484" spans="1:6">
      <c r="A1484" t="s">
        <v>151</v>
      </c>
      <c r="B1484" t="s">
        <v>44</v>
      </c>
      <c r="C1484" s="3">
        <v>-0.5</v>
      </c>
      <c r="D1484">
        <v>1</v>
      </c>
      <c r="E1484">
        <v>1</v>
      </c>
      <c r="F1484">
        <v>1</v>
      </c>
    </row>
    <row r="1485" spans="1:6">
      <c r="A1485" t="s">
        <v>151</v>
      </c>
      <c r="B1485" t="s">
        <v>45</v>
      </c>
      <c r="C1485" s="3">
        <v>-0.100000000000009</v>
      </c>
      <c r="D1485">
        <v>1</v>
      </c>
      <c r="E1485">
        <v>1</v>
      </c>
      <c r="F1485">
        <v>1</v>
      </c>
    </row>
    <row r="1486" spans="1:6">
      <c r="A1486" t="s">
        <v>151</v>
      </c>
      <c r="B1486" t="s">
        <v>396</v>
      </c>
      <c r="C1486" s="3"/>
      <c r="D1486">
        <v>0</v>
      </c>
      <c r="E1486">
        <v>1</v>
      </c>
      <c r="F1486">
        <v>1</v>
      </c>
    </row>
    <row r="1487" spans="1:6">
      <c r="A1487" t="s">
        <v>152</v>
      </c>
      <c r="B1487" t="s">
        <v>34</v>
      </c>
      <c r="C1487" s="3">
        <v>70.26</v>
      </c>
      <c r="D1487">
        <v>1</v>
      </c>
      <c r="E1487">
        <v>1</v>
      </c>
      <c r="F1487">
        <v>1</v>
      </c>
    </row>
    <row r="1488" spans="1:6">
      <c r="A1488" t="s">
        <v>152</v>
      </c>
      <c r="B1488" t="s">
        <v>35</v>
      </c>
      <c r="C1488" s="3">
        <v>8.0143</v>
      </c>
      <c r="D1488">
        <v>1</v>
      </c>
      <c r="E1488">
        <v>1</v>
      </c>
      <c r="F1488">
        <v>1</v>
      </c>
    </row>
    <row r="1489" spans="1:6">
      <c r="A1489" t="s">
        <v>152</v>
      </c>
      <c r="B1489" t="s">
        <v>36</v>
      </c>
      <c r="C1489" s="3">
        <v>563.084718</v>
      </c>
      <c r="D1489">
        <v>1</v>
      </c>
      <c r="E1489">
        <v>1</v>
      </c>
      <c r="F1489">
        <v>1</v>
      </c>
    </row>
    <row r="1490" spans="1:6">
      <c r="A1490" t="s">
        <v>152</v>
      </c>
      <c r="B1490" t="s">
        <v>40</v>
      </c>
      <c r="C1490" s="3">
        <v>112.4</v>
      </c>
      <c r="D1490">
        <v>1</v>
      </c>
      <c r="E1490">
        <v>1</v>
      </c>
      <c r="F1490">
        <v>1</v>
      </c>
    </row>
    <row r="1491" spans="1:6">
      <c r="A1491" t="s">
        <v>152</v>
      </c>
      <c r="B1491" t="s">
        <v>41</v>
      </c>
      <c r="C1491" s="3">
        <v>101.9</v>
      </c>
      <c r="D1491">
        <v>1</v>
      </c>
      <c r="E1491">
        <v>1</v>
      </c>
      <c r="F1491">
        <v>1</v>
      </c>
    </row>
    <row r="1492" spans="1:6">
      <c r="A1492" t="s">
        <v>152</v>
      </c>
      <c r="B1492" t="s">
        <v>42</v>
      </c>
      <c r="C1492" s="3">
        <v>101.2</v>
      </c>
      <c r="D1492">
        <v>1</v>
      </c>
      <c r="E1492">
        <v>1</v>
      </c>
      <c r="F1492">
        <v>1</v>
      </c>
    </row>
    <row r="1493" spans="1:6">
      <c r="A1493" t="s">
        <v>152</v>
      </c>
      <c r="B1493" t="s">
        <v>46</v>
      </c>
      <c r="C1493" s="3">
        <v>104.9</v>
      </c>
      <c r="D1493">
        <v>1</v>
      </c>
      <c r="E1493">
        <v>1</v>
      </c>
      <c r="F1493">
        <v>1</v>
      </c>
    </row>
    <row r="1494" spans="1:6">
      <c r="A1494" t="s">
        <v>152</v>
      </c>
      <c r="B1494" t="s">
        <v>392</v>
      </c>
      <c r="C1494" s="3"/>
      <c r="D1494">
        <v>0</v>
      </c>
      <c r="E1494">
        <v>1</v>
      </c>
      <c r="F1494">
        <v>1</v>
      </c>
    </row>
    <row r="1495" spans="1:6">
      <c r="A1495" t="s">
        <v>152</v>
      </c>
      <c r="B1495" t="s">
        <v>393</v>
      </c>
      <c r="C1495" s="3"/>
      <c r="D1495">
        <v>0</v>
      </c>
      <c r="E1495">
        <v>1</v>
      </c>
      <c r="F1495">
        <v>1</v>
      </c>
    </row>
    <row r="1496" spans="1:6">
      <c r="A1496" t="s">
        <v>152</v>
      </c>
      <c r="B1496" t="s">
        <v>394</v>
      </c>
      <c r="C1496" s="3"/>
      <c r="D1496">
        <v>0</v>
      </c>
      <c r="E1496">
        <v>1</v>
      </c>
      <c r="F1496">
        <v>1</v>
      </c>
    </row>
    <row r="1497" spans="1:6">
      <c r="A1497" t="s">
        <v>152</v>
      </c>
      <c r="B1497" t="s">
        <v>39</v>
      </c>
      <c r="C1497" s="3">
        <v>12.1521434630914</v>
      </c>
      <c r="D1497">
        <v>1</v>
      </c>
      <c r="E1497">
        <v>1</v>
      </c>
      <c r="F1497">
        <v>1</v>
      </c>
    </row>
    <row r="1498" spans="1:6">
      <c r="A1498" t="s">
        <v>152</v>
      </c>
      <c r="B1498" t="s">
        <v>43</v>
      </c>
      <c r="C1498" s="3">
        <v>-4.3</v>
      </c>
      <c r="D1498">
        <v>1</v>
      </c>
      <c r="E1498">
        <v>1</v>
      </c>
      <c r="F1498">
        <v>1</v>
      </c>
    </row>
    <row r="1499" spans="1:6">
      <c r="A1499" t="s">
        <v>152</v>
      </c>
      <c r="B1499" t="s">
        <v>44</v>
      </c>
      <c r="C1499" s="3">
        <v>-0.599999999999994</v>
      </c>
      <c r="D1499">
        <v>1</v>
      </c>
      <c r="E1499">
        <v>1</v>
      </c>
      <c r="F1499">
        <v>1</v>
      </c>
    </row>
    <row r="1500" spans="1:6">
      <c r="A1500" t="s">
        <v>152</v>
      </c>
      <c r="B1500" t="s">
        <v>45</v>
      </c>
      <c r="C1500" s="3">
        <v>0.400000000000006</v>
      </c>
      <c r="D1500">
        <v>1</v>
      </c>
      <c r="E1500">
        <v>1</v>
      </c>
      <c r="F1500">
        <v>1</v>
      </c>
    </row>
    <row r="1501" spans="1:6">
      <c r="A1501" t="s">
        <v>152</v>
      </c>
      <c r="B1501" t="s">
        <v>396</v>
      </c>
      <c r="C1501" s="3"/>
      <c r="D1501">
        <v>0</v>
      </c>
      <c r="E1501">
        <v>1</v>
      </c>
      <c r="F1501">
        <v>1</v>
      </c>
    </row>
    <row r="1502" spans="1:6">
      <c r="A1502" t="s">
        <v>153</v>
      </c>
      <c r="B1502" t="s">
        <v>34</v>
      </c>
      <c r="C1502" s="3">
        <v>69.78</v>
      </c>
      <c r="D1502">
        <v>1</v>
      </c>
      <c r="E1502">
        <v>1</v>
      </c>
      <c r="F1502">
        <v>1</v>
      </c>
    </row>
    <row r="1503" spans="1:6">
      <c r="A1503" t="s">
        <v>153</v>
      </c>
      <c r="B1503" t="s">
        <v>35</v>
      </c>
      <c r="C1503" s="3">
        <v>8.0131</v>
      </c>
      <c r="D1503">
        <v>1</v>
      </c>
      <c r="E1503">
        <v>1</v>
      </c>
      <c r="F1503">
        <v>1</v>
      </c>
    </row>
    <row r="1504" spans="1:6">
      <c r="A1504" t="s">
        <v>153</v>
      </c>
      <c r="B1504" t="s">
        <v>36</v>
      </c>
      <c r="C1504" s="3">
        <v>559.154118</v>
      </c>
      <c r="D1504">
        <v>1</v>
      </c>
      <c r="E1504">
        <v>1</v>
      </c>
      <c r="F1504">
        <v>1</v>
      </c>
    </row>
    <row r="1505" spans="1:6">
      <c r="A1505" t="s">
        <v>153</v>
      </c>
      <c r="B1505" t="s">
        <v>40</v>
      </c>
      <c r="C1505" s="3">
        <v>111.8</v>
      </c>
      <c r="D1505">
        <v>1</v>
      </c>
      <c r="E1505">
        <v>1</v>
      </c>
      <c r="F1505">
        <v>1</v>
      </c>
    </row>
    <row r="1506" spans="1:6">
      <c r="A1506" t="s">
        <v>153</v>
      </c>
      <c r="B1506" t="s">
        <v>41</v>
      </c>
      <c r="C1506" s="3">
        <v>102.4</v>
      </c>
      <c r="D1506">
        <v>1</v>
      </c>
      <c r="E1506">
        <v>1</v>
      </c>
      <c r="F1506">
        <v>1</v>
      </c>
    </row>
    <row r="1507" spans="1:6">
      <c r="A1507" t="s">
        <v>153</v>
      </c>
      <c r="B1507" t="s">
        <v>42</v>
      </c>
      <c r="C1507" s="3">
        <v>101.4</v>
      </c>
      <c r="D1507">
        <v>1</v>
      </c>
      <c r="E1507">
        <v>1</v>
      </c>
      <c r="F1507">
        <v>1</v>
      </c>
    </row>
    <row r="1508" spans="1:6">
      <c r="A1508" t="s">
        <v>153</v>
      </c>
      <c r="B1508" t="s">
        <v>46</v>
      </c>
      <c r="C1508" s="3">
        <v>105.5</v>
      </c>
      <c r="D1508">
        <v>1</v>
      </c>
      <c r="E1508">
        <v>1</v>
      </c>
      <c r="F1508">
        <v>1</v>
      </c>
    </row>
    <row r="1509" spans="1:6">
      <c r="A1509" t="s">
        <v>153</v>
      </c>
      <c r="B1509" t="s">
        <v>392</v>
      </c>
      <c r="C1509" s="3"/>
      <c r="D1509">
        <v>0</v>
      </c>
      <c r="E1509">
        <v>1</v>
      </c>
      <c r="F1509">
        <v>1</v>
      </c>
    </row>
    <row r="1510" spans="1:6">
      <c r="A1510" t="s">
        <v>153</v>
      </c>
      <c r="B1510" t="s">
        <v>393</v>
      </c>
      <c r="C1510" s="3"/>
      <c r="D1510">
        <v>0</v>
      </c>
      <c r="E1510">
        <v>1</v>
      </c>
      <c r="F1510">
        <v>1</v>
      </c>
    </row>
    <row r="1511" spans="1:6">
      <c r="A1511" t="s">
        <v>153</v>
      </c>
      <c r="B1511" t="s">
        <v>394</v>
      </c>
      <c r="C1511" s="3"/>
      <c r="D1511">
        <v>0</v>
      </c>
      <c r="E1511">
        <v>1</v>
      </c>
      <c r="F1511">
        <v>1</v>
      </c>
    </row>
    <row r="1512" spans="1:6">
      <c r="A1512" t="s">
        <v>153</v>
      </c>
      <c r="B1512" t="s">
        <v>39</v>
      </c>
      <c r="C1512" s="3">
        <v>-0.700495464347922</v>
      </c>
      <c r="D1512">
        <v>1</v>
      </c>
      <c r="E1512">
        <v>1</v>
      </c>
      <c r="F1512">
        <v>1</v>
      </c>
    </row>
    <row r="1513" spans="1:6">
      <c r="A1513" t="s">
        <v>153</v>
      </c>
      <c r="B1513" t="s">
        <v>43</v>
      </c>
      <c r="C1513" s="3">
        <v>-0.600000000000009</v>
      </c>
      <c r="D1513">
        <v>1</v>
      </c>
      <c r="E1513">
        <v>1</v>
      </c>
      <c r="F1513">
        <v>1</v>
      </c>
    </row>
    <row r="1514" spans="1:6">
      <c r="A1514" t="s">
        <v>153</v>
      </c>
      <c r="B1514" t="s">
        <v>44</v>
      </c>
      <c r="C1514" s="3">
        <v>0.5</v>
      </c>
      <c r="D1514">
        <v>1</v>
      </c>
      <c r="E1514">
        <v>1</v>
      </c>
      <c r="F1514">
        <v>1</v>
      </c>
    </row>
    <row r="1515" spans="1:6">
      <c r="A1515" t="s">
        <v>153</v>
      </c>
      <c r="B1515" t="s">
        <v>45</v>
      </c>
      <c r="C1515" s="3">
        <v>0.200000000000003</v>
      </c>
      <c r="D1515">
        <v>1</v>
      </c>
      <c r="E1515">
        <v>1</v>
      </c>
      <c r="F1515">
        <v>1</v>
      </c>
    </row>
    <row r="1516" spans="1:6">
      <c r="A1516" t="s">
        <v>153</v>
      </c>
      <c r="B1516" t="s">
        <v>396</v>
      </c>
      <c r="C1516" s="3"/>
      <c r="D1516">
        <v>0</v>
      </c>
      <c r="E1516">
        <v>1</v>
      </c>
      <c r="F1516">
        <v>1</v>
      </c>
    </row>
    <row r="1517" spans="1:6">
      <c r="A1517" t="s">
        <v>154</v>
      </c>
      <c r="B1517" t="s">
        <v>34</v>
      </c>
      <c r="C1517" s="3">
        <v>68.56</v>
      </c>
      <c r="D1517">
        <v>1</v>
      </c>
      <c r="E1517">
        <v>1</v>
      </c>
      <c r="F1517">
        <v>1</v>
      </c>
    </row>
    <row r="1518" spans="1:6">
      <c r="A1518" t="s">
        <v>154</v>
      </c>
      <c r="B1518" t="s">
        <v>35</v>
      </c>
      <c r="C1518" s="3">
        <v>8.0042</v>
      </c>
      <c r="D1518">
        <v>1</v>
      </c>
      <c r="E1518">
        <v>1</v>
      </c>
      <c r="F1518">
        <v>1</v>
      </c>
    </row>
    <row r="1519" spans="1:6">
      <c r="A1519" t="s">
        <v>154</v>
      </c>
      <c r="B1519" t="s">
        <v>36</v>
      </c>
      <c r="C1519" s="3">
        <v>548.767952</v>
      </c>
      <c r="D1519">
        <v>1</v>
      </c>
      <c r="E1519">
        <v>1</v>
      </c>
      <c r="F1519">
        <v>1</v>
      </c>
    </row>
    <row r="1520" spans="1:6">
      <c r="A1520" t="s">
        <v>154</v>
      </c>
      <c r="B1520" t="s">
        <v>40</v>
      </c>
      <c r="C1520" s="3">
        <v>114.1</v>
      </c>
      <c r="D1520">
        <v>1</v>
      </c>
      <c r="E1520">
        <v>1</v>
      </c>
      <c r="F1520">
        <v>1</v>
      </c>
    </row>
    <row r="1521" spans="1:6">
      <c r="A1521" t="s">
        <v>154</v>
      </c>
      <c r="B1521" t="s">
        <v>41</v>
      </c>
      <c r="C1521" s="3">
        <v>103.5</v>
      </c>
      <c r="D1521">
        <v>1</v>
      </c>
      <c r="E1521">
        <v>1</v>
      </c>
      <c r="F1521">
        <v>1</v>
      </c>
    </row>
    <row r="1522" spans="1:6">
      <c r="A1522" t="s">
        <v>154</v>
      </c>
      <c r="B1522" t="s">
        <v>42</v>
      </c>
      <c r="C1522" s="3">
        <v>101.5</v>
      </c>
      <c r="D1522">
        <v>1</v>
      </c>
      <c r="E1522">
        <v>1</v>
      </c>
      <c r="F1522">
        <v>1</v>
      </c>
    </row>
    <row r="1523" spans="1:6">
      <c r="A1523" t="s">
        <v>154</v>
      </c>
      <c r="B1523" t="s">
        <v>46</v>
      </c>
      <c r="C1523" s="3">
        <v>106.6</v>
      </c>
      <c r="D1523">
        <v>1</v>
      </c>
      <c r="E1523">
        <v>1</v>
      </c>
      <c r="F1523">
        <v>1</v>
      </c>
    </row>
    <row r="1524" spans="1:6">
      <c r="A1524" t="s">
        <v>154</v>
      </c>
      <c r="B1524" t="s">
        <v>392</v>
      </c>
      <c r="C1524" s="3"/>
      <c r="D1524">
        <v>0</v>
      </c>
      <c r="E1524">
        <v>1</v>
      </c>
      <c r="F1524">
        <v>1</v>
      </c>
    </row>
    <row r="1525" spans="1:6">
      <c r="A1525" t="s">
        <v>154</v>
      </c>
      <c r="B1525" t="s">
        <v>393</v>
      </c>
      <c r="C1525" s="3"/>
      <c r="D1525">
        <v>0</v>
      </c>
      <c r="E1525">
        <v>1</v>
      </c>
      <c r="F1525">
        <v>1</v>
      </c>
    </row>
    <row r="1526" spans="1:6">
      <c r="A1526" t="s">
        <v>154</v>
      </c>
      <c r="B1526" t="s">
        <v>394</v>
      </c>
      <c r="C1526" s="3"/>
      <c r="D1526">
        <v>0</v>
      </c>
      <c r="E1526">
        <v>1</v>
      </c>
      <c r="F1526">
        <v>1</v>
      </c>
    </row>
    <row r="1527" spans="1:6">
      <c r="A1527" t="s">
        <v>154</v>
      </c>
      <c r="B1527" t="s">
        <v>39</v>
      </c>
      <c r="C1527" s="3">
        <v>-1.87494599920691</v>
      </c>
      <c r="D1527">
        <v>1</v>
      </c>
      <c r="E1527">
        <v>1</v>
      </c>
      <c r="F1527">
        <v>1</v>
      </c>
    </row>
    <row r="1528" spans="1:6">
      <c r="A1528" t="s">
        <v>154</v>
      </c>
      <c r="B1528" t="s">
        <v>43</v>
      </c>
      <c r="C1528" s="3">
        <v>2.3</v>
      </c>
      <c r="D1528">
        <v>1</v>
      </c>
      <c r="E1528">
        <v>1</v>
      </c>
      <c r="F1528">
        <v>1</v>
      </c>
    </row>
    <row r="1529" spans="1:6">
      <c r="A1529" t="s">
        <v>154</v>
      </c>
      <c r="B1529" t="s">
        <v>44</v>
      </c>
      <c r="C1529" s="3">
        <v>1.09999999999999</v>
      </c>
      <c r="D1529">
        <v>1</v>
      </c>
      <c r="E1529">
        <v>1</v>
      </c>
      <c r="F1529">
        <v>1</v>
      </c>
    </row>
    <row r="1530" spans="1:6">
      <c r="A1530" t="s">
        <v>154</v>
      </c>
      <c r="B1530" t="s">
        <v>45</v>
      </c>
      <c r="C1530" s="3">
        <v>0.0999999999999943</v>
      </c>
      <c r="D1530">
        <v>1</v>
      </c>
      <c r="E1530">
        <v>1</v>
      </c>
      <c r="F1530">
        <v>1</v>
      </c>
    </row>
    <row r="1531" spans="1:6">
      <c r="A1531" t="s">
        <v>154</v>
      </c>
      <c r="B1531" t="s">
        <v>396</v>
      </c>
      <c r="C1531" s="3"/>
      <c r="D1531">
        <v>0</v>
      </c>
      <c r="E1531">
        <v>1</v>
      </c>
      <c r="F1531">
        <v>1</v>
      </c>
    </row>
    <row r="1532" spans="1:6">
      <c r="A1532" t="s">
        <v>155</v>
      </c>
      <c r="B1532" t="s">
        <v>34</v>
      </c>
      <c r="C1532" s="3">
        <v>73.67</v>
      </c>
      <c r="D1532">
        <v>1</v>
      </c>
      <c r="E1532">
        <v>1</v>
      </c>
      <c r="F1532">
        <v>1</v>
      </c>
    </row>
    <row r="1533" spans="1:6">
      <c r="A1533" t="s">
        <v>155</v>
      </c>
      <c r="B1533" t="s">
        <v>35</v>
      </c>
      <c r="C1533" s="3">
        <v>7.9897</v>
      </c>
      <c r="D1533">
        <v>1</v>
      </c>
      <c r="E1533">
        <v>1</v>
      </c>
      <c r="F1533">
        <v>1</v>
      </c>
    </row>
    <row r="1534" spans="1:6">
      <c r="A1534" t="s">
        <v>155</v>
      </c>
      <c r="B1534" t="s">
        <v>36</v>
      </c>
      <c r="C1534" s="3">
        <v>588.601199</v>
      </c>
      <c r="D1534">
        <v>1</v>
      </c>
      <c r="E1534">
        <v>1</v>
      </c>
      <c r="F1534">
        <v>1</v>
      </c>
    </row>
    <row r="1535" spans="1:6">
      <c r="A1535" t="s">
        <v>155</v>
      </c>
      <c r="B1535" t="s">
        <v>40</v>
      </c>
      <c r="C1535" s="3">
        <v>113.1</v>
      </c>
      <c r="D1535">
        <v>1</v>
      </c>
      <c r="E1535">
        <v>1</v>
      </c>
      <c r="F1535">
        <v>1</v>
      </c>
    </row>
    <row r="1536" spans="1:6">
      <c r="A1536" t="s">
        <v>155</v>
      </c>
      <c r="B1536" t="s">
        <v>41</v>
      </c>
      <c r="C1536" s="3">
        <v>103.6</v>
      </c>
      <c r="D1536">
        <v>1</v>
      </c>
      <c r="E1536">
        <v>1</v>
      </c>
      <c r="F1536">
        <v>1</v>
      </c>
    </row>
    <row r="1537" spans="1:6">
      <c r="A1537" t="s">
        <v>155</v>
      </c>
      <c r="B1537" t="s">
        <v>42</v>
      </c>
      <c r="C1537" s="3">
        <v>101</v>
      </c>
      <c r="D1537">
        <v>1</v>
      </c>
      <c r="E1537">
        <v>1</v>
      </c>
      <c r="F1537">
        <v>1</v>
      </c>
    </row>
    <row r="1538" spans="1:6">
      <c r="A1538" t="s">
        <v>155</v>
      </c>
      <c r="B1538" t="s">
        <v>46</v>
      </c>
      <c r="C1538" s="3">
        <v>106.7</v>
      </c>
      <c r="D1538">
        <v>1</v>
      </c>
      <c r="E1538">
        <v>1</v>
      </c>
      <c r="F1538">
        <v>1</v>
      </c>
    </row>
    <row r="1539" spans="1:6">
      <c r="A1539" t="s">
        <v>155</v>
      </c>
      <c r="B1539" t="s">
        <v>392</v>
      </c>
      <c r="C1539" s="3"/>
      <c r="D1539">
        <v>0</v>
      </c>
      <c r="E1539">
        <v>1</v>
      </c>
      <c r="F1539">
        <v>1</v>
      </c>
    </row>
    <row r="1540" spans="1:6">
      <c r="A1540" t="s">
        <v>155</v>
      </c>
      <c r="B1540" t="s">
        <v>393</v>
      </c>
      <c r="C1540" s="3"/>
      <c r="D1540">
        <v>0</v>
      </c>
      <c r="E1540">
        <v>1</v>
      </c>
      <c r="F1540">
        <v>1</v>
      </c>
    </row>
    <row r="1541" spans="1:6">
      <c r="A1541" t="s">
        <v>155</v>
      </c>
      <c r="B1541" t="s">
        <v>394</v>
      </c>
      <c r="C1541" s="3"/>
      <c r="D1541">
        <v>0</v>
      </c>
      <c r="E1541">
        <v>1</v>
      </c>
      <c r="F1541">
        <v>1</v>
      </c>
    </row>
    <row r="1542" spans="1:6">
      <c r="A1542" t="s">
        <v>155</v>
      </c>
      <c r="B1542" t="s">
        <v>39</v>
      </c>
      <c r="C1542" s="3">
        <v>7.0073194629259</v>
      </c>
      <c r="D1542">
        <v>1</v>
      </c>
      <c r="E1542">
        <v>1</v>
      </c>
      <c r="F1542">
        <v>1</v>
      </c>
    </row>
    <row r="1543" spans="1:6">
      <c r="A1543" t="s">
        <v>155</v>
      </c>
      <c r="B1543" t="s">
        <v>43</v>
      </c>
      <c r="C1543" s="3">
        <v>-1</v>
      </c>
      <c r="D1543">
        <v>1</v>
      </c>
      <c r="E1543">
        <v>1</v>
      </c>
      <c r="F1543">
        <v>1</v>
      </c>
    </row>
    <row r="1544" spans="1:6">
      <c r="A1544" t="s">
        <v>155</v>
      </c>
      <c r="B1544" t="s">
        <v>44</v>
      </c>
      <c r="C1544" s="3">
        <v>0.0999999999999943</v>
      </c>
      <c r="D1544">
        <v>1</v>
      </c>
      <c r="E1544">
        <v>1</v>
      </c>
      <c r="F1544">
        <v>1</v>
      </c>
    </row>
    <row r="1545" spans="1:6">
      <c r="A1545" t="s">
        <v>155</v>
      </c>
      <c r="B1545" t="s">
        <v>45</v>
      </c>
      <c r="C1545" s="3">
        <v>-0.5</v>
      </c>
      <c r="D1545">
        <v>1</v>
      </c>
      <c r="E1545">
        <v>1</v>
      </c>
      <c r="F1545">
        <v>1</v>
      </c>
    </row>
    <row r="1546" spans="1:6">
      <c r="A1546" t="s">
        <v>155</v>
      </c>
      <c r="B1546" t="s">
        <v>396</v>
      </c>
      <c r="C1546" s="3"/>
      <c r="D1546">
        <v>0</v>
      </c>
      <c r="E1546">
        <v>1</v>
      </c>
      <c r="F1546">
        <v>1</v>
      </c>
    </row>
    <row r="1547" spans="1:6">
      <c r="A1547" t="s">
        <v>156</v>
      </c>
      <c r="B1547" t="s">
        <v>34</v>
      </c>
      <c r="C1547" s="3">
        <v>73.23</v>
      </c>
      <c r="D1547">
        <v>1</v>
      </c>
      <c r="E1547">
        <v>1</v>
      </c>
      <c r="F1547">
        <v>1</v>
      </c>
    </row>
    <row r="1548" spans="1:6">
      <c r="A1548" t="s">
        <v>156</v>
      </c>
      <c r="B1548" t="s">
        <v>35</v>
      </c>
      <c r="C1548" s="3">
        <v>7.9722</v>
      </c>
      <c r="D1548">
        <v>1</v>
      </c>
      <c r="E1548">
        <v>1</v>
      </c>
      <c r="F1548">
        <v>1</v>
      </c>
    </row>
    <row r="1549" spans="1:6">
      <c r="A1549" t="s">
        <v>156</v>
      </c>
      <c r="B1549" t="s">
        <v>36</v>
      </c>
      <c r="C1549" s="3">
        <v>583.804206</v>
      </c>
      <c r="D1549">
        <v>1</v>
      </c>
      <c r="E1549">
        <v>1</v>
      </c>
      <c r="F1549">
        <v>1</v>
      </c>
    </row>
    <row r="1550" spans="1:6">
      <c r="A1550" t="s">
        <v>156</v>
      </c>
      <c r="B1550" t="s">
        <v>40</v>
      </c>
      <c r="C1550" s="3">
        <v>112.4</v>
      </c>
      <c r="D1550">
        <v>1</v>
      </c>
      <c r="E1550">
        <v>1</v>
      </c>
      <c r="F1550">
        <v>1</v>
      </c>
    </row>
    <row r="1551" spans="1:6">
      <c r="A1551" t="s">
        <v>156</v>
      </c>
      <c r="B1551" t="s">
        <v>41</v>
      </c>
      <c r="C1551" s="3">
        <v>103.4</v>
      </c>
      <c r="D1551">
        <v>1</v>
      </c>
      <c r="E1551">
        <v>1</v>
      </c>
      <c r="F1551">
        <v>1</v>
      </c>
    </row>
    <row r="1552" spans="1:6">
      <c r="A1552" t="s">
        <v>156</v>
      </c>
      <c r="B1552" t="s">
        <v>42</v>
      </c>
      <c r="C1552" s="3">
        <v>101.3</v>
      </c>
      <c r="D1552">
        <v>1</v>
      </c>
      <c r="E1552">
        <v>1</v>
      </c>
      <c r="F1552">
        <v>1</v>
      </c>
    </row>
    <row r="1553" spans="1:6">
      <c r="A1553" t="s">
        <v>156</v>
      </c>
      <c r="B1553" t="s">
        <v>46</v>
      </c>
      <c r="C1553" s="3">
        <v>106.7</v>
      </c>
      <c r="D1553">
        <v>1</v>
      </c>
      <c r="E1553">
        <v>1</v>
      </c>
      <c r="F1553">
        <v>1</v>
      </c>
    </row>
    <row r="1554" spans="1:6">
      <c r="A1554" t="s">
        <v>156</v>
      </c>
      <c r="B1554" t="s">
        <v>392</v>
      </c>
      <c r="C1554" s="3"/>
      <c r="D1554">
        <v>0</v>
      </c>
      <c r="E1554">
        <v>1</v>
      </c>
      <c r="F1554">
        <v>1</v>
      </c>
    </row>
    <row r="1555" spans="1:6">
      <c r="A1555" t="s">
        <v>156</v>
      </c>
      <c r="B1555" t="s">
        <v>393</v>
      </c>
      <c r="C1555" s="3"/>
      <c r="D1555">
        <v>0</v>
      </c>
      <c r="E1555">
        <v>1</v>
      </c>
      <c r="F1555">
        <v>1</v>
      </c>
    </row>
    <row r="1556" spans="1:6">
      <c r="A1556" t="s">
        <v>156</v>
      </c>
      <c r="B1556" t="s">
        <v>394</v>
      </c>
      <c r="C1556" s="3"/>
      <c r="D1556">
        <v>0</v>
      </c>
      <c r="E1556">
        <v>1</v>
      </c>
      <c r="F1556">
        <v>1</v>
      </c>
    </row>
    <row r="1557" spans="1:6">
      <c r="A1557" t="s">
        <v>156</v>
      </c>
      <c r="B1557" t="s">
        <v>39</v>
      </c>
      <c r="C1557" s="3">
        <v>-0.818320991817624</v>
      </c>
      <c r="D1557">
        <v>1</v>
      </c>
      <c r="E1557">
        <v>1</v>
      </c>
      <c r="F1557">
        <v>1</v>
      </c>
    </row>
    <row r="1558" spans="1:6">
      <c r="A1558" t="s">
        <v>156</v>
      </c>
      <c r="B1558" t="s">
        <v>43</v>
      </c>
      <c r="C1558" s="3">
        <v>-0.699999999999989</v>
      </c>
      <c r="D1558">
        <v>1</v>
      </c>
      <c r="E1558">
        <v>1</v>
      </c>
      <c r="F1558">
        <v>1</v>
      </c>
    </row>
    <row r="1559" spans="1:6">
      <c r="A1559" t="s">
        <v>156</v>
      </c>
      <c r="B1559" t="s">
        <v>44</v>
      </c>
      <c r="C1559" s="3">
        <v>-0.199999999999989</v>
      </c>
      <c r="D1559">
        <v>1</v>
      </c>
      <c r="E1559">
        <v>1</v>
      </c>
      <c r="F1559">
        <v>1</v>
      </c>
    </row>
    <row r="1560" spans="1:6">
      <c r="A1560" t="s">
        <v>156</v>
      </c>
      <c r="B1560" t="s">
        <v>45</v>
      </c>
      <c r="C1560" s="3">
        <v>0.299999999999997</v>
      </c>
      <c r="D1560">
        <v>1</v>
      </c>
      <c r="E1560">
        <v>1</v>
      </c>
      <c r="F1560">
        <v>1</v>
      </c>
    </row>
    <row r="1561" spans="1:6">
      <c r="A1561" t="s">
        <v>156</v>
      </c>
      <c r="B1561" t="s">
        <v>396</v>
      </c>
      <c r="C1561" s="3"/>
      <c r="D1561">
        <v>0</v>
      </c>
      <c r="E1561">
        <v>1</v>
      </c>
      <c r="F1561">
        <v>1</v>
      </c>
    </row>
    <row r="1562" spans="1:6">
      <c r="A1562" t="s">
        <v>157</v>
      </c>
      <c r="B1562" t="s">
        <v>34</v>
      </c>
      <c r="C1562" s="3">
        <v>61.96</v>
      </c>
      <c r="D1562">
        <v>1</v>
      </c>
      <c r="E1562">
        <v>1</v>
      </c>
      <c r="F1562">
        <v>1</v>
      </c>
    </row>
    <row r="1563" spans="1:6">
      <c r="A1563" t="s">
        <v>157</v>
      </c>
      <c r="B1563" t="s">
        <v>35</v>
      </c>
      <c r="C1563" s="3">
        <v>7.9334</v>
      </c>
      <c r="D1563">
        <v>1</v>
      </c>
      <c r="E1563">
        <v>1</v>
      </c>
      <c r="F1563">
        <v>1</v>
      </c>
    </row>
    <row r="1564" spans="1:6">
      <c r="A1564" t="s">
        <v>157</v>
      </c>
      <c r="B1564" t="s">
        <v>36</v>
      </c>
      <c r="C1564" s="3">
        <v>491.553464</v>
      </c>
      <c r="D1564">
        <v>1</v>
      </c>
      <c r="E1564">
        <v>1</v>
      </c>
      <c r="F1564">
        <v>1</v>
      </c>
    </row>
    <row r="1565" spans="1:6">
      <c r="A1565" t="s">
        <v>157</v>
      </c>
      <c r="B1565" t="s">
        <v>40</v>
      </c>
      <c r="C1565" s="3">
        <v>110.9</v>
      </c>
      <c r="D1565">
        <v>1</v>
      </c>
      <c r="E1565">
        <v>1</v>
      </c>
      <c r="F1565">
        <v>1</v>
      </c>
    </row>
    <row r="1566" spans="1:6">
      <c r="A1566" t="s">
        <v>157</v>
      </c>
      <c r="B1566" t="s">
        <v>41</v>
      </c>
      <c r="C1566" s="3">
        <v>103.5</v>
      </c>
      <c r="D1566">
        <v>1</v>
      </c>
      <c r="E1566">
        <v>1</v>
      </c>
      <c r="F1566">
        <v>1</v>
      </c>
    </row>
    <row r="1567" spans="1:6">
      <c r="A1567" t="s">
        <v>157</v>
      </c>
      <c r="B1567" t="s">
        <v>42</v>
      </c>
      <c r="C1567" s="3">
        <v>101.5</v>
      </c>
      <c r="D1567">
        <v>1</v>
      </c>
      <c r="E1567">
        <v>1</v>
      </c>
      <c r="F1567">
        <v>1</v>
      </c>
    </row>
    <row r="1568" spans="1:6">
      <c r="A1568" t="s">
        <v>157</v>
      </c>
      <c r="B1568" t="s">
        <v>46</v>
      </c>
      <c r="C1568" s="3">
        <v>106.9</v>
      </c>
      <c r="D1568">
        <v>1</v>
      </c>
      <c r="E1568">
        <v>1</v>
      </c>
      <c r="F1568">
        <v>1</v>
      </c>
    </row>
    <row r="1569" spans="1:6">
      <c r="A1569" t="s">
        <v>157</v>
      </c>
      <c r="B1569" t="s">
        <v>392</v>
      </c>
      <c r="C1569" s="3"/>
      <c r="D1569">
        <v>0</v>
      </c>
      <c r="E1569">
        <v>1</v>
      </c>
      <c r="F1569">
        <v>1</v>
      </c>
    </row>
    <row r="1570" spans="1:6">
      <c r="A1570" t="s">
        <v>157</v>
      </c>
      <c r="B1570" t="s">
        <v>393</v>
      </c>
      <c r="C1570" s="3"/>
      <c r="D1570">
        <v>0</v>
      </c>
      <c r="E1570">
        <v>1</v>
      </c>
      <c r="F1570">
        <v>1</v>
      </c>
    </row>
    <row r="1571" spans="1:6">
      <c r="A1571" t="s">
        <v>157</v>
      </c>
      <c r="B1571" t="s">
        <v>394</v>
      </c>
      <c r="C1571" s="3"/>
      <c r="D1571">
        <v>0</v>
      </c>
      <c r="E1571">
        <v>1</v>
      </c>
      <c r="F1571">
        <v>1</v>
      </c>
    </row>
    <row r="1572" spans="1:6">
      <c r="A1572" t="s">
        <v>157</v>
      </c>
      <c r="B1572" t="s">
        <v>39</v>
      </c>
      <c r="C1572" s="3">
        <v>-17.1994952032135</v>
      </c>
      <c r="D1572">
        <v>1</v>
      </c>
      <c r="E1572">
        <v>1</v>
      </c>
      <c r="F1572">
        <v>1</v>
      </c>
    </row>
    <row r="1573" spans="1:6">
      <c r="A1573" t="s">
        <v>157</v>
      </c>
      <c r="B1573" t="s">
        <v>43</v>
      </c>
      <c r="C1573" s="3">
        <v>-1.5</v>
      </c>
      <c r="D1573">
        <v>1</v>
      </c>
      <c r="E1573">
        <v>1</v>
      </c>
      <c r="F1573">
        <v>1</v>
      </c>
    </row>
    <row r="1574" spans="1:6">
      <c r="A1574" t="s">
        <v>157</v>
      </c>
      <c r="B1574" t="s">
        <v>44</v>
      </c>
      <c r="C1574" s="3">
        <v>0.0999999999999943</v>
      </c>
      <c r="D1574">
        <v>1</v>
      </c>
      <c r="E1574">
        <v>1</v>
      </c>
      <c r="F1574">
        <v>1</v>
      </c>
    </row>
    <row r="1575" spans="1:6">
      <c r="A1575" t="s">
        <v>157</v>
      </c>
      <c r="B1575" t="s">
        <v>45</v>
      </c>
      <c r="C1575" s="3">
        <v>0.200000000000003</v>
      </c>
      <c r="D1575">
        <v>1</v>
      </c>
      <c r="E1575">
        <v>1</v>
      </c>
      <c r="F1575">
        <v>1</v>
      </c>
    </row>
    <row r="1576" spans="1:6">
      <c r="A1576" t="s">
        <v>157</v>
      </c>
      <c r="B1576" t="s">
        <v>396</v>
      </c>
      <c r="C1576" s="3"/>
      <c r="D1576">
        <v>0</v>
      </c>
      <c r="E1576">
        <v>1</v>
      </c>
      <c r="F1576">
        <v>1</v>
      </c>
    </row>
    <row r="1577" spans="1:6">
      <c r="A1577" t="s">
        <v>158</v>
      </c>
      <c r="B1577" t="s">
        <v>34</v>
      </c>
      <c r="C1577" s="3">
        <v>57.81</v>
      </c>
      <c r="D1577">
        <v>1</v>
      </c>
      <c r="E1577">
        <v>1</v>
      </c>
      <c r="F1577">
        <v>1</v>
      </c>
    </row>
    <row r="1578" spans="1:6">
      <c r="A1578" t="s">
        <v>158</v>
      </c>
      <c r="B1578" t="s">
        <v>35</v>
      </c>
      <c r="C1578" s="3">
        <v>7.9018</v>
      </c>
      <c r="D1578">
        <v>1</v>
      </c>
      <c r="E1578">
        <v>1</v>
      </c>
      <c r="F1578">
        <v>1</v>
      </c>
    </row>
    <row r="1579" spans="1:6">
      <c r="A1579" t="s">
        <v>158</v>
      </c>
      <c r="B1579" t="s">
        <v>36</v>
      </c>
      <c r="C1579" s="3">
        <v>456.803058</v>
      </c>
      <c r="D1579">
        <v>1</v>
      </c>
      <c r="E1579">
        <v>1</v>
      </c>
      <c r="F1579">
        <v>1</v>
      </c>
    </row>
    <row r="1580" spans="1:6">
      <c r="A1580" t="s">
        <v>158</v>
      </c>
      <c r="B1580" t="s">
        <v>40</v>
      </c>
      <c r="C1580" s="3">
        <v>107</v>
      </c>
      <c r="D1580">
        <v>1</v>
      </c>
      <c r="E1580">
        <v>1</v>
      </c>
      <c r="F1580">
        <v>1</v>
      </c>
    </row>
    <row r="1581" spans="1:6">
      <c r="A1581" t="s">
        <v>158</v>
      </c>
      <c r="B1581" t="s">
        <v>41</v>
      </c>
      <c r="C1581" s="3">
        <v>103</v>
      </c>
      <c r="D1581">
        <v>1</v>
      </c>
      <c r="E1581">
        <v>1</v>
      </c>
      <c r="F1581">
        <v>1</v>
      </c>
    </row>
    <row r="1582" spans="1:6">
      <c r="A1582" t="s">
        <v>158</v>
      </c>
      <c r="B1582" t="s">
        <v>42</v>
      </c>
      <c r="C1582" s="3">
        <v>101.4</v>
      </c>
      <c r="D1582">
        <v>1</v>
      </c>
      <c r="E1582">
        <v>1</v>
      </c>
      <c r="F1582">
        <v>1</v>
      </c>
    </row>
    <row r="1583" spans="1:6">
      <c r="A1583" t="s">
        <v>158</v>
      </c>
      <c r="B1583" t="s">
        <v>46</v>
      </c>
      <c r="C1583" s="3">
        <v>105.6</v>
      </c>
      <c r="D1583">
        <v>1</v>
      </c>
      <c r="E1583">
        <v>1</v>
      </c>
      <c r="F1583">
        <v>1</v>
      </c>
    </row>
    <row r="1584" spans="1:6">
      <c r="A1584" t="s">
        <v>158</v>
      </c>
      <c r="B1584" t="s">
        <v>392</v>
      </c>
      <c r="C1584" s="3"/>
      <c r="D1584">
        <v>0</v>
      </c>
      <c r="E1584">
        <v>1</v>
      </c>
      <c r="F1584">
        <v>1</v>
      </c>
    </row>
    <row r="1585" spans="1:6">
      <c r="A1585" t="s">
        <v>158</v>
      </c>
      <c r="B1585" t="s">
        <v>393</v>
      </c>
      <c r="C1585" s="3"/>
      <c r="D1585">
        <v>0</v>
      </c>
      <c r="E1585">
        <v>1</v>
      </c>
      <c r="F1585">
        <v>1</v>
      </c>
    </row>
    <row r="1586" spans="1:6">
      <c r="A1586" t="s">
        <v>158</v>
      </c>
      <c r="B1586" t="s">
        <v>394</v>
      </c>
      <c r="C1586" s="3"/>
      <c r="D1586">
        <v>0</v>
      </c>
      <c r="E1586">
        <v>1</v>
      </c>
      <c r="F1586">
        <v>1</v>
      </c>
    </row>
    <row r="1587" spans="1:6">
      <c r="A1587" t="s">
        <v>158</v>
      </c>
      <c r="B1587" t="s">
        <v>39</v>
      </c>
      <c r="C1587" s="3">
        <v>-7.33183581688338</v>
      </c>
      <c r="D1587">
        <v>1</v>
      </c>
      <c r="E1587">
        <v>1</v>
      </c>
      <c r="F1587">
        <v>1</v>
      </c>
    </row>
    <row r="1588" spans="1:6">
      <c r="A1588" t="s">
        <v>158</v>
      </c>
      <c r="B1588" t="s">
        <v>43</v>
      </c>
      <c r="C1588" s="3">
        <v>-3.90000000000001</v>
      </c>
      <c r="D1588">
        <v>1</v>
      </c>
      <c r="E1588">
        <v>1</v>
      </c>
      <c r="F1588">
        <v>1</v>
      </c>
    </row>
    <row r="1589" spans="1:6">
      <c r="A1589" t="s">
        <v>158</v>
      </c>
      <c r="B1589" t="s">
        <v>44</v>
      </c>
      <c r="C1589" s="3">
        <v>-0.5</v>
      </c>
      <c r="D1589">
        <v>1</v>
      </c>
      <c r="E1589">
        <v>1</v>
      </c>
      <c r="F1589">
        <v>1</v>
      </c>
    </row>
    <row r="1590" spans="1:6">
      <c r="A1590" t="s">
        <v>158</v>
      </c>
      <c r="B1590" t="s">
        <v>45</v>
      </c>
      <c r="C1590" s="3">
        <v>-0.0999999999999943</v>
      </c>
      <c r="D1590">
        <v>1</v>
      </c>
      <c r="E1590">
        <v>1</v>
      </c>
      <c r="F1590">
        <v>1</v>
      </c>
    </row>
    <row r="1591" spans="1:6">
      <c r="A1591" t="s">
        <v>158</v>
      </c>
      <c r="B1591" t="s">
        <v>396</v>
      </c>
      <c r="C1591" s="3"/>
      <c r="D1591">
        <v>0</v>
      </c>
      <c r="E1591">
        <v>1</v>
      </c>
      <c r="F1591">
        <v>1</v>
      </c>
    </row>
    <row r="1592" spans="1:6">
      <c r="A1592" t="s">
        <v>159</v>
      </c>
      <c r="B1592" t="s">
        <v>34</v>
      </c>
      <c r="C1592" s="3">
        <v>58.76</v>
      </c>
      <c r="D1592">
        <v>1</v>
      </c>
      <c r="E1592">
        <v>1</v>
      </c>
      <c r="F1592">
        <v>1</v>
      </c>
    </row>
    <row r="1593" spans="1:6">
      <c r="A1593" t="s">
        <v>159</v>
      </c>
      <c r="B1593" t="s">
        <v>35</v>
      </c>
      <c r="C1593" s="3">
        <v>7.8622</v>
      </c>
      <c r="D1593">
        <v>1</v>
      </c>
      <c r="E1593">
        <v>1</v>
      </c>
      <c r="F1593">
        <v>1</v>
      </c>
    </row>
    <row r="1594" spans="1:6">
      <c r="A1594" t="s">
        <v>159</v>
      </c>
      <c r="B1594" t="s">
        <v>36</v>
      </c>
      <c r="C1594" s="3">
        <v>461.982872</v>
      </c>
      <c r="D1594">
        <v>1</v>
      </c>
      <c r="E1594">
        <v>1</v>
      </c>
      <c r="F1594">
        <v>1</v>
      </c>
    </row>
    <row r="1595" spans="1:6">
      <c r="A1595" t="s">
        <v>159</v>
      </c>
      <c r="B1595" t="s">
        <v>40</v>
      </c>
      <c r="C1595" s="3">
        <v>104</v>
      </c>
      <c r="D1595">
        <v>1</v>
      </c>
      <c r="E1595">
        <v>1</v>
      </c>
      <c r="F1595">
        <v>1</v>
      </c>
    </row>
    <row r="1596" spans="1:6">
      <c r="A1596" t="s">
        <v>159</v>
      </c>
      <c r="B1596" t="s">
        <v>41</v>
      </c>
      <c r="C1596" s="3">
        <v>102.8</v>
      </c>
      <c r="D1596">
        <v>1</v>
      </c>
      <c r="E1596">
        <v>1</v>
      </c>
      <c r="F1596">
        <v>1</v>
      </c>
    </row>
    <row r="1597" spans="1:6">
      <c r="A1597" t="s">
        <v>159</v>
      </c>
      <c r="B1597" t="s">
        <v>42</v>
      </c>
      <c r="C1597" s="3">
        <v>101.9</v>
      </c>
      <c r="D1597">
        <v>1</v>
      </c>
      <c r="E1597">
        <v>1</v>
      </c>
      <c r="F1597">
        <v>1</v>
      </c>
    </row>
    <row r="1598" spans="1:6">
      <c r="A1598" t="s">
        <v>159</v>
      </c>
      <c r="B1598" t="s">
        <v>46</v>
      </c>
      <c r="C1598" s="3">
        <v>104.8</v>
      </c>
      <c r="D1598">
        <v>1</v>
      </c>
      <c r="E1598">
        <v>1</v>
      </c>
      <c r="F1598">
        <v>1</v>
      </c>
    </row>
    <row r="1599" spans="1:6">
      <c r="A1599" t="s">
        <v>159</v>
      </c>
      <c r="B1599" t="s">
        <v>392</v>
      </c>
      <c r="C1599" s="3"/>
      <c r="D1599">
        <v>0</v>
      </c>
      <c r="E1599">
        <v>1</v>
      </c>
      <c r="F1599">
        <v>1</v>
      </c>
    </row>
    <row r="1600" spans="1:6">
      <c r="A1600" t="s">
        <v>159</v>
      </c>
      <c r="B1600" t="s">
        <v>393</v>
      </c>
      <c r="C1600" s="3"/>
      <c r="D1600">
        <v>0</v>
      </c>
      <c r="E1600">
        <v>1</v>
      </c>
      <c r="F1600">
        <v>1</v>
      </c>
    </row>
    <row r="1601" spans="1:6">
      <c r="A1601" t="s">
        <v>159</v>
      </c>
      <c r="B1601" t="s">
        <v>394</v>
      </c>
      <c r="C1601" s="3"/>
      <c r="D1601">
        <v>0</v>
      </c>
      <c r="E1601">
        <v>1</v>
      </c>
      <c r="F1601">
        <v>1</v>
      </c>
    </row>
    <row r="1602" spans="1:6">
      <c r="A1602" t="s">
        <v>159</v>
      </c>
      <c r="B1602" t="s">
        <v>39</v>
      </c>
      <c r="C1602" s="3">
        <v>1.12754640862327</v>
      </c>
      <c r="D1602">
        <v>1</v>
      </c>
      <c r="E1602">
        <v>1</v>
      </c>
      <c r="F1602">
        <v>1</v>
      </c>
    </row>
    <row r="1603" spans="1:6">
      <c r="A1603" t="s">
        <v>159</v>
      </c>
      <c r="B1603" t="s">
        <v>43</v>
      </c>
      <c r="C1603" s="3">
        <v>-3</v>
      </c>
      <c r="D1603">
        <v>1</v>
      </c>
      <c r="E1603">
        <v>1</v>
      </c>
      <c r="F1603">
        <v>1</v>
      </c>
    </row>
    <row r="1604" spans="1:6">
      <c r="A1604" t="s">
        <v>159</v>
      </c>
      <c r="B1604" t="s">
        <v>44</v>
      </c>
      <c r="C1604" s="3">
        <v>-0.200000000000003</v>
      </c>
      <c r="D1604">
        <v>1</v>
      </c>
      <c r="E1604">
        <v>1</v>
      </c>
      <c r="F1604">
        <v>1</v>
      </c>
    </row>
    <row r="1605" spans="1:6">
      <c r="A1605" t="s">
        <v>159</v>
      </c>
      <c r="B1605" t="s">
        <v>45</v>
      </c>
      <c r="C1605" s="3">
        <v>0.5</v>
      </c>
      <c r="D1605">
        <v>1</v>
      </c>
      <c r="E1605">
        <v>1</v>
      </c>
      <c r="F1605">
        <v>1</v>
      </c>
    </row>
    <row r="1606" spans="1:6">
      <c r="A1606" t="s">
        <v>159</v>
      </c>
      <c r="B1606" t="s">
        <v>396</v>
      </c>
      <c r="C1606" s="3"/>
      <c r="D1606">
        <v>0</v>
      </c>
      <c r="E1606">
        <v>1</v>
      </c>
      <c r="F1606">
        <v>1</v>
      </c>
    </row>
    <row r="1607" spans="1:6">
      <c r="A1607" t="s">
        <v>160</v>
      </c>
      <c r="B1607" t="s">
        <v>34</v>
      </c>
      <c r="C1607" s="3">
        <v>62.47</v>
      </c>
      <c r="D1607">
        <v>1</v>
      </c>
      <c r="E1607">
        <v>1</v>
      </c>
      <c r="F1607">
        <v>1</v>
      </c>
    </row>
    <row r="1608" spans="1:6">
      <c r="A1608" t="s">
        <v>160</v>
      </c>
      <c r="B1608" t="s">
        <v>35</v>
      </c>
      <c r="C1608" s="3">
        <v>7.8219</v>
      </c>
      <c r="D1608">
        <v>1</v>
      </c>
      <c r="E1608">
        <v>1</v>
      </c>
      <c r="F1608">
        <v>1</v>
      </c>
    </row>
    <row r="1609" spans="1:6">
      <c r="A1609" t="s">
        <v>160</v>
      </c>
      <c r="B1609" t="s">
        <v>36</v>
      </c>
      <c r="C1609" s="3">
        <v>488.634093</v>
      </c>
      <c r="D1609">
        <v>1</v>
      </c>
      <c r="E1609">
        <v>1</v>
      </c>
      <c r="F1609">
        <v>1</v>
      </c>
    </row>
    <row r="1610" spans="1:6">
      <c r="A1610" t="s">
        <v>160</v>
      </c>
      <c r="B1610" t="s">
        <v>40</v>
      </c>
      <c r="C1610" s="3">
        <v>104.3</v>
      </c>
      <c r="D1610">
        <v>1</v>
      </c>
      <c r="E1610">
        <v>1</v>
      </c>
      <c r="F1610">
        <v>1</v>
      </c>
    </row>
    <row r="1611" spans="1:6">
      <c r="A1611" t="s">
        <v>160</v>
      </c>
      <c r="B1611" t="s">
        <v>41</v>
      </c>
      <c r="C1611" s="3">
        <v>103.1</v>
      </c>
      <c r="D1611">
        <v>1</v>
      </c>
      <c r="E1611">
        <v>1</v>
      </c>
      <c r="F1611">
        <v>1</v>
      </c>
    </row>
    <row r="1612" spans="1:6">
      <c r="A1612" t="s">
        <v>160</v>
      </c>
      <c r="B1612" t="s">
        <v>42</v>
      </c>
      <c r="C1612" s="3">
        <v>102.8</v>
      </c>
      <c r="D1612">
        <v>1</v>
      </c>
      <c r="E1612">
        <v>1</v>
      </c>
      <c r="F1612">
        <v>1</v>
      </c>
    </row>
    <row r="1613" spans="1:6">
      <c r="A1613" t="s">
        <v>160</v>
      </c>
      <c r="B1613" t="s">
        <v>46</v>
      </c>
      <c r="C1613" s="3">
        <v>105</v>
      </c>
      <c r="D1613">
        <v>1</v>
      </c>
      <c r="E1613">
        <v>1</v>
      </c>
      <c r="F1613">
        <v>1</v>
      </c>
    </row>
    <row r="1614" spans="1:6">
      <c r="A1614" t="s">
        <v>160</v>
      </c>
      <c r="B1614" t="s">
        <v>392</v>
      </c>
      <c r="C1614" s="3"/>
      <c r="D1614">
        <v>0</v>
      </c>
      <c r="E1614">
        <v>1</v>
      </c>
      <c r="F1614">
        <v>1</v>
      </c>
    </row>
    <row r="1615" spans="1:6">
      <c r="A1615" t="s">
        <v>160</v>
      </c>
      <c r="B1615" t="s">
        <v>393</v>
      </c>
      <c r="C1615" s="3"/>
      <c r="D1615">
        <v>0</v>
      </c>
      <c r="E1615">
        <v>1</v>
      </c>
      <c r="F1615">
        <v>1</v>
      </c>
    </row>
    <row r="1616" spans="1:6">
      <c r="A1616" t="s">
        <v>160</v>
      </c>
      <c r="B1616" t="s">
        <v>394</v>
      </c>
      <c r="C1616" s="3"/>
      <c r="D1616">
        <v>0</v>
      </c>
      <c r="E1616">
        <v>1</v>
      </c>
      <c r="F1616">
        <v>1</v>
      </c>
    </row>
    <row r="1617" spans="1:6">
      <c r="A1617" t="s">
        <v>160</v>
      </c>
      <c r="B1617" t="s">
        <v>39</v>
      </c>
      <c r="C1617" s="3">
        <v>5.60861165015526</v>
      </c>
      <c r="D1617">
        <v>1</v>
      </c>
      <c r="E1617">
        <v>1</v>
      </c>
      <c r="F1617">
        <v>1</v>
      </c>
    </row>
    <row r="1618" spans="1:6">
      <c r="A1618" t="s">
        <v>160</v>
      </c>
      <c r="B1618" t="s">
        <v>43</v>
      </c>
      <c r="C1618" s="3">
        <v>0.299999999999997</v>
      </c>
      <c r="D1618">
        <v>1</v>
      </c>
      <c r="E1618">
        <v>1</v>
      </c>
      <c r="F1618">
        <v>1</v>
      </c>
    </row>
    <row r="1619" spans="1:6">
      <c r="A1619" t="s">
        <v>160</v>
      </c>
      <c r="B1619" t="s">
        <v>44</v>
      </c>
      <c r="C1619" s="3">
        <v>0.299999999999997</v>
      </c>
      <c r="D1619">
        <v>1</v>
      </c>
      <c r="E1619">
        <v>1</v>
      </c>
      <c r="F1619">
        <v>1</v>
      </c>
    </row>
    <row r="1620" spans="1:6">
      <c r="A1620" t="s">
        <v>160</v>
      </c>
      <c r="B1620" t="s">
        <v>45</v>
      </c>
      <c r="C1620" s="3">
        <v>0.899999999999991</v>
      </c>
      <c r="D1620">
        <v>1</v>
      </c>
      <c r="E1620">
        <v>1</v>
      </c>
      <c r="F1620">
        <v>1</v>
      </c>
    </row>
    <row r="1621" spans="1:6">
      <c r="A1621" t="s">
        <v>160</v>
      </c>
      <c r="B1621" t="s">
        <v>396</v>
      </c>
      <c r="C1621" s="3"/>
      <c r="D1621">
        <v>0</v>
      </c>
      <c r="E1621">
        <v>1</v>
      </c>
      <c r="F1621">
        <v>1</v>
      </c>
    </row>
    <row r="1622" spans="1:6">
      <c r="A1622" t="s">
        <v>161</v>
      </c>
      <c r="B1622" t="s">
        <v>34</v>
      </c>
      <c r="C1622" s="3">
        <v>53.68</v>
      </c>
      <c r="D1622">
        <v>1</v>
      </c>
      <c r="E1622">
        <v>1</v>
      </c>
      <c r="F1622">
        <v>1</v>
      </c>
    </row>
    <row r="1623" spans="1:6">
      <c r="A1623" t="s">
        <v>161</v>
      </c>
      <c r="B1623" t="s">
        <v>35</v>
      </c>
      <c r="C1623" s="3">
        <v>7.7876</v>
      </c>
      <c r="D1623">
        <v>1</v>
      </c>
      <c r="E1623">
        <v>1</v>
      </c>
      <c r="F1623">
        <v>1</v>
      </c>
    </row>
    <row r="1624" spans="1:6">
      <c r="A1624" t="s">
        <v>161</v>
      </c>
      <c r="B1624" t="s">
        <v>36</v>
      </c>
      <c r="C1624" s="3">
        <v>418.038368</v>
      </c>
      <c r="D1624">
        <v>1</v>
      </c>
      <c r="E1624">
        <v>1</v>
      </c>
      <c r="F1624">
        <v>1</v>
      </c>
    </row>
    <row r="1625" spans="1:6">
      <c r="A1625" t="s">
        <v>161</v>
      </c>
      <c r="B1625" t="s">
        <v>40</v>
      </c>
      <c r="C1625" s="3">
        <v>104.6</v>
      </c>
      <c r="D1625">
        <v>1</v>
      </c>
      <c r="E1625">
        <v>1</v>
      </c>
      <c r="F1625">
        <v>1</v>
      </c>
    </row>
    <row r="1626" spans="1:6">
      <c r="A1626" t="s">
        <v>161</v>
      </c>
      <c r="B1626" t="s">
        <v>41</v>
      </c>
      <c r="C1626" s="3">
        <v>103.3</v>
      </c>
      <c r="D1626">
        <v>1</v>
      </c>
      <c r="E1626">
        <v>1</v>
      </c>
      <c r="F1626">
        <v>1</v>
      </c>
    </row>
    <row r="1627" spans="1:6">
      <c r="A1627" t="s">
        <v>161</v>
      </c>
      <c r="B1627" t="s">
        <v>42</v>
      </c>
      <c r="C1627" s="3">
        <v>102.2</v>
      </c>
      <c r="D1627">
        <v>1</v>
      </c>
      <c r="E1627">
        <v>1</v>
      </c>
      <c r="F1627">
        <v>1</v>
      </c>
    </row>
    <row r="1628" spans="1:6">
      <c r="A1628" t="s">
        <v>161</v>
      </c>
      <c r="B1628" t="s">
        <v>46</v>
      </c>
      <c r="C1628" s="3">
        <v>104.7</v>
      </c>
      <c r="D1628">
        <v>1</v>
      </c>
      <c r="E1628">
        <v>1</v>
      </c>
      <c r="F1628">
        <v>1</v>
      </c>
    </row>
    <row r="1629" spans="1:6">
      <c r="A1629" t="s">
        <v>161</v>
      </c>
      <c r="B1629" t="s">
        <v>392</v>
      </c>
      <c r="C1629" s="3"/>
      <c r="D1629">
        <v>0</v>
      </c>
      <c r="E1629">
        <v>1</v>
      </c>
      <c r="F1629">
        <v>1</v>
      </c>
    </row>
    <row r="1630" spans="1:6">
      <c r="A1630" t="s">
        <v>161</v>
      </c>
      <c r="B1630" t="s">
        <v>393</v>
      </c>
      <c r="C1630" s="3"/>
      <c r="D1630">
        <v>0</v>
      </c>
      <c r="E1630">
        <v>1</v>
      </c>
      <c r="F1630">
        <v>1</v>
      </c>
    </row>
    <row r="1631" spans="1:6">
      <c r="A1631" t="s">
        <v>161</v>
      </c>
      <c r="B1631" t="s">
        <v>394</v>
      </c>
      <c r="C1631" s="3"/>
      <c r="D1631">
        <v>0</v>
      </c>
      <c r="E1631">
        <v>1</v>
      </c>
      <c r="F1631">
        <v>1</v>
      </c>
    </row>
    <row r="1632" spans="1:6">
      <c r="A1632" t="s">
        <v>161</v>
      </c>
      <c r="B1632" t="s">
        <v>39</v>
      </c>
      <c r="C1632" s="3">
        <v>-15.6040715516931</v>
      </c>
      <c r="D1632">
        <v>1</v>
      </c>
      <c r="E1632">
        <v>1</v>
      </c>
      <c r="F1632">
        <v>1</v>
      </c>
    </row>
    <row r="1633" spans="1:6">
      <c r="A1633" t="s">
        <v>161</v>
      </c>
      <c r="B1633" t="s">
        <v>43</v>
      </c>
      <c r="C1633" s="3">
        <v>0.299999999999997</v>
      </c>
      <c r="D1633">
        <v>1</v>
      </c>
      <c r="E1633">
        <v>1</v>
      </c>
      <c r="F1633">
        <v>1</v>
      </c>
    </row>
    <row r="1634" spans="1:6">
      <c r="A1634" t="s">
        <v>161</v>
      </c>
      <c r="B1634" t="s">
        <v>44</v>
      </c>
      <c r="C1634" s="3">
        <v>0.200000000000003</v>
      </c>
      <c r="D1634">
        <v>1</v>
      </c>
      <c r="E1634">
        <v>1</v>
      </c>
      <c r="F1634">
        <v>1</v>
      </c>
    </row>
    <row r="1635" spans="1:6">
      <c r="A1635" t="s">
        <v>161</v>
      </c>
      <c r="B1635" t="s">
        <v>45</v>
      </c>
      <c r="C1635" s="3">
        <v>-0.599999999999994</v>
      </c>
      <c r="D1635">
        <v>1</v>
      </c>
      <c r="E1635">
        <v>1</v>
      </c>
      <c r="F1635">
        <v>1</v>
      </c>
    </row>
    <row r="1636" spans="1:6">
      <c r="A1636" t="s">
        <v>161</v>
      </c>
      <c r="B1636" t="s">
        <v>396</v>
      </c>
      <c r="C1636" s="3"/>
      <c r="D1636">
        <v>0</v>
      </c>
      <c r="E1636">
        <v>1</v>
      </c>
      <c r="F1636">
        <v>1</v>
      </c>
    </row>
    <row r="1637" spans="1:6">
      <c r="A1637" t="s">
        <v>162</v>
      </c>
      <c r="B1637" t="s">
        <v>34</v>
      </c>
      <c r="C1637" s="3">
        <v>57.56</v>
      </c>
      <c r="D1637">
        <v>1</v>
      </c>
      <c r="E1637">
        <v>1</v>
      </c>
      <c r="F1637">
        <v>1</v>
      </c>
    </row>
    <row r="1638" spans="1:6">
      <c r="A1638" t="s">
        <v>162</v>
      </c>
      <c r="B1638" t="s">
        <v>35</v>
      </c>
      <c r="C1638" s="3">
        <v>7.7502</v>
      </c>
      <c r="D1638">
        <v>1</v>
      </c>
      <c r="E1638">
        <v>1</v>
      </c>
      <c r="F1638">
        <v>1</v>
      </c>
    </row>
    <row r="1639" spans="1:6">
      <c r="A1639" t="s">
        <v>162</v>
      </c>
      <c r="B1639" t="s">
        <v>36</v>
      </c>
      <c r="C1639" s="3">
        <v>446.101512</v>
      </c>
      <c r="D1639">
        <v>1</v>
      </c>
      <c r="E1639">
        <v>1</v>
      </c>
      <c r="F1639">
        <v>1</v>
      </c>
    </row>
    <row r="1640" spans="1:6">
      <c r="A1640" t="s">
        <v>162</v>
      </c>
      <c r="B1640" t="s">
        <v>40</v>
      </c>
      <c r="C1640" s="3">
        <v>102.5</v>
      </c>
      <c r="D1640">
        <v>1</v>
      </c>
      <c r="E1640">
        <v>1</v>
      </c>
      <c r="F1640">
        <v>1</v>
      </c>
    </row>
    <row r="1641" spans="1:6">
      <c r="A1641" t="s">
        <v>162</v>
      </c>
      <c r="B1641" t="s">
        <v>41</v>
      </c>
      <c r="C1641" s="3">
        <v>102.6</v>
      </c>
      <c r="D1641">
        <v>1</v>
      </c>
      <c r="E1641">
        <v>1</v>
      </c>
      <c r="F1641">
        <v>1</v>
      </c>
    </row>
    <row r="1642" spans="1:6">
      <c r="A1642" t="s">
        <v>162</v>
      </c>
      <c r="B1642" t="s">
        <v>42</v>
      </c>
      <c r="C1642" s="3">
        <v>102.7</v>
      </c>
      <c r="D1642">
        <v>1</v>
      </c>
      <c r="E1642">
        <v>1</v>
      </c>
      <c r="F1642">
        <v>1</v>
      </c>
    </row>
    <row r="1643" spans="1:6">
      <c r="A1643" t="s">
        <v>162</v>
      </c>
      <c r="B1643" t="s">
        <v>46</v>
      </c>
      <c r="C1643" s="3">
        <v>104</v>
      </c>
      <c r="D1643">
        <v>1</v>
      </c>
      <c r="E1643">
        <v>1</v>
      </c>
      <c r="F1643">
        <v>1</v>
      </c>
    </row>
    <row r="1644" spans="1:6">
      <c r="A1644" t="s">
        <v>162</v>
      </c>
      <c r="B1644" t="s">
        <v>392</v>
      </c>
      <c r="C1644" s="3"/>
      <c r="D1644">
        <v>0</v>
      </c>
      <c r="E1644">
        <v>1</v>
      </c>
      <c r="F1644">
        <v>1</v>
      </c>
    </row>
    <row r="1645" spans="1:6">
      <c r="A1645" t="s">
        <v>162</v>
      </c>
      <c r="B1645" t="s">
        <v>393</v>
      </c>
      <c r="C1645" s="3"/>
      <c r="D1645">
        <v>0</v>
      </c>
      <c r="E1645">
        <v>1</v>
      </c>
      <c r="F1645">
        <v>1</v>
      </c>
    </row>
    <row r="1646" spans="1:6">
      <c r="A1646" t="s">
        <v>162</v>
      </c>
      <c r="B1646" t="s">
        <v>394</v>
      </c>
      <c r="C1646" s="3"/>
      <c r="D1646">
        <v>0</v>
      </c>
      <c r="E1646">
        <v>1</v>
      </c>
      <c r="F1646">
        <v>1</v>
      </c>
    </row>
    <row r="1647" spans="1:6">
      <c r="A1647" t="s">
        <v>162</v>
      </c>
      <c r="B1647" t="s">
        <v>39</v>
      </c>
      <c r="C1647" s="3">
        <v>6.49733137170104</v>
      </c>
      <c r="D1647">
        <v>1</v>
      </c>
      <c r="E1647">
        <v>1</v>
      </c>
      <c r="F1647">
        <v>1</v>
      </c>
    </row>
    <row r="1648" spans="1:6">
      <c r="A1648" t="s">
        <v>162</v>
      </c>
      <c r="B1648" t="s">
        <v>43</v>
      </c>
      <c r="C1648" s="3">
        <v>-2.09999999999999</v>
      </c>
      <c r="D1648">
        <v>1</v>
      </c>
      <c r="E1648">
        <v>1</v>
      </c>
      <c r="F1648">
        <v>1</v>
      </c>
    </row>
    <row r="1649" spans="1:6">
      <c r="A1649" t="s">
        <v>162</v>
      </c>
      <c r="B1649" t="s">
        <v>44</v>
      </c>
      <c r="C1649" s="3">
        <v>-0.700000000000003</v>
      </c>
      <c r="D1649">
        <v>1</v>
      </c>
      <c r="E1649">
        <v>1</v>
      </c>
      <c r="F1649">
        <v>1</v>
      </c>
    </row>
    <row r="1650" spans="1:6">
      <c r="A1650" t="s">
        <v>162</v>
      </c>
      <c r="B1650" t="s">
        <v>45</v>
      </c>
      <c r="C1650" s="3">
        <v>0.5</v>
      </c>
      <c r="D1650">
        <v>1</v>
      </c>
      <c r="E1650">
        <v>1</v>
      </c>
      <c r="F1650">
        <v>1</v>
      </c>
    </row>
    <row r="1651" spans="1:6">
      <c r="A1651" t="s">
        <v>162</v>
      </c>
      <c r="B1651" t="s">
        <v>396</v>
      </c>
      <c r="C1651" s="3"/>
      <c r="D1651">
        <v>0</v>
      </c>
      <c r="E1651">
        <v>1</v>
      </c>
      <c r="F1651">
        <v>1</v>
      </c>
    </row>
    <row r="1652" spans="1:6">
      <c r="A1652" t="s">
        <v>163</v>
      </c>
      <c r="B1652" t="s">
        <v>34</v>
      </c>
      <c r="C1652" s="3">
        <v>62.05</v>
      </c>
      <c r="D1652">
        <v>1</v>
      </c>
      <c r="E1652">
        <v>1</v>
      </c>
      <c r="F1652">
        <v>1</v>
      </c>
    </row>
    <row r="1653" spans="1:6">
      <c r="A1653" t="s">
        <v>163</v>
      </c>
      <c r="B1653" t="s">
        <v>35</v>
      </c>
      <c r="C1653" s="3">
        <v>7.7369</v>
      </c>
      <c r="D1653">
        <v>1</v>
      </c>
      <c r="E1653">
        <v>1</v>
      </c>
      <c r="F1653">
        <v>1</v>
      </c>
    </row>
    <row r="1654" spans="1:6">
      <c r="A1654" t="s">
        <v>163</v>
      </c>
      <c r="B1654" t="s">
        <v>36</v>
      </c>
      <c r="C1654" s="3">
        <v>480.074645</v>
      </c>
      <c r="D1654">
        <v>1</v>
      </c>
      <c r="E1654">
        <v>1</v>
      </c>
      <c r="F1654">
        <v>1</v>
      </c>
    </row>
    <row r="1655" spans="1:6">
      <c r="A1655" t="s">
        <v>163</v>
      </c>
      <c r="B1655" t="s">
        <v>40</v>
      </c>
      <c r="C1655" s="3">
        <v>101.7</v>
      </c>
      <c r="D1655">
        <v>1</v>
      </c>
      <c r="E1655">
        <v>1</v>
      </c>
      <c r="F1655">
        <v>1</v>
      </c>
    </row>
    <row r="1656" spans="1:6">
      <c r="A1656" t="s">
        <v>163</v>
      </c>
      <c r="B1656" t="s">
        <v>41</v>
      </c>
      <c r="C1656" s="3">
        <v>102.7</v>
      </c>
      <c r="D1656">
        <v>1</v>
      </c>
      <c r="E1656">
        <v>1</v>
      </c>
      <c r="F1656">
        <v>1</v>
      </c>
    </row>
    <row r="1657" spans="1:6">
      <c r="A1657" t="s">
        <v>163</v>
      </c>
      <c r="B1657" t="s">
        <v>42</v>
      </c>
      <c r="C1657" s="3">
        <v>103.3</v>
      </c>
      <c r="D1657">
        <v>1</v>
      </c>
      <c r="E1657">
        <v>1</v>
      </c>
      <c r="F1657">
        <v>1</v>
      </c>
    </row>
    <row r="1658" spans="1:6">
      <c r="A1658" t="s">
        <v>163</v>
      </c>
      <c r="B1658" t="s">
        <v>46</v>
      </c>
      <c r="C1658" s="3">
        <v>103.7</v>
      </c>
      <c r="D1658">
        <v>1</v>
      </c>
      <c r="E1658">
        <v>1</v>
      </c>
      <c r="F1658">
        <v>1</v>
      </c>
    </row>
    <row r="1659" spans="1:6">
      <c r="A1659" t="s">
        <v>163</v>
      </c>
      <c r="B1659" t="s">
        <v>392</v>
      </c>
      <c r="C1659" s="3"/>
      <c r="D1659">
        <v>0</v>
      </c>
      <c r="E1659">
        <v>1</v>
      </c>
      <c r="F1659">
        <v>1</v>
      </c>
    </row>
    <row r="1660" spans="1:6">
      <c r="A1660" t="s">
        <v>163</v>
      </c>
      <c r="B1660" t="s">
        <v>393</v>
      </c>
      <c r="C1660" s="3"/>
      <c r="D1660">
        <v>0</v>
      </c>
      <c r="E1660">
        <v>1</v>
      </c>
      <c r="F1660">
        <v>1</v>
      </c>
    </row>
    <row r="1661" spans="1:6">
      <c r="A1661" t="s">
        <v>163</v>
      </c>
      <c r="B1661" t="s">
        <v>394</v>
      </c>
      <c r="C1661" s="3"/>
      <c r="D1661">
        <v>0</v>
      </c>
      <c r="E1661">
        <v>1</v>
      </c>
      <c r="F1661">
        <v>1</v>
      </c>
    </row>
    <row r="1662" spans="1:6">
      <c r="A1662" t="s">
        <v>163</v>
      </c>
      <c r="B1662" t="s">
        <v>39</v>
      </c>
      <c r="C1662" s="3">
        <v>7.3395070725057</v>
      </c>
      <c r="D1662">
        <v>1</v>
      </c>
      <c r="E1662">
        <v>1</v>
      </c>
      <c r="F1662">
        <v>1</v>
      </c>
    </row>
    <row r="1663" spans="1:6">
      <c r="A1663" t="s">
        <v>163</v>
      </c>
      <c r="B1663" t="s">
        <v>43</v>
      </c>
      <c r="C1663" s="3">
        <v>-0.799999999999997</v>
      </c>
      <c r="D1663">
        <v>1</v>
      </c>
      <c r="E1663">
        <v>1</v>
      </c>
      <c r="F1663">
        <v>1</v>
      </c>
    </row>
    <row r="1664" spans="1:6">
      <c r="A1664" t="s">
        <v>163</v>
      </c>
      <c r="B1664" t="s">
        <v>44</v>
      </c>
      <c r="C1664" s="3">
        <v>0.100000000000009</v>
      </c>
      <c r="D1664">
        <v>1</v>
      </c>
      <c r="E1664">
        <v>1</v>
      </c>
      <c r="F1664">
        <v>1</v>
      </c>
    </row>
    <row r="1665" spans="1:6">
      <c r="A1665" t="s">
        <v>163</v>
      </c>
      <c r="B1665" t="s">
        <v>45</v>
      </c>
      <c r="C1665" s="3">
        <v>0.599999999999994</v>
      </c>
      <c r="D1665">
        <v>1</v>
      </c>
      <c r="E1665">
        <v>1</v>
      </c>
      <c r="F1665">
        <v>1</v>
      </c>
    </row>
    <row r="1666" spans="1:6">
      <c r="A1666" t="s">
        <v>163</v>
      </c>
      <c r="B1666" t="s">
        <v>396</v>
      </c>
      <c r="C1666" s="3"/>
      <c r="D1666">
        <v>0</v>
      </c>
      <c r="E1666">
        <v>1</v>
      </c>
      <c r="F1666">
        <v>1</v>
      </c>
    </row>
    <row r="1667" spans="1:6">
      <c r="A1667" t="s">
        <v>164</v>
      </c>
      <c r="B1667" t="s">
        <v>34</v>
      </c>
      <c r="C1667" s="3">
        <v>67.49</v>
      </c>
      <c r="D1667">
        <v>1</v>
      </c>
      <c r="E1667">
        <v>1</v>
      </c>
      <c r="F1667">
        <v>1</v>
      </c>
    </row>
    <row r="1668" spans="1:6">
      <c r="A1668" t="s">
        <v>164</v>
      </c>
      <c r="B1668" t="s">
        <v>35</v>
      </c>
      <c r="C1668" s="3">
        <v>7.7247</v>
      </c>
      <c r="D1668">
        <v>1</v>
      </c>
      <c r="E1668">
        <v>1</v>
      </c>
      <c r="F1668">
        <v>1</v>
      </c>
    </row>
    <row r="1669" spans="1:6">
      <c r="A1669" t="s">
        <v>164</v>
      </c>
      <c r="B1669" t="s">
        <v>36</v>
      </c>
      <c r="C1669" s="3">
        <v>521.340003</v>
      </c>
      <c r="D1669">
        <v>1</v>
      </c>
      <c r="E1669">
        <v>1</v>
      </c>
      <c r="F1669">
        <v>1</v>
      </c>
    </row>
    <row r="1670" spans="1:6">
      <c r="A1670" t="s">
        <v>164</v>
      </c>
      <c r="B1670" t="s">
        <v>40</v>
      </c>
      <c r="C1670" s="3">
        <v>102.1</v>
      </c>
      <c r="D1670">
        <v>1</v>
      </c>
      <c r="E1670">
        <v>1</v>
      </c>
      <c r="F1670">
        <v>1</v>
      </c>
    </row>
    <row r="1671" spans="1:6">
      <c r="A1671" t="s">
        <v>164</v>
      </c>
      <c r="B1671" t="s">
        <v>41</v>
      </c>
      <c r="C1671" s="3">
        <v>102.9</v>
      </c>
      <c r="D1671">
        <v>1</v>
      </c>
      <c r="E1671">
        <v>1</v>
      </c>
      <c r="F1671">
        <v>1</v>
      </c>
    </row>
    <row r="1672" spans="1:6">
      <c r="A1672" t="s">
        <v>164</v>
      </c>
      <c r="B1672" t="s">
        <v>42</v>
      </c>
      <c r="C1672" s="3">
        <v>103</v>
      </c>
      <c r="D1672">
        <v>1</v>
      </c>
      <c r="E1672">
        <v>1</v>
      </c>
      <c r="F1672">
        <v>1</v>
      </c>
    </row>
    <row r="1673" spans="1:6">
      <c r="A1673" t="s">
        <v>164</v>
      </c>
      <c r="B1673" t="s">
        <v>46</v>
      </c>
      <c r="C1673" s="3">
        <v>103.7</v>
      </c>
      <c r="D1673">
        <v>1</v>
      </c>
      <c r="E1673">
        <v>1</v>
      </c>
      <c r="F1673">
        <v>1</v>
      </c>
    </row>
    <row r="1674" spans="1:6">
      <c r="A1674" t="s">
        <v>164</v>
      </c>
      <c r="B1674" t="s">
        <v>392</v>
      </c>
      <c r="C1674" s="3"/>
      <c r="D1674">
        <v>0</v>
      </c>
      <c r="E1674">
        <v>1</v>
      </c>
      <c r="F1674">
        <v>1</v>
      </c>
    </row>
    <row r="1675" spans="1:6">
      <c r="A1675" t="s">
        <v>164</v>
      </c>
      <c r="B1675" t="s">
        <v>393</v>
      </c>
      <c r="C1675" s="3"/>
      <c r="D1675">
        <v>0</v>
      </c>
      <c r="E1675">
        <v>1</v>
      </c>
      <c r="F1675">
        <v>1</v>
      </c>
    </row>
    <row r="1676" spans="1:6">
      <c r="A1676" t="s">
        <v>164</v>
      </c>
      <c r="B1676" t="s">
        <v>394</v>
      </c>
      <c r="C1676" s="3"/>
      <c r="D1676">
        <v>0</v>
      </c>
      <c r="E1676">
        <v>1</v>
      </c>
      <c r="F1676">
        <v>1</v>
      </c>
    </row>
    <row r="1677" spans="1:6">
      <c r="A1677" t="s">
        <v>164</v>
      </c>
      <c r="B1677" t="s">
        <v>39</v>
      </c>
      <c r="C1677" s="3">
        <v>8.24608236054599</v>
      </c>
      <c r="D1677">
        <v>1</v>
      </c>
      <c r="E1677">
        <v>1</v>
      </c>
      <c r="F1677">
        <v>1</v>
      </c>
    </row>
    <row r="1678" spans="1:6">
      <c r="A1678" t="s">
        <v>164</v>
      </c>
      <c r="B1678" t="s">
        <v>43</v>
      </c>
      <c r="C1678" s="3">
        <v>0.399999999999991</v>
      </c>
      <c r="D1678">
        <v>1</v>
      </c>
      <c r="E1678">
        <v>1</v>
      </c>
      <c r="F1678">
        <v>1</v>
      </c>
    </row>
    <row r="1679" spans="1:6">
      <c r="A1679" t="s">
        <v>164</v>
      </c>
      <c r="B1679" t="s">
        <v>44</v>
      </c>
      <c r="C1679" s="3">
        <v>0.200000000000003</v>
      </c>
      <c r="D1679">
        <v>1</v>
      </c>
      <c r="E1679">
        <v>1</v>
      </c>
      <c r="F1679">
        <v>1</v>
      </c>
    </row>
    <row r="1680" spans="1:6">
      <c r="A1680" t="s">
        <v>164</v>
      </c>
      <c r="B1680" t="s">
        <v>45</v>
      </c>
      <c r="C1680" s="3">
        <v>-0.299999999999997</v>
      </c>
      <c r="D1680">
        <v>1</v>
      </c>
      <c r="E1680">
        <v>1</v>
      </c>
      <c r="F1680">
        <v>1</v>
      </c>
    </row>
    <row r="1681" spans="1:6">
      <c r="A1681" t="s">
        <v>164</v>
      </c>
      <c r="B1681" t="s">
        <v>396</v>
      </c>
      <c r="C1681" s="3"/>
      <c r="D1681">
        <v>0</v>
      </c>
      <c r="E1681">
        <v>1</v>
      </c>
      <c r="F1681">
        <v>1</v>
      </c>
    </row>
    <row r="1682" spans="1:6">
      <c r="A1682" t="s">
        <v>165</v>
      </c>
      <c r="B1682" t="s">
        <v>34</v>
      </c>
      <c r="C1682" s="3">
        <v>67.21</v>
      </c>
      <c r="D1682">
        <v>1</v>
      </c>
      <c r="E1682">
        <v>1</v>
      </c>
      <c r="F1682">
        <v>1</v>
      </c>
    </row>
    <row r="1683" spans="1:6">
      <c r="A1683" t="s">
        <v>165</v>
      </c>
      <c r="B1683" t="s">
        <v>35</v>
      </c>
      <c r="C1683" s="3">
        <v>7.6773</v>
      </c>
      <c r="D1683">
        <v>1</v>
      </c>
      <c r="E1683">
        <v>1</v>
      </c>
      <c r="F1683">
        <v>1</v>
      </c>
    </row>
    <row r="1684" spans="1:6">
      <c r="A1684" t="s">
        <v>165</v>
      </c>
      <c r="B1684" t="s">
        <v>36</v>
      </c>
      <c r="C1684" s="3">
        <v>515.991333</v>
      </c>
      <c r="D1684">
        <v>1</v>
      </c>
      <c r="E1684">
        <v>1</v>
      </c>
      <c r="F1684">
        <v>1</v>
      </c>
    </row>
    <row r="1685" spans="1:6">
      <c r="A1685" t="s">
        <v>165</v>
      </c>
      <c r="B1685" t="s">
        <v>40</v>
      </c>
      <c r="C1685" s="3">
        <v>102.5</v>
      </c>
      <c r="D1685">
        <v>1</v>
      </c>
      <c r="E1685">
        <v>1</v>
      </c>
      <c r="F1685">
        <v>1</v>
      </c>
    </row>
    <row r="1686" spans="1:6">
      <c r="A1686" t="s">
        <v>165</v>
      </c>
      <c r="B1686" t="s">
        <v>41</v>
      </c>
      <c r="C1686" s="3">
        <v>102.8</v>
      </c>
      <c r="D1686">
        <v>1</v>
      </c>
      <c r="E1686">
        <v>1</v>
      </c>
      <c r="F1686">
        <v>1</v>
      </c>
    </row>
    <row r="1687" spans="1:6">
      <c r="A1687" t="s">
        <v>165</v>
      </c>
      <c r="B1687" t="s">
        <v>42</v>
      </c>
      <c r="C1687" s="3">
        <v>103.4</v>
      </c>
      <c r="D1687">
        <v>1</v>
      </c>
      <c r="E1687">
        <v>1</v>
      </c>
      <c r="F1687">
        <v>1</v>
      </c>
    </row>
    <row r="1688" spans="1:6">
      <c r="A1688" t="s">
        <v>165</v>
      </c>
      <c r="B1688" t="s">
        <v>46</v>
      </c>
      <c r="C1688" s="3">
        <v>103.6</v>
      </c>
      <c r="D1688">
        <v>1</v>
      </c>
      <c r="E1688">
        <v>1</v>
      </c>
      <c r="F1688">
        <v>1</v>
      </c>
    </row>
    <row r="1689" spans="1:6">
      <c r="A1689" t="s">
        <v>165</v>
      </c>
      <c r="B1689" t="s">
        <v>392</v>
      </c>
      <c r="C1689" s="3"/>
      <c r="D1689">
        <v>0</v>
      </c>
      <c r="E1689">
        <v>1</v>
      </c>
      <c r="F1689">
        <v>1</v>
      </c>
    </row>
    <row r="1690" spans="1:6">
      <c r="A1690" t="s">
        <v>165</v>
      </c>
      <c r="B1690" t="s">
        <v>393</v>
      </c>
      <c r="C1690" s="3"/>
      <c r="D1690">
        <v>0</v>
      </c>
      <c r="E1690">
        <v>1</v>
      </c>
      <c r="F1690">
        <v>1</v>
      </c>
    </row>
    <row r="1691" spans="1:6">
      <c r="A1691" t="s">
        <v>165</v>
      </c>
      <c r="B1691" t="s">
        <v>394</v>
      </c>
      <c r="C1691" s="3"/>
      <c r="D1691">
        <v>0</v>
      </c>
      <c r="E1691">
        <v>1</v>
      </c>
      <c r="F1691">
        <v>1</v>
      </c>
    </row>
    <row r="1692" spans="1:6">
      <c r="A1692" t="s">
        <v>165</v>
      </c>
      <c r="B1692" t="s">
        <v>39</v>
      </c>
      <c r="C1692" s="3">
        <v>-1.03124570047</v>
      </c>
      <c r="D1692">
        <v>1</v>
      </c>
      <c r="E1692">
        <v>1</v>
      </c>
      <c r="F1692">
        <v>1</v>
      </c>
    </row>
    <row r="1693" spans="1:6">
      <c r="A1693" t="s">
        <v>165</v>
      </c>
      <c r="B1693" t="s">
        <v>43</v>
      </c>
      <c r="C1693" s="3">
        <v>0.400000000000006</v>
      </c>
      <c r="D1693">
        <v>1</v>
      </c>
      <c r="E1693">
        <v>1</v>
      </c>
      <c r="F1693">
        <v>1</v>
      </c>
    </row>
    <row r="1694" spans="1:6">
      <c r="A1694" t="s">
        <v>165</v>
      </c>
      <c r="B1694" t="s">
        <v>44</v>
      </c>
      <c r="C1694" s="3">
        <v>-0.100000000000009</v>
      </c>
      <c r="D1694">
        <v>1</v>
      </c>
      <c r="E1694">
        <v>1</v>
      </c>
      <c r="F1694">
        <v>1</v>
      </c>
    </row>
    <row r="1695" spans="1:6">
      <c r="A1695" t="s">
        <v>165</v>
      </c>
      <c r="B1695" t="s">
        <v>45</v>
      </c>
      <c r="C1695" s="3">
        <v>0.400000000000006</v>
      </c>
      <c r="D1695">
        <v>1</v>
      </c>
      <c r="E1695">
        <v>1</v>
      </c>
      <c r="F1695">
        <v>1</v>
      </c>
    </row>
    <row r="1696" spans="1:6">
      <c r="A1696" t="s">
        <v>165</v>
      </c>
      <c r="B1696" t="s">
        <v>396</v>
      </c>
      <c r="C1696" s="3"/>
      <c r="D1696">
        <v>0</v>
      </c>
      <c r="E1696">
        <v>1</v>
      </c>
      <c r="F1696">
        <v>1</v>
      </c>
    </row>
    <row r="1697" spans="1:6">
      <c r="A1697" t="s">
        <v>166</v>
      </c>
      <c r="B1697" t="s">
        <v>34</v>
      </c>
      <c r="C1697" s="3">
        <v>71.05</v>
      </c>
      <c r="D1697">
        <v>1</v>
      </c>
      <c r="E1697">
        <v>1</v>
      </c>
      <c r="F1697">
        <v>1</v>
      </c>
    </row>
    <row r="1698" spans="1:6">
      <c r="A1698" t="s">
        <v>166</v>
      </c>
      <c r="B1698" t="s">
        <v>35</v>
      </c>
      <c r="C1698" s="3">
        <v>7.6333</v>
      </c>
      <c r="D1698">
        <v>1</v>
      </c>
      <c r="E1698">
        <v>1</v>
      </c>
      <c r="F1698">
        <v>1</v>
      </c>
    </row>
    <row r="1699" spans="1:6">
      <c r="A1699" t="s">
        <v>166</v>
      </c>
      <c r="B1699" t="s">
        <v>36</v>
      </c>
      <c r="C1699" s="3">
        <v>542.345965</v>
      </c>
      <c r="D1699">
        <v>1</v>
      </c>
      <c r="E1699">
        <v>1</v>
      </c>
      <c r="F1699">
        <v>1</v>
      </c>
    </row>
    <row r="1700" spans="1:6">
      <c r="A1700" t="s">
        <v>166</v>
      </c>
      <c r="B1700" t="s">
        <v>40</v>
      </c>
      <c r="C1700" s="3">
        <v>101.8</v>
      </c>
      <c r="D1700">
        <v>1</v>
      </c>
      <c r="E1700">
        <v>1</v>
      </c>
      <c r="F1700">
        <v>1</v>
      </c>
    </row>
    <row r="1701" spans="1:6">
      <c r="A1701" t="s">
        <v>166</v>
      </c>
      <c r="B1701" t="s">
        <v>41</v>
      </c>
      <c r="C1701" s="3">
        <v>102.5</v>
      </c>
      <c r="D1701">
        <v>1</v>
      </c>
      <c r="E1701">
        <v>1</v>
      </c>
      <c r="F1701">
        <v>1</v>
      </c>
    </row>
    <row r="1702" spans="1:6">
      <c r="A1702" t="s">
        <v>166</v>
      </c>
      <c r="B1702" t="s">
        <v>42</v>
      </c>
      <c r="C1702" s="3">
        <v>104.4</v>
      </c>
      <c r="D1702">
        <v>1</v>
      </c>
      <c r="E1702">
        <v>1</v>
      </c>
      <c r="F1702">
        <v>1</v>
      </c>
    </row>
    <row r="1703" spans="1:6">
      <c r="A1703" t="s">
        <v>166</v>
      </c>
      <c r="B1703" t="s">
        <v>46</v>
      </c>
      <c r="C1703" s="3">
        <v>103.4</v>
      </c>
      <c r="D1703">
        <v>1</v>
      </c>
      <c r="E1703">
        <v>1</v>
      </c>
      <c r="F1703">
        <v>1</v>
      </c>
    </row>
    <row r="1704" spans="1:6">
      <c r="A1704" t="s">
        <v>166</v>
      </c>
      <c r="B1704" t="s">
        <v>392</v>
      </c>
      <c r="C1704" s="3"/>
      <c r="D1704">
        <v>0</v>
      </c>
      <c r="E1704">
        <v>1</v>
      </c>
      <c r="F1704">
        <v>1</v>
      </c>
    </row>
    <row r="1705" spans="1:6">
      <c r="A1705" t="s">
        <v>166</v>
      </c>
      <c r="B1705" t="s">
        <v>393</v>
      </c>
      <c r="C1705" s="3"/>
      <c r="D1705">
        <v>0</v>
      </c>
      <c r="E1705">
        <v>1</v>
      </c>
      <c r="F1705">
        <v>1</v>
      </c>
    </row>
    <row r="1706" spans="1:6">
      <c r="A1706" t="s">
        <v>166</v>
      </c>
      <c r="B1706" t="s">
        <v>394</v>
      </c>
      <c r="C1706" s="3"/>
      <c r="D1706">
        <v>0</v>
      </c>
      <c r="E1706">
        <v>1</v>
      </c>
      <c r="F1706">
        <v>1</v>
      </c>
    </row>
    <row r="1707" spans="1:6">
      <c r="A1707" t="s">
        <v>166</v>
      </c>
      <c r="B1707" t="s">
        <v>39</v>
      </c>
      <c r="C1707" s="3">
        <v>4.98141407845606</v>
      </c>
      <c r="D1707">
        <v>1</v>
      </c>
      <c r="E1707">
        <v>1</v>
      </c>
      <c r="F1707">
        <v>1</v>
      </c>
    </row>
    <row r="1708" spans="1:6">
      <c r="A1708" t="s">
        <v>166</v>
      </c>
      <c r="B1708" t="s">
        <v>43</v>
      </c>
      <c r="C1708" s="3">
        <v>-0.700000000000003</v>
      </c>
      <c r="D1708">
        <v>1</v>
      </c>
      <c r="E1708">
        <v>1</v>
      </c>
      <c r="F1708">
        <v>1</v>
      </c>
    </row>
    <row r="1709" spans="1:6">
      <c r="A1709" t="s">
        <v>166</v>
      </c>
      <c r="B1709" t="s">
        <v>44</v>
      </c>
      <c r="C1709" s="3">
        <v>-0.299999999999997</v>
      </c>
      <c r="D1709">
        <v>1</v>
      </c>
      <c r="E1709">
        <v>1</v>
      </c>
      <c r="F1709">
        <v>1</v>
      </c>
    </row>
    <row r="1710" spans="1:6">
      <c r="A1710" t="s">
        <v>166</v>
      </c>
      <c r="B1710" t="s">
        <v>45</v>
      </c>
      <c r="C1710" s="3">
        <v>1</v>
      </c>
      <c r="D1710">
        <v>1</v>
      </c>
      <c r="E1710">
        <v>1</v>
      </c>
      <c r="F1710">
        <v>1</v>
      </c>
    </row>
    <row r="1711" spans="1:6">
      <c r="A1711" t="s">
        <v>166</v>
      </c>
      <c r="B1711" t="s">
        <v>396</v>
      </c>
      <c r="C1711" s="3"/>
      <c r="D1711">
        <v>0</v>
      </c>
      <c r="E1711">
        <v>1</v>
      </c>
      <c r="F1711">
        <v>1</v>
      </c>
    </row>
    <row r="1712" spans="1:6">
      <c r="A1712" t="s">
        <v>167</v>
      </c>
      <c r="B1712" t="s">
        <v>34</v>
      </c>
      <c r="C1712" s="3">
        <v>76.93</v>
      </c>
      <c r="D1712">
        <v>1</v>
      </c>
      <c r="E1712">
        <v>1</v>
      </c>
      <c r="F1712">
        <v>1</v>
      </c>
    </row>
    <row r="1713" spans="1:6">
      <c r="A1713" t="s">
        <v>167</v>
      </c>
      <c r="B1713" t="s">
        <v>35</v>
      </c>
      <c r="C1713" s="3">
        <v>7.5757</v>
      </c>
      <c r="D1713">
        <v>1</v>
      </c>
      <c r="E1713">
        <v>1</v>
      </c>
      <c r="F1713">
        <v>1</v>
      </c>
    </row>
    <row r="1714" spans="1:6">
      <c r="A1714" t="s">
        <v>167</v>
      </c>
      <c r="B1714" t="s">
        <v>36</v>
      </c>
      <c r="C1714" s="3">
        <v>582.798601</v>
      </c>
      <c r="D1714">
        <v>1</v>
      </c>
      <c r="E1714">
        <v>1</v>
      </c>
      <c r="F1714">
        <v>1</v>
      </c>
    </row>
    <row r="1715" spans="1:6">
      <c r="A1715" t="s">
        <v>167</v>
      </c>
      <c r="B1715" t="s">
        <v>40</v>
      </c>
      <c r="C1715" s="3">
        <v>102.1</v>
      </c>
      <c r="D1715">
        <v>1</v>
      </c>
      <c r="E1715">
        <v>1</v>
      </c>
      <c r="F1715">
        <v>1</v>
      </c>
    </row>
    <row r="1716" spans="1:6">
      <c r="A1716" t="s">
        <v>167</v>
      </c>
      <c r="B1716" t="s">
        <v>41</v>
      </c>
      <c r="C1716" s="3">
        <v>102.4</v>
      </c>
      <c r="D1716">
        <v>1</v>
      </c>
      <c r="E1716">
        <v>1</v>
      </c>
      <c r="F1716">
        <v>1</v>
      </c>
    </row>
    <row r="1717" spans="1:6">
      <c r="A1717" t="s">
        <v>167</v>
      </c>
      <c r="B1717" t="s">
        <v>42</v>
      </c>
      <c r="C1717" s="3">
        <v>105.6</v>
      </c>
      <c r="D1717">
        <v>1</v>
      </c>
      <c r="E1717">
        <v>1</v>
      </c>
      <c r="F1717">
        <v>1</v>
      </c>
    </row>
    <row r="1718" spans="1:6">
      <c r="A1718" t="s">
        <v>167</v>
      </c>
      <c r="B1718" t="s">
        <v>46</v>
      </c>
      <c r="C1718" s="3">
        <v>103.6</v>
      </c>
      <c r="D1718">
        <v>1</v>
      </c>
      <c r="E1718">
        <v>1</v>
      </c>
      <c r="F1718">
        <v>1</v>
      </c>
    </row>
    <row r="1719" spans="1:6">
      <c r="A1719" t="s">
        <v>167</v>
      </c>
      <c r="B1719" t="s">
        <v>392</v>
      </c>
      <c r="C1719" s="3"/>
      <c r="D1719">
        <v>0</v>
      </c>
      <c r="E1719">
        <v>1</v>
      </c>
      <c r="F1719">
        <v>1</v>
      </c>
    </row>
    <row r="1720" spans="1:6">
      <c r="A1720" t="s">
        <v>167</v>
      </c>
      <c r="B1720" t="s">
        <v>393</v>
      </c>
      <c r="C1720" s="3"/>
      <c r="D1720">
        <v>0</v>
      </c>
      <c r="E1720">
        <v>1</v>
      </c>
      <c r="F1720">
        <v>1</v>
      </c>
    </row>
    <row r="1721" spans="1:6">
      <c r="A1721" t="s">
        <v>167</v>
      </c>
      <c r="B1721" t="s">
        <v>394</v>
      </c>
      <c r="C1721" s="3"/>
      <c r="D1721">
        <v>0</v>
      </c>
      <c r="E1721">
        <v>1</v>
      </c>
      <c r="F1721">
        <v>1</v>
      </c>
    </row>
    <row r="1722" spans="1:6">
      <c r="A1722" t="s">
        <v>167</v>
      </c>
      <c r="B1722" t="s">
        <v>39</v>
      </c>
      <c r="C1722" s="3">
        <v>7.19375642242971</v>
      </c>
      <c r="D1722">
        <v>1</v>
      </c>
      <c r="E1722">
        <v>1</v>
      </c>
      <c r="F1722">
        <v>1</v>
      </c>
    </row>
    <row r="1723" spans="1:6">
      <c r="A1723" t="s">
        <v>167</v>
      </c>
      <c r="B1723" t="s">
        <v>43</v>
      </c>
      <c r="C1723" s="3">
        <v>0.299999999999997</v>
      </c>
      <c r="D1723">
        <v>1</v>
      </c>
      <c r="E1723">
        <v>1</v>
      </c>
      <c r="F1723">
        <v>1</v>
      </c>
    </row>
    <row r="1724" spans="1:6">
      <c r="A1724" t="s">
        <v>167</v>
      </c>
      <c r="B1724" t="s">
        <v>44</v>
      </c>
      <c r="C1724" s="3">
        <v>-0.0999999999999943</v>
      </c>
      <c r="D1724">
        <v>1</v>
      </c>
      <c r="E1724">
        <v>1</v>
      </c>
      <c r="F1724">
        <v>1</v>
      </c>
    </row>
    <row r="1725" spans="1:6">
      <c r="A1725" t="s">
        <v>167</v>
      </c>
      <c r="B1725" t="s">
        <v>45</v>
      </c>
      <c r="C1725" s="3">
        <v>1.19999999999999</v>
      </c>
      <c r="D1725">
        <v>1</v>
      </c>
      <c r="E1725">
        <v>1</v>
      </c>
      <c r="F1725">
        <v>1</v>
      </c>
    </row>
    <row r="1726" spans="1:6">
      <c r="A1726" t="s">
        <v>167</v>
      </c>
      <c r="B1726" t="s">
        <v>396</v>
      </c>
      <c r="C1726" s="3"/>
      <c r="D1726">
        <v>0</v>
      </c>
      <c r="E1726">
        <v>1</v>
      </c>
      <c r="F1726">
        <v>1</v>
      </c>
    </row>
    <row r="1727" spans="1:6">
      <c r="A1727" t="s">
        <v>168</v>
      </c>
      <c r="B1727" t="s">
        <v>34</v>
      </c>
      <c r="C1727" s="3">
        <v>70.76</v>
      </c>
      <c r="D1727">
        <v>1</v>
      </c>
      <c r="E1727">
        <v>1</v>
      </c>
      <c r="F1727">
        <v>1</v>
      </c>
    </row>
    <row r="1728" spans="1:6">
      <c r="A1728" t="s">
        <v>168</v>
      </c>
      <c r="B1728" t="s">
        <v>35</v>
      </c>
      <c r="C1728" s="3">
        <v>7.5734</v>
      </c>
      <c r="D1728">
        <v>1</v>
      </c>
      <c r="E1728">
        <v>1</v>
      </c>
      <c r="F1728">
        <v>1</v>
      </c>
    </row>
    <row r="1729" spans="1:6">
      <c r="A1729" t="s">
        <v>168</v>
      </c>
      <c r="B1729" t="s">
        <v>36</v>
      </c>
      <c r="C1729" s="3">
        <v>535.893784</v>
      </c>
      <c r="D1729">
        <v>1</v>
      </c>
      <c r="E1729">
        <v>1</v>
      </c>
      <c r="F1729">
        <v>1</v>
      </c>
    </row>
    <row r="1730" spans="1:6">
      <c r="A1730" t="s">
        <v>168</v>
      </c>
      <c r="B1730" t="s">
        <v>40</v>
      </c>
      <c r="C1730" s="3">
        <v>102.8</v>
      </c>
      <c r="D1730">
        <v>1</v>
      </c>
      <c r="E1730">
        <v>1</v>
      </c>
      <c r="F1730">
        <v>1</v>
      </c>
    </row>
    <row r="1731" spans="1:6">
      <c r="A1731" t="s">
        <v>168</v>
      </c>
      <c r="B1731" t="s">
        <v>41</v>
      </c>
      <c r="C1731" s="3">
        <v>102.6</v>
      </c>
      <c r="D1731">
        <v>1</v>
      </c>
      <c r="E1731">
        <v>1</v>
      </c>
      <c r="F1731">
        <v>1</v>
      </c>
    </row>
    <row r="1732" spans="1:6">
      <c r="A1732" t="s">
        <v>168</v>
      </c>
      <c r="B1732" t="s">
        <v>42</v>
      </c>
      <c r="C1732" s="3">
        <v>106.5</v>
      </c>
      <c r="D1732">
        <v>1</v>
      </c>
      <c r="E1732">
        <v>1</v>
      </c>
      <c r="F1732">
        <v>1</v>
      </c>
    </row>
    <row r="1733" spans="1:6">
      <c r="A1733" t="s">
        <v>168</v>
      </c>
      <c r="B1733" t="s">
        <v>46</v>
      </c>
      <c r="C1733" s="3">
        <v>103.8</v>
      </c>
      <c r="D1733">
        <v>1</v>
      </c>
      <c r="E1733">
        <v>1</v>
      </c>
      <c r="F1733">
        <v>1</v>
      </c>
    </row>
    <row r="1734" spans="1:6">
      <c r="A1734" t="s">
        <v>168</v>
      </c>
      <c r="B1734" t="s">
        <v>392</v>
      </c>
      <c r="C1734" s="3"/>
      <c r="D1734">
        <v>0</v>
      </c>
      <c r="E1734">
        <v>1</v>
      </c>
      <c r="F1734">
        <v>1</v>
      </c>
    </row>
    <row r="1735" spans="1:6">
      <c r="A1735" t="s">
        <v>168</v>
      </c>
      <c r="B1735" t="s">
        <v>393</v>
      </c>
      <c r="C1735" s="3"/>
      <c r="D1735">
        <v>0</v>
      </c>
      <c r="E1735">
        <v>1</v>
      </c>
      <c r="F1735">
        <v>1</v>
      </c>
    </row>
    <row r="1736" spans="1:6">
      <c r="A1736" t="s">
        <v>168</v>
      </c>
      <c r="B1736" t="s">
        <v>394</v>
      </c>
      <c r="C1736" s="3"/>
      <c r="D1736">
        <v>0</v>
      </c>
      <c r="E1736">
        <v>1</v>
      </c>
      <c r="F1736">
        <v>1</v>
      </c>
    </row>
    <row r="1737" spans="1:6">
      <c r="A1737" t="s">
        <v>168</v>
      </c>
      <c r="B1737" t="s">
        <v>39</v>
      </c>
      <c r="C1737" s="3">
        <v>-8.3905696583147</v>
      </c>
      <c r="D1737">
        <v>1</v>
      </c>
      <c r="E1737">
        <v>1</v>
      </c>
      <c r="F1737">
        <v>1</v>
      </c>
    </row>
    <row r="1738" spans="1:6">
      <c r="A1738" t="s">
        <v>168</v>
      </c>
      <c r="B1738" t="s">
        <v>43</v>
      </c>
      <c r="C1738" s="3">
        <v>0.700000000000003</v>
      </c>
      <c r="D1738">
        <v>1</v>
      </c>
      <c r="E1738">
        <v>1</v>
      </c>
      <c r="F1738">
        <v>1</v>
      </c>
    </row>
    <row r="1739" spans="1:6">
      <c r="A1739" t="s">
        <v>168</v>
      </c>
      <c r="B1739" t="s">
        <v>44</v>
      </c>
      <c r="C1739" s="3">
        <v>0.199999999999989</v>
      </c>
      <c r="D1739">
        <v>1</v>
      </c>
      <c r="E1739">
        <v>1</v>
      </c>
      <c r="F1739">
        <v>1</v>
      </c>
    </row>
    <row r="1740" spans="1:6">
      <c r="A1740" t="s">
        <v>168</v>
      </c>
      <c r="B1740" t="s">
        <v>45</v>
      </c>
      <c r="C1740" s="3">
        <v>0.900000000000006</v>
      </c>
      <c r="D1740">
        <v>1</v>
      </c>
      <c r="E1740">
        <v>1</v>
      </c>
      <c r="F1740">
        <v>1</v>
      </c>
    </row>
    <row r="1741" spans="1:6">
      <c r="A1741" t="s">
        <v>168</v>
      </c>
      <c r="B1741" t="s">
        <v>396</v>
      </c>
      <c r="C1741" s="3"/>
      <c r="D1741">
        <v>0</v>
      </c>
      <c r="E1741">
        <v>1</v>
      </c>
      <c r="F1741">
        <v>1</v>
      </c>
    </row>
    <row r="1742" spans="1:6">
      <c r="A1742" t="s">
        <v>169</v>
      </c>
      <c r="B1742" t="s">
        <v>34</v>
      </c>
      <c r="C1742" s="3">
        <v>77.17</v>
      </c>
      <c r="D1742">
        <v>1</v>
      </c>
      <c r="E1742">
        <v>1</v>
      </c>
      <c r="F1742">
        <v>1</v>
      </c>
    </row>
    <row r="1743" spans="1:6">
      <c r="A1743" t="s">
        <v>169</v>
      </c>
      <c r="B1743" t="s">
        <v>35</v>
      </c>
      <c r="C1743" s="3">
        <v>7.521</v>
      </c>
      <c r="D1743">
        <v>1</v>
      </c>
      <c r="E1743">
        <v>1</v>
      </c>
      <c r="F1743">
        <v>1</v>
      </c>
    </row>
    <row r="1744" spans="1:6">
      <c r="A1744" t="s">
        <v>169</v>
      </c>
      <c r="B1744" t="s">
        <v>36</v>
      </c>
      <c r="C1744" s="3">
        <v>580.39557</v>
      </c>
      <c r="D1744">
        <v>1</v>
      </c>
      <c r="E1744">
        <v>1</v>
      </c>
      <c r="F1744">
        <v>1</v>
      </c>
    </row>
    <row r="1745" spans="1:6">
      <c r="A1745" t="s">
        <v>169</v>
      </c>
      <c r="B1745" t="s">
        <v>40</v>
      </c>
      <c r="C1745" s="3">
        <v>101.9</v>
      </c>
      <c r="D1745">
        <v>1</v>
      </c>
      <c r="E1745">
        <v>1</v>
      </c>
      <c r="F1745">
        <v>1</v>
      </c>
    </row>
    <row r="1746" spans="1:6">
      <c r="A1746" t="s">
        <v>169</v>
      </c>
      <c r="B1746" t="s">
        <v>41</v>
      </c>
      <c r="C1746" s="3">
        <v>102.7</v>
      </c>
      <c r="D1746">
        <v>1</v>
      </c>
      <c r="E1746">
        <v>1</v>
      </c>
      <c r="F1746">
        <v>1</v>
      </c>
    </row>
    <row r="1747" spans="1:6">
      <c r="A1747" t="s">
        <v>169</v>
      </c>
      <c r="B1747" t="s">
        <v>42</v>
      </c>
      <c r="C1747" s="3">
        <v>106.2</v>
      </c>
      <c r="D1747">
        <v>1</v>
      </c>
      <c r="E1747">
        <v>1</v>
      </c>
      <c r="F1747">
        <v>1</v>
      </c>
    </row>
    <row r="1748" spans="1:6">
      <c r="A1748" t="s">
        <v>169</v>
      </c>
      <c r="B1748" t="s">
        <v>46</v>
      </c>
      <c r="C1748" s="3">
        <v>103.6</v>
      </c>
      <c r="D1748">
        <v>1</v>
      </c>
      <c r="E1748">
        <v>1</v>
      </c>
      <c r="F1748">
        <v>1</v>
      </c>
    </row>
    <row r="1749" spans="1:6">
      <c r="A1749" t="s">
        <v>169</v>
      </c>
      <c r="B1749" t="s">
        <v>392</v>
      </c>
      <c r="C1749" s="3"/>
      <c r="D1749">
        <v>0</v>
      </c>
      <c r="E1749">
        <v>1</v>
      </c>
      <c r="F1749">
        <v>1</v>
      </c>
    </row>
    <row r="1750" spans="1:6">
      <c r="A1750" t="s">
        <v>169</v>
      </c>
      <c r="B1750" t="s">
        <v>393</v>
      </c>
      <c r="C1750" s="3"/>
      <c r="D1750">
        <v>0</v>
      </c>
      <c r="E1750">
        <v>1</v>
      </c>
      <c r="F1750">
        <v>1</v>
      </c>
    </row>
    <row r="1751" spans="1:6">
      <c r="A1751" t="s">
        <v>169</v>
      </c>
      <c r="B1751" t="s">
        <v>394</v>
      </c>
      <c r="C1751" s="3"/>
      <c r="D1751">
        <v>0</v>
      </c>
      <c r="E1751">
        <v>1</v>
      </c>
      <c r="F1751">
        <v>1</v>
      </c>
    </row>
    <row r="1752" spans="1:6">
      <c r="A1752" t="s">
        <v>169</v>
      </c>
      <c r="B1752" t="s">
        <v>39</v>
      </c>
      <c r="C1752" s="3">
        <v>7.97739110591953</v>
      </c>
      <c r="D1752">
        <v>1</v>
      </c>
      <c r="E1752">
        <v>1</v>
      </c>
      <c r="F1752">
        <v>1</v>
      </c>
    </row>
    <row r="1753" spans="1:6">
      <c r="A1753" t="s">
        <v>169</v>
      </c>
      <c r="B1753" t="s">
        <v>43</v>
      </c>
      <c r="C1753" s="3">
        <v>-0.899999999999991</v>
      </c>
      <c r="D1753">
        <v>1</v>
      </c>
      <c r="E1753">
        <v>1</v>
      </c>
      <c r="F1753">
        <v>1</v>
      </c>
    </row>
    <row r="1754" spans="1:6">
      <c r="A1754" t="s">
        <v>169</v>
      </c>
      <c r="B1754" t="s">
        <v>44</v>
      </c>
      <c r="C1754" s="3">
        <v>0.100000000000009</v>
      </c>
      <c r="D1754">
        <v>1</v>
      </c>
      <c r="E1754">
        <v>1</v>
      </c>
      <c r="F1754">
        <v>1</v>
      </c>
    </row>
    <row r="1755" spans="1:6">
      <c r="A1755" t="s">
        <v>169</v>
      </c>
      <c r="B1755" t="s">
        <v>45</v>
      </c>
      <c r="C1755" s="3">
        <v>-0.299999999999997</v>
      </c>
      <c r="D1755">
        <v>1</v>
      </c>
      <c r="E1755">
        <v>1</v>
      </c>
      <c r="F1755">
        <v>1</v>
      </c>
    </row>
    <row r="1756" spans="1:6">
      <c r="A1756" t="s">
        <v>169</v>
      </c>
      <c r="B1756" t="s">
        <v>396</v>
      </c>
      <c r="C1756" s="3"/>
      <c r="D1756">
        <v>0</v>
      </c>
      <c r="E1756">
        <v>1</v>
      </c>
      <c r="F1756">
        <v>1</v>
      </c>
    </row>
    <row r="1757" spans="1:6">
      <c r="A1757" t="s">
        <v>170</v>
      </c>
      <c r="B1757" t="s">
        <v>34</v>
      </c>
      <c r="C1757" s="3">
        <v>82.34</v>
      </c>
      <c r="D1757">
        <v>1</v>
      </c>
      <c r="E1757">
        <v>1</v>
      </c>
      <c r="F1757">
        <v>1</v>
      </c>
    </row>
    <row r="1758" spans="1:6">
      <c r="A1758" t="s">
        <v>170</v>
      </c>
      <c r="B1758" t="s">
        <v>35</v>
      </c>
      <c r="C1758" s="3">
        <v>7.5019</v>
      </c>
      <c r="D1758">
        <v>1</v>
      </c>
      <c r="E1758">
        <v>1</v>
      </c>
      <c r="F1758">
        <v>1</v>
      </c>
    </row>
    <row r="1759" spans="1:6">
      <c r="A1759" t="s">
        <v>170</v>
      </c>
      <c r="B1759" t="s">
        <v>36</v>
      </c>
      <c r="C1759" s="3">
        <v>617.706446</v>
      </c>
      <c r="D1759">
        <v>1</v>
      </c>
      <c r="E1759">
        <v>1</v>
      </c>
      <c r="F1759">
        <v>1</v>
      </c>
    </row>
    <row r="1760" spans="1:6">
      <c r="A1760" t="s">
        <v>170</v>
      </c>
      <c r="B1760" t="s">
        <v>40</v>
      </c>
      <c r="C1760" s="3">
        <v>104.2</v>
      </c>
      <c r="D1760">
        <v>1</v>
      </c>
      <c r="E1760">
        <v>1</v>
      </c>
      <c r="F1760">
        <v>1</v>
      </c>
    </row>
    <row r="1761" spans="1:6">
      <c r="A1761" t="s">
        <v>170</v>
      </c>
      <c r="B1761" t="s">
        <v>41</v>
      </c>
      <c r="C1761" s="3">
        <v>103.2</v>
      </c>
      <c r="D1761">
        <v>1</v>
      </c>
      <c r="E1761">
        <v>1</v>
      </c>
      <c r="F1761">
        <v>1</v>
      </c>
    </row>
    <row r="1762" spans="1:6">
      <c r="A1762" t="s">
        <v>170</v>
      </c>
      <c r="B1762" t="s">
        <v>42</v>
      </c>
      <c r="C1762" s="3">
        <v>106.5</v>
      </c>
      <c r="D1762">
        <v>1</v>
      </c>
      <c r="E1762">
        <v>1</v>
      </c>
      <c r="F1762">
        <v>1</v>
      </c>
    </row>
    <row r="1763" spans="1:6">
      <c r="A1763" t="s">
        <v>170</v>
      </c>
      <c r="B1763" t="s">
        <v>46</v>
      </c>
      <c r="C1763" s="3">
        <v>104.5</v>
      </c>
      <c r="D1763">
        <v>1</v>
      </c>
      <c r="E1763">
        <v>1</v>
      </c>
      <c r="F1763">
        <v>1</v>
      </c>
    </row>
    <row r="1764" spans="1:6">
      <c r="A1764" t="s">
        <v>170</v>
      </c>
      <c r="B1764" t="s">
        <v>392</v>
      </c>
      <c r="C1764" s="3"/>
      <c r="D1764">
        <v>0</v>
      </c>
      <c r="E1764">
        <v>1</v>
      </c>
      <c r="F1764">
        <v>1</v>
      </c>
    </row>
    <row r="1765" spans="1:6">
      <c r="A1765" t="s">
        <v>170</v>
      </c>
      <c r="B1765" t="s">
        <v>393</v>
      </c>
      <c r="C1765" s="3"/>
      <c r="D1765">
        <v>0</v>
      </c>
      <c r="E1765">
        <v>1</v>
      </c>
      <c r="F1765">
        <v>1</v>
      </c>
    </row>
    <row r="1766" spans="1:6">
      <c r="A1766" t="s">
        <v>170</v>
      </c>
      <c r="B1766" t="s">
        <v>394</v>
      </c>
      <c r="C1766" s="3"/>
      <c r="D1766">
        <v>0</v>
      </c>
      <c r="E1766">
        <v>1</v>
      </c>
      <c r="F1766">
        <v>1</v>
      </c>
    </row>
    <row r="1767" spans="1:6">
      <c r="A1767" t="s">
        <v>170</v>
      </c>
      <c r="B1767" t="s">
        <v>39</v>
      </c>
      <c r="C1767" s="3">
        <v>6.23034498201085</v>
      </c>
      <c r="D1767">
        <v>1</v>
      </c>
      <c r="E1767">
        <v>1</v>
      </c>
      <c r="F1767">
        <v>1</v>
      </c>
    </row>
    <row r="1768" spans="1:6">
      <c r="A1768" t="s">
        <v>170</v>
      </c>
      <c r="B1768" t="s">
        <v>43</v>
      </c>
      <c r="C1768" s="3">
        <v>2.3</v>
      </c>
      <c r="D1768">
        <v>1</v>
      </c>
      <c r="E1768">
        <v>1</v>
      </c>
      <c r="F1768">
        <v>1</v>
      </c>
    </row>
    <row r="1769" spans="1:6">
      <c r="A1769" t="s">
        <v>170</v>
      </c>
      <c r="B1769" t="s">
        <v>44</v>
      </c>
      <c r="C1769" s="3">
        <v>0.5</v>
      </c>
      <c r="D1769">
        <v>1</v>
      </c>
      <c r="E1769">
        <v>1</v>
      </c>
      <c r="F1769">
        <v>1</v>
      </c>
    </row>
    <row r="1770" spans="1:6">
      <c r="A1770" t="s">
        <v>170</v>
      </c>
      <c r="B1770" t="s">
        <v>45</v>
      </c>
      <c r="C1770" s="3">
        <v>0.299999999999997</v>
      </c>
      <c r="D1770">
        <v>1</v>
      </c>
      <c r="E1770">
        <v>1</v>
      </c>
      <c r="F1770">
        <v>1</v>
      </c>
    </row>
    <row r="1771" spans="1:6">
      <c r="A1771" t="s">
        <v>170</v>
      </c>
      <c r="B1771" t="s">
        <v>396</v>
      </c>
      <c r="C1771" s="3"/>
      <c r="D1771">
        <v>0</v>
      </c>
      <c r="E1771">
        <v>1</v>
      </c>
      <c r="F1771">
        <v>1</v>
      </c>
    </row>
    <row r="1772" spans="1:6">
      <c r="A1772" t="s">
        <v>171</v>
      </c>
      <c r="B1772" t="s">
        <v>34</v>
      </c>
      <c r="C1772" s="3">
        <v>92.41</v>
      </c>
      <c r="D1772">
        <v>1</v>
      </c>
      <c r="E1772">
        <v>1</v>
      </c>
      <c r="F1772">
        <v>1</v>
      </c>
    </row>
    <row r="1773" spans="1:6">
      <c r="A1773" t="s">
        <v>171</v>
      </c>
      <c r="B1773" t="s">
        <v>35</v>
      </c>
      <c r="C1773" s="3">
        <v>7.421</v>
      </c>
      <c r="D1773">
        <v>1</v>
      </c>
      <c r="E1773">
        <v>1</v>
      </c>
      <c r="F1773">
        <v>1</v>
      </c>
    </row>
    <row r="1774" spans="1:6">
      <c r="A1774" t="s">
        <v>171</v>
      </c>
      <c r="B1774" t="s">
        <v>36</v>
      </c>
      <c r="C1774" s="3">
        <v>685.77461</v>
      </c>
      <c r="D1774">
        <v>1</v>
      </c>
      <c r="E1774">
        <v>1</v>
      </c>
      <c r="F1774">
        <v>1</v>
      </c>
    </row>
    <row r="1775" spans="1:6">
      <c r="A1775" t="s">
        <v>171</v>
      </c>
      <c r="B1775" t="s">
        <v>40</v>
      </c>
      <c r="C1775" s="3">
        <v>109.9</v>
      </c>
      <c r="D1775">
        <v>1</v>
      </c>
      <c r="E1775">
        <v>1</v>
      </c>
      <c r="F1775">
        <v>1</v>
      </c>
    </row>
    <row r="1776" spans="1:6">
      <c r="A1776" t="s">
        <v>171</v>
      </c>
      <c r="B1776" t="s">
        <v>41</v>
      </c>
      <c r="C1776" s="3">
        <v>104.6</v>
      </c>
      <c r="D1776">
        <v>1</v>
      </c>
      <c r="E1776">
        <v>1</v>
      </c>
      <c r="F1776">
        <v>1</v>
      </c>
    </row>
    <row r="1777" spans="1:6">
      <c r="A1777" t="s">
        <v>171</v>
      </c>
      <c r="B1777" t="s">
        <v>42</v>
      </c>
      <c r="C1777" s="3">
        <v>106.9</v>
      </c>
      <c r="D1777">
        <v>1</v>
      </c>
      <c r="E1777">
        <v>1</v>
      </c>
      <c r="F1777">
        <v>1</v>
      </c>
    </row>
    <row r="1778" spans="1:6">
      <c r="A1778" t="s">
        <v>171</v>
      </c>
      <c r="B1778" t="s">
        <v>46</v>
      </c>
      <c r="C1778" s="3">
        <v>106.3</v>
      </c>
      <c r="D1778">
        <v>1</v>
      </c>
      <c r="E1778">
        <v>1</v>
      </c>
      <c r="F1778">
        <v>1</v>
      </c>
    </row>
    <row r="1779" spans="1:6">
      <c r="A1779" t="s">
        <v>171</v>
      </c>
      <c r="B1779" t="s">
        <v>392</v>
      </c>
      <c r="C1779" s="3"/>
      <c r="D1779">
        <v>0</v>
      </c>
      <c r="E1779">
        <v>1</v>
      </c>
      <c r="F1779">
        <v>1</v>
      </c>
    </row>
    <row r="1780" spans="1:6">
      <c r="A1780" t="s">
        <v>171</v>
      </c>
      <c r="B1780" t="s">
        <v>393</v>
      </c>
      <c r="C1780" s="3"/>
      <c r="D1780">
        <v>0</v>
      </c>
      <c r="E1780">
        <v>1</v>
      </c>
      <c r="F1780">
        <v>1</v>
      </c>
    </row>
    <row r="1781" spans="1:6">
      <c r="A1781" t="s">
        <v>171</v>
      </c>
      <c r="B1781" t="s">
        <v>394</v>
      </c>
      <c r="C1781" s="3"/>
      <c r="D1781">
        <v>0</v>
      </c>
      <c r="E1781">
        <v>1</v>
      </c>
      <c r="F1781">
        <v>1</v>
      </c>
    </row>
    <row r="1782" spans="1:6">
      <c r="A1782" t="s">
        <v>171</v>
      </c>
      <c r="B1782" t="s">
        <v>39</v>
      </c>
      <c r="C1782" s="3">
        <v>10.4535678754059</v>
      </c>
      <c r="D1782">
        <v>1</v>
      </c>
      <c r="E1782">
        <v>1</v>
      </c>
      <c r="F1782">
        <v>1</v>
      </c>
    </row>
    <row r="1783" spans="1:6">
      <c r="A1783" t="s">
        <v>171</v>
      </c>
      <c r="B1783" t="s">
        <v>43</v>
      </c>
      <c r="C1783" s="3">
        <v>5.7</v>
      </c>
      <c r="D1783">
        <v>1</v>
      </c>
      <c r="E1783">
        <v>1</v>
      </c>
      <c r="F1783">
        <v>1</v>
      </c>
    </row>
    <row r="1784" spans="1:6">
      <c r="A1784" t="s">
        <v>171</v>
      </c>
      <c r="B1784" t="s">
        <v>44</v>
      </c>
      <c r="C1784" s="3">
        <v>1.39999999999999</v>
      </c>
      <c r="D1784">
        <v>1</v>
      </c>
      <c r="E1784">
        <v>1</v>
      </c>
      <c r="F1784">
        <v>1</v>
      </c>
    </row>
    <row r="1785" spans="1:6">
      <c r="A1785" t="s">
        <v>171</v>
      </c>
      <c r="B1785" t="s">
        <v>45</v>
      </c>
      <c r="C1785" s="3">
        <v>0.400000000000006</v>
      </c>
      <c r="D1785">
        <v>1</v>
      </c>
      <c r="E1785">
        <v>1</v>
      </c>
      <c r="F1785">
        <v>1</v>
      </c>
    </row>
    <row r="1786" spans="1:6">
      <c r="A1786" t="s">
        <v>171</v>
      </c>
      <c r="B1786" t="s">
        <v>396</v>
      </c>
      <c r="C1786" s="3"/>
      <c r="D1786">
        <v>0</v>
      </c>
      <c r="E1786">
        <v>1</v>
      </c>
      <c r="F1786">
        <v>1</v>
      </c>
    </row>
    <row r="1787" spans="1:6">
      <c r="A1787" t="s">
        <v>172</v>
      </c>
      <c r="B1787" t="s">
        <v>34</v>
      </c>
      <c r="C1787" s="3">
        <v>90.93</v>
      </c>
      <c r="D1787">
        <v>1</v>
      </c>
      <c r="E1787">
        <v>1</v>
      </c>
      <c r="F1787">
        <v>1</v>
      </c>
    </row>
    <row r="1788" spans="1:6">
      <c r="A1788" t="s">
        <v>172</v>
      </c>
      <c r="B1788" t="s">
        <v>35</v>
      </c>
      <c r="C1788" s="3">
        <v>7.3682</v>
      </c>
      <c r="D1788">
        <v>1</v>
      </c>
      <c r="E1788">
        <v>1</v>
      </c>
      <c r="F1788">
        <v>1</v>
      </c>
    </row>
    <row r="1789" spans="1:6">
      <c r="A1789" t="s">
        <v>172</v>
      </c>
      <c r="B1789" t="s">
        <v>36</v>
      </c>
      <c r="C1789" s="3">
        <v>669.990426</v>
      </c>
      <c r="D1789">
        <v>1</v>
      </c>
      <c r="E1789">
        <v>1</v>
      </c>
      <c r="F1789">
        <v>1</v>
      </c>
    </row>
    <row r="1790" spans="1:6">
      <c r="A1790" t="s">
        <v>172</v>
      </c>
      <c r="B1790" t="s">
        <v>40</v>
      </c>
      <c r="C1790" s="3">
        <v>115.2</v>
      </c>
      <c r="D1790">
        <v>1</v>
      </c>
      <c r="E1790">
        <v>1</v>
      </c>
      <c r="F1790">
        <v>1</v>
      </c>
    </row>
    <row r="1791" spans="1:6">
      <c r="A1791" t="s">
        <v>172</v>
      </c>
      <c r="B1791" t="s">
        <v>41</v>
      </c>
      <c r="C1791" s="3">
        <v>105.4</v>
      </c>
      <c r="D1791">
        <v>1</v>
      </c>
      <c r="E1791">
        <v>1</v>
      </c>
      <c r="F1791">
        <v>1</v>
      </c>
    </row>
    <row r="1792" spans="1:6">
      <c r="A1792" t="s">
        <v>172</v>
      </c>
      <c r="B1792" t="s">
        <v>42</v>
      </c>
      <c r="C1792" s="3">
        <v>106.5</v>
      </c>
      <c r="D1792">
        <v>1</v>
      </c>
      <c r="E1792">
        <v>1</v>
      </c>
      <c r="F1792">
        <v>1</v>
      </c>
    </row>
    <row r="1793" spans="1:6">
      <c r="A1793" t="s">
        <v>172</v>
      </c>
      <c r="B1793" t="s">
        <v>46</v>
      </c>
      <c r="C1793" s="3">
        <v>108.1</v>
      </c>
      <c r="D1793">
        <v>1</v>
      </c>
      <c r="E1793">
        <v>1</v>
      </c>
      <c r="F1793">
        <v>1</v>
      </c>
    </row>
    <row r="1794" spans="1:6">
      <c r="A1794" t="s">
        <v>172</v>
      </c>
      <c r="B1794" t="s">
        <v>392</v>
      </c>
      <c r="C1794" s="3"/>
      <c r="D1794">
        <v>0</v>
      </c>
      <c r="E1794">
        <v>1</v>
      </c>
      <c r="F1794">
        <v>1</v>
      </c>
    </row>
    <row r="1795" spans="1:6">
      <c r="A1795" t="s">
        <v>172</v>
      </c>
      <c r="B1795" t="s">
        <v>393</v>
      </c>
      <c r="C1795" s="3"/>
      <c r="D1795">
        <v>0</v>
      </c>
      <c r="E1795">
        <v>1</v>
      </c>
      <c r="F1795">
        <v>1</v>
      </c>
    </row>
    <row r="1796" spans="1:6">
      <c r="A1796" t="s">
        <v>172</v>
      </c>
      <c r="B1796" t="s">
        <v>394</v>
      </c>
      <c r="C1796" s="3"/>
      <c r="D1796">
        <v>0</v>
      </c>
      <c r="E1796">
        <v>1</v>
      </c>
      <c r="F1796">
        <v>1</v>
      </c>
    </row>
    <row r="1797" spans="1:6">
      <c r="A1797" t="s">
        <v>172</v>
      </c>
      <c r="B1797" t="s">
        <v>39</v>
      </c>
      <c r="C1797" s="3">
        <v>-2.32855941572692</v>
      </c>
      <c r="D1797">
        <v>1</v>
      </c>
      <c r="E1797">
        <v>1</v>
      </c>
      <c r="F1797">
        <v>1</v>
      </c>
    </row>
    <row r="1798" spans="1:6">
      <c r="A1798" t="s">
        <v>172</v>
      </c>
      <c r="B1798" t="s">
        <v>43</v>
      </c>
      <c r="C1798" s="3">
        <v>5.3</v>
      </c>
      <c r="D1798">
        <v>1</v>
      </c>
      <c r="E1798">
        <v>1</v>
      </c>
      <c r="F1798">
        <v>1</v>
      </c>
    </row>
    <row r="1799" spans="1:6">
      <c r="A1799" t="s">
        <v>172</v>
      </c>
      <c r="B1799" t="s">
        <v>44</v>
      </c>
      <c r="C1799" s="3">
        <v>0.800000000000011</v>
      </c>
      <c r="D1799">
        <v>1</v>
      </c>
      <c r="E1799">
        <v>1</v>
      </c>
      <c r="F1799">
        <v>1</v>
      </c>
    </row>
    <row r="1800" spans="1:6">
      <c r="A1800" t="s">
        <v>172</v>
      </c>
      <c r="B1800" t="s">
        <v>45</v>
      </c>
      <c r="C1800" s="3">
        <v>-0.400000000000006</v>
      </c>
      <c r="D1800">
        <v>1</v>
      </c>
      <c r="E1800">
        <v>1</v>
      </c>
      <c r="F1800">
        <v>1</v>
      </c>
    </row>
    <row r="1801" spans="1:6">
      <c r="A1801" t="s">
        <v>172</v>
      </c>
      <c r="B1801" t="s">
        <v>396</v>
      </c>
      <c r="C1801" s="3"/>
      <c r="D1801">
        <v>0</v>
      </c>
      <c r="E1801">
        <v>1</v>
      </c>
      <c r="F1801">
        <v>1</v>
      </c>
    </row>
    <row r="1802" spans="1:6">
      <c r="A1802" t="s">
        <v>173</v>
      </c>
      <c r="B1802" t="s">
        <v>34</v>
      </c>
      <c r="C1802" s="3">
        <v>92.18</v>
      </c>
      <c r="D1802">
        <v>1</v>
      </c>
      <c r="E1802">
        <v>1</v>
      </c>
      <c r="F1802">
        <v>1</v>
      </c>
    </row>
    <row r="1803" spans="1:6">
      <c r="A1803" t="s">
        <v>173</v>
      </c>
      <c r="B1803" t="s">
        <v>35</v>
      </c>
      <c r="C1803" s="3">
        <v>7.2405</v>
      </c>
      <c r="D1803">
        <v>1</v>
      </c>
      <c r="E1803">
        <v>1</v>
      </c>
      <c r="F1803">
        <v>1</v>
      </c>
    </row>
    <row r="1804" spans="1:6">
      <c r="A1804" t="s">
        <v>173</v>
      </c>
      <c r="B1804" t="s">
        <v>36</v>
      </c>
      <c r="C1804" s="3">
        <v>667.42929</v>
      </c>
      <c r="D1804">
        <v>1</v>
      </c>
      <c r="E1804">
        <v>1</v>
      </c>
      <c r="F1804">
        <v>1</v>
      </c>
    </row>
    <row r="1805" spans="1:6">
      <c r="A1805" t="s">
        <v>173</v>
      </c>
      <c r="B1805" t="s">
        <v>40</v>
      </c>
      <c r="C1805" s="3">
        <v>115.7</v>
      </c>
      <c r="D1805">
        <v>1</v>
      </c>
      <c r="E1805">
        <v>1</v>
      </c>
      <c r="F1805">
        <v>1</v>
      </c>
    </row>
    <row r="1806" spans="1:6">
      <c r="A1806" t="s">
        <v>173</v>
      </c>
      <c r="B1806" t="s">
        <v>41</v>
      </c>
      <c r="C1806" s="3">
        <v>106.1</v>
      </c>
      <c r="D1806">
        <v>1</v>
      </c>
      <c r="E1806">
        <v>1</v>
      </c>
      <c r="F1806">
        <v>1</v>
      </c>
    </row>
    <row r="1807" spans="1:6">
      <c r="A1807" t="s">
        <v>173</v>
      </c>
      <c r="B1807" t="s">
        <v>42</v>
      </c>
      <c r="C1807" s="3">
        <v>107.1</v>
      </c>
      <c r="D1807">
        <v>1</v>
      </c>
      <c r="E1807">
        <v>1</v>
      </c>
      <c r="F1807">
        <v>1</v>
      </c>
    </row>
    <row r="1808" spans="1:6">
      <c r="A1808" t="s">
        <v>173</v>
      </c>
      <c r="B1808" t="s">
        <v>46</v>
      </c>
      <c r="C1808" s="3">
        <v>108.9</v>
      </c>
      <c r="D1808">
        <v>1</v>
      </c>
      <c r="E1808">
        <v>1</v>
      </c>
      <c r="F1808">
        <v>1</v>
      </c>
    </row>
    <row r="1809" spans="1:6">
      <c r="A1809" t="s">
        <v>173</v>
      </c>
      <c r="B1809" t="s">
        <v>392</v>
      </c>
      <c r="C1809" s="3"/>
      <c r="D1809">
        <v>0</v>
      </c>
      <c r="E1809">
        <v>1</v>
      </c>
      <c r="F1809">
        <v>1</v>
      </c>
    </row>
    <row r="1810" spans="1:6">
      <c r="A1810" t="s">
        <v>173</v>
      </c>
      <c r="B1810" t="s">
        <v>393</v>
      </c>
      <c r="C1810" s="3"/>
      <c r="D1810">
        <v>0</v>
      </c>
      <c r="E1810">
        <v>1</v>
      </c>
      <c r="F1810">
        <v>1</v>
      </c>
    </row>
    <row r="1811" spans="1:6">
      <c r="A1811" t="s">
        <v>173</v>
      </c>
      <c r="B1811" t="s">
        <v>394</v>
      </c>
      <c r="C1811" s="3"/>
      <c r="D1811">
        <v>0</v>
      </c>
      <c r="E1811">
        <v>1</v>
      </c>
      <c r="F1811">
        <v>1</v>
      </c>
    </row>
    <row r="1812" spans="1:6">
      <c r="A1812" t="s">
        <v>173</v>
      </c>
      <c r="B1812" t="s">
        <v>39</v>
      </c>
      <c r="C1812" s="3">
        <v>-0.382997065179396</v>
      </c>
      <c r="D1812">
        <v>1</v>
      </c>
      <c r="E1812">
        <v>1</v>
      </c>
      <c r="F1812">
        <v>1</v>
      </c>
    </row>
    <row r="1813" spans="1:6">
      <c r="A1813" t="s">
        <v>173</v>
      </c>
      <c r="B1813" t="s">
        <v>43</v>
      </c>
      <c r="C1813" s="3">
        <v>0.5</v>
      </c>
      <c r="D1813">
        <v>1</v>
      </c>
      <c r="E1813">
        <v>1</v>
      </c>
      <c r="F1813">
        <v>1</v>
      </c>
    </row>
    <row r="1814" spans="1:6">
      <c r="A1814" t="s">
        <v>173</v>
      </c>
      <c r="B1814" t="s">
        <v>44</v>
      </c>
      <c r="C1814" s="3">
        <v>0.699999999999989</v>
      </c>
      <c r="D1814">
        <v>1</v>
      </c>
      <c r="E1814">
        <v>1</v>
      </c>
      <c r="F1814">
        <v>1</v>
      </c>
    </row>
    <row r="1815" spans="1:6">
      <c r="A1815" t="s">
        <v>173</v>
      </c>
      <c r="B1815" t="s">
        <v>45</v>
      </c>
      <c r="C1815" s="3">
        <v>0.599999999999994</v>
      </c>
      <c r="D1815">
        <v>1</v>
      </c>
      <c r="E1815">
        <v>1</v>
      </c>
      <c r="F1815">
        <v>1</v>
      </c>
    </row>
    <row r="1816" spans="1:6">
      <c r="A1816" t="s">
        <v>173</v>
      </c>
      <c r="B1816" t="s">
        <v>396</v>
      </c>
      <c r="C1816" s="3"/>
      <c r="D1816">
        <v>0</v>
      </c>
      <c r="E1816">
        <v>1</v>
      </c>
      <c r="F1816">
        <v>1</v>
      </c>
    </row>
    <row r="1817" spans="1:6">
      <c r="A1817" t="s">
        <v>174</v>
      </c>
      <c r="B1817" t="s">
        <v>34</v>
      </c>
      <c r="C1817" s="3">
        <v>94.99</v>
      </c>
      <c r="D1817">
        <v>1</v>
      </c>
      <c r="E1817">
        <v>1</v>
      </c>
      <c r="F1817">
        <v>1</v>
      </c>
    </row>
    <row r="1818" spans="1:6">
      <c r="A1818" t="s">
        <v>174</v>
      </c>
      <c r="B1818" t="s">
        <v>35</v>
      </c>
      <c r="C1818" s="3">
        <v>7.1644</v>
      </c>
      <c r="D1818">
        <v>1</v>
      </c>
      <c r="E1818">
        <v>1</v>
      </c>
      <c r="F1818">
        <v>1</v>
      </c>
    </row>
    <row r="1819" spans="1:6">
      <c r="A1819" t="s">
        <v>174</v>
      </c>
      <c r="B1819" t="s">
        <v>36</v>
      </c>
      <c r="C1819" s="3">
        <v>680.546356</v>
      </c>
      <c r="D1819">
        <v>1</v>
      </c>
      <c r="E1819">
        <v>1</v>
      </c>
      <c r="F1819">
        <v>1</v>
      </c>
    </row>
    <row r="1820" spans="1:6">
      <c r="A1820" t="s">
        <v>174</v>
      </c>
      <c r="B1820" t="s">
        <v>40</v>
      </c>
      <c r="C1820" s="3">
        <v>117.7</v>
      </c>
      <c r="D1820">
        <v>1</v>
      </c>
      <c r="E1820">
        <v>1</v>
      </c>
      <c r="F1820">
        <v>1</v>
      </c>
    </row>
    <row r="1821" spans="1:6">
      <c r="A1821" t="s">
        <v>174</v>
      </c>
      <c r="B1821" t="s">
        <v>41</v>
      </c>
      <c r="C1821" s="3">
        <v>106.6</v>
      </c>
      <c r="D1821">
        <v>1</v>
      </c>
      <c r="E1821">
        <v>1</v>
      </c>
      <c r="F1821">
        <v>1</v>
      </c>
    </row>
    <row r="1822" spans="1:6">
      <c r="A1822" t="s">
        <v>174</v>
      </c>
      <c r="B1822" t="s">
        <v>42</v>
      </c>
      <c r="C1822" s="3">
        <v>108.7</v>
      </c>
      <c r="D1822">
        <v>1</v>
      </c>
      <c r="E1822">
        <v>1</v>
      </c>
      <c r="F1822">
        <v>1</v>
      </c>
    </row>
    <row r="1823" spans="1:6">
      <c r="A1823" t="s">
        <v>174</v>
      </c>
      <c r="B1823" t="s">
        <v>46</v>
      </c>
      <c r="C1823" s="3">
        <v>109.7</v>
      </c>
      <c r="D1823">
        <v>1</v>
      </c>
      <c r="E1823">
        <v>1</v>
      </c>
      <c r="F1823">
        <v>1</v>
      </c>
    </row>
    <row r="1824" spans="1:6">
      <c r="A1824" t="s">
        <v>174</v>
      </c>
      <c r="B1824" t="s">
        <v>392</v>
      </c>
      <c r="C1824" s="3"/>
      <c r="D1824">
        <v>0</v>
      </c>
      <c r="E1824">
        <v>1</v>
      </c>
      <c r="F1824">
        <v>1</v>
      </c>
    </row>
    <row r="1825" spans="1:6">
      <c r="A1825" t="s">
        <v>174</v>
      </c>
      <c r="B1825" t="s">
        <v>393</v>
      </c>
      <c r="C1825" s="3"/>
      <c r="D1825">
        <v>0</v>
      </c>
      <c r="E1825">
        <v>1</v>
      </c>
      <c r="F1825">
        <v>1</v>
      </c>
    </row>
    <row r="1826" spans="1:6">
      <c r="A1826" t="s">
        <v>174</v>
      </c>
      <c r="B1826" t="s">
        <v>394</v>
      </c>
      <c r="C1826" s="3"/>
      <c r="D1826">
        <v>0</v>
      </c>
      <c r="E1826">
        <v>1</v>
      </c>
      <c r="F1826">
        <v>1</v>
      </c>
    </row>
    <row r="1827" spans="1:6">
      <c r="A1827" t="s">
        <v>174</v>
      </c>
      <c r="B1827" t="s">
        <v>39</v>
      </c>
      <c r="C1827" s="3">
        <v>1.94624881921749</v>
      </c>
      <c r="D1827">
        <v>1</v>
      </c>
      <c r="E1827">
        <v>1</v>
      </c>
      <c r="F1827">
        <v>1</v>
      </c>
    </row>
    <row r="1828" spans="1:6">
      <c r="A1828" t="s">
        <v>174</v>
      </c>
      <c r="B1828" t="s">
        <v>43</v>
      </c>
      <c r="C1828" s="3">
        <v>2</v>
      </c>
      <c r="D1828">
        <v>1</v>
      </c>
      <c r="E1828">
        <v>1</v>
      </c>
      <c r="F1828">
        <v>1</v>
      </c>
    </row>
    <row r="1829" spans="1:6">
      <c r="A1829" t="s">
        <v>174</v>
      </c>
      <c r="B1829" t="s">
        <v>44</v>
      </c>
      <c r="C1829" s="3">
        <v>0.5</v>
      </c>
      <c r="D1829">
        <v>1</v>
      </c>
      <c r="E1829">
        <v>1</v>
      </c>
      <c r="F1829">
        <v>1</v>
      </c>
    </row>
    <row r="1830" spans="1:6">
      <c r="A1830" t="s">
        <v>174</v>
      </c>
      <c r="B1830" t="s">
        <v>45</v>
      </c>
      <c r="C1830" s="3">
        <v>1.60000000000001</v>
      </c>
      <c r="D1830">
        <v>1</v>
      </c>
      <c r="E1830">
        <v>1</v>
      </c>
      <c r="F1830">
        <v>1</v>
      </c>
    </row>
    <row r="1831" spans="1:6">
      <c r="A1831" t="s">
        <v>174</v>
      </c>
      <c r="B1831" t="s">
        <v>396</v>
      </c>
      <c r="C1831" s="3"/>
      <c r="D1831">
        <v>0</v>
      </c>
      <c r="E1831">
        <v>1</v>
      </c>
      <c r="F1831">
        <v>1</v>
      </c>
    </row>
    <row r="1832" spans="1:6">
      <c r="A1832" t="s">
        <v>175</v>
      </c>
      <c r="B1832" t="s">
        <v>34</v>
      </c>
      <c r="C1832" s="3">
        <v>103.64</v>
      </c>
      <c r="D1832">
        <v>1</v>
      </c>
      <c r="E1832">
        <v>1</v>
      </c>
      <c r="F1832">
        <v>1</v>
      </c>
    </row>
    <row r="1833" spans="1:6">
      <c r="A1833" t="s">
        <v>175</v>
      </c>
      <c r="B1833" t="s">
        <v>35</v>
      </c>
      <c r="C1833" s="3">
        <v>7.0722</v>
      </c>
      <c r="D1833">
        <v>1</v>
      </c>
      <c r="E1833">
        <v>1</v>
      </c>
      <c r="F1833">
        <v>1</v>
      </c>
    </row>
    <row r="1834" spans="1:6">
      <c r="A1834" t="s">
        <v>175</v>
      </c>
      <c r="B1834" t="s">
        <v>36</v>
      </c>
      <c r="C1834" s="3">
        <v>732.962808</v>
      </c>
      <c r="D1834">
        <v>1</v>
      </c>
      <c r="E1834">
        <v>1</v>
      </c>
      <c r="F1834">
        <v>1</v>
      </c>
    </row>
    <row r="1835" spans="1:6">
      <c r="A1835" t="s">
        <v>175</v>
      </c>
      <c r="B1835" t="s">
        <v>40</v>
      </c>
      <c r="C1835" s="3">
        <v>119</v>
      </c>
      <c r="D1835">
        <v>1</v>
      </c>
      <c r="E1835">
        <v>1</v>
      </c>
      <c r="F1835">
        <v>1</v>
      </c>
    </row>
    <row r="1836" spans="1:6">
      <c r="A1836" t="s">
        <v>175</v>
      </c>
      <c r="B1836" t="s">
        <v>41</v>
      </c>
      <c r="C1836" s="3">
        <v>108</v>
      </c>
      <c r="D1836">
        <v>1</v>
      </c>
      <c r="E1836">
        <v>1</v>
      </c>
      <c r="F1836">
        <v>1</v>
      </c>
    </row>
    <row r="1837" spans="1:6">
      <c r="A1837" t="s">
        <v>175</v>
      </c>
      <c r="B1837" t="s">
        <v>42</v>
      </c>
      <c r="C1837" s="3">
        <v>108.3</v>
      </c>
      <c r="D1837">
        <v>1</v>
      </c>
      <c r="E1837">
        <v>1</v>
      </c>
      <c r="F1837">
        <v>1</v>
      </c>
    </row>
    <row r="1838" spans="1:6">
      <c r="A1838" t="s">
        <v>175</v>
      </c>
      <c r="B1838" t="s">
        <v>46</v>
      </c>
      <c r="C1838" s="3">
        <v>111</v>
      </c>
      <c r="D1838">
        <v>1</v>
      </c>
      <c r="E1838">
        <v>1</v>
      </c>
      <c r="F1838">
        <v>1</v>
      </c>
    </row>
    <row r="1839" spans="1:6">
      <c r="A1839" t="s">
        <v>175</v>
      </c>
      <c r="B1839" t="s">
        <v>392</v>
      </c>
      <c r="C1839" s="3"/>
      <c r="D1839">
        <v>0</v>
      </c>
      <c r="E1839">
        <v>1</v>
      </c>
      <c r="F1839">
        <v>1</v>
      </c>
    </row>
    <row r="1840" spans="1:6">
      <c r="A1840" t="s">
        <v>175</v>
      </c>
      <c r="B1840" t="s">
        <v>393</v>
      </c>
      <c r="C1840" s="3"/>
      <c r="D1840">
        <v>0</v>
      </c>
      <c r="E1840">
        <v>1</v>
      </c>
      <c r="F1840">
        <v>1</v>
      </c>
    </row>
    <row r="1841" spans="1:6">
      <c r="A1841" t="s">
        <v>175</v>
      </c>
      <c r="B1841" t="s">
        <v>394</v>
      </c>
      <c r="C1841" s="3"/>
      <c r="D1841">
        <v>0</v>
      </c>
      <c r="E1841">
        <v>1</v>
      </c>
      <c r="F1841">
        <v>1</v>
      </c>
    </row>
    <row r="1842" spans="1:6">
      <c r="A1842" t="s">
        <v>175</v>
      </c>
      <c r="B1842" t="s">
        <v>39</v>
      </c>
      <c r="C1842" s="3">
        <v>7.41990209012935</v>
      </c>
      <c r="D1842">
        <v>1</v>
      </c>
      <c r="E1842">
        <v>1</v>
      </c>
      <c r="F1842">
        <v>1</v>
      </c>
    </row>
    <row r="1843" spans="1:6">
      <c r="A1843" t="s">
        <v>175</v>
      </c>
      <c r="B1843" t="s">
        <v>43</v>
      </c>
      <c r="C1843" s="3">
        <v>1.3</v>
      </c>
      <c r="D1843">
        <v>1</v>
      </c>
      <c r="E1843">
        <v>1</v>
      </c>
      <c r="F1843">
        <v>1</v>
      </c>
    </row>
    <row r="1844" spans="1:6">
      <c r="A1844" t="s">
        <v>175</v>
      </c>
      <c r="B1844" t="s">
        <v>44</v>
      </c>
      <c r="C1844" s="3">
        <v>1.40000000000001</v>
      </c>
      <c r="D1844">
        <v>1</v>
      </c>
      <c r="E1844">
        <v>1</v>
      </c>
      <c r="F1844">
        <v>1</v>
      </c>
    </row>
    <row r="1845" spans="1:6">
      <c r="A1845" t="s">
        <v>175</v>
      </c>
      <c r="B1845" t="s">
        <v>45</v>
      </c>
      <c r="C1845" s="3">
        <v>-0.400000000000006</v>
      </c>
      <c r="D1845">
        <v>1</v>
      </c>
      <c r="E1845">
        <v>1</v>
      </c>
      <c r="F1845">
        <v>1</v>
      </c>
    </row>
    <row r="1846" spans="1:6">
      <c r="A1846" t="s">
        <v>175</v>
      </c>
      <c r="B1846" t="s">
        <v>396</v>
      </c>
      <c r="C1846" s="3"/>
      <c r="D1846">
        <v>0</v>
      </c>
      <c r="E1846">
        <v>1</v>
      </c>
      <c r="F1846">
        <v>1</v>
      </c>
    </row>
    <row r="1847" spans="1:6">
      <c r="A1847" t="s">
        <v>176</v>
      </c>
      <c r="B1847" t="s">
        <v>34</v>
      </c>
      <c r="C1847" s="3">
        <v>109.07</v>
      </c>
      <c r="D1847">
        <v>1</v>
      </c>
      <c r="E1847">
        <v>1</v>
      </c>
      <c r="F1847">
        <v>1</v>
      </c>
    </row>
    <row r="1848" spans="1:6">
      <c r="A1848" t="s">
        <v>176</v>
      </c>
      <c r="B1848" t="s">
        <v>35</v>
      </c>
      <c r="C1848" s="3">
        <v>6.9997</v>
      </c>
      <c r="D1848">
        <v>1</v>
      </c>
      <c r="E1848">
        <v>1</v>
      </c>
      <c r="F1848">
        <v>1</v>
      </c>
    </row>
    <row r="1849" spans="1:6">
      <c r="A1849" t="s">
        <v>176</v>
      </c>
      <c r="B1849" t="s">
        <v>36</v>
      </c>
      <c r="C1849" s="3">
        <v>763.457279</v>
      </c>
      <c r="D1849">
        <v>1</v>
      </c>
      <c r="E1849">
        <v>1</v>
      </c>
      <c r="F1849">
        <v>1</v>
      </c>
    </row>
    <row r="1850" spans="1:6">
      <c r="A1850" t="s">
        <v>176</v>
      </c>
      <c r="B1850" t="s">
        <v>40</v>
      </c>
      <c r="C1850" s="3">
        <v>121.2</v>
      </c>
      <c r="D1850">
        <v>1</v>
      </c>
      <c r="E1850">
        <v>1</v>
      </c>
      <c r="F1850">
        <v>1</v>
      </c>
    </row>
    <row r="1851" spans="1:6">
      <c r="A1851" t="s">
        <v>176</v>
      </c>
      <c r="B1851" t="s">
        <v>41</v>
      </c>
      <c r="C1851" s="3">
        <v>108.1</v>
      </c>
      <c r="D1851">
        <v>1</v>
      </c>
      <c r="E1851">
        <v>1</v>
      </c>
      <c r="F1851">
        <v>1</v>
      </c>
    </row>
    <row r="1852" spans="1:6">
      <c r="A1852" t="s">
        <v>176</v>
      </c>
      <c r="B1852" t="s">
        <v>42</v>
      </c>
      <c r="C1852" s="3">
        <v>108.5</v>
      </c>
      <c r="D1852">
        <v>1</v>
      </c>
      <c r="E1852">
        <v>1</v>
      </c>
      <c r="F1852">
        <v>1</v>
      </c>
    </row>
    <row r="1853" spans="1:6">
      <c r="A1853" t="s">
        <v>176</v>
      </c>
      <c r="B1853" t="s">
        <v>46</v>
      </c>
      <c r="C1853" s="3">
        <v>111.8</v>
      </c>
      <c r="D1853">
        <v>1</v>
      </c>
      <c r="E1853">
        <v>1</v>
      </c>
      <c r="F1853">
        <v>1</v>
      </c>
    </row>
    <row r="1854" spans="1:6">
      <c r="A1854" t="s">
        <v>176</v>
      </c>
      <c r="B1854" t="s">
        <v>392</v>
      </c>
      <c r="C1854" s="3"/>
      <c r="D1854">
        <v>0</v>
      </c>
      <c r="E1854">
        <v>1</v>
      </c>
      <c r="F1854">
        <v>1</v>
      </c>
    </row>
    <row r="1855" spans="1:6">
      <c r="A1855" t="s">
        <v>176</v>
      </c>
      <c r="B1855" t="s">
        <v>393</v>
      </c>
      <c r="C1855" s="3"/>
      <c r="D1855">
        <v>0</v>
      </c>
      <c r="E1855">
        <v>1</v>
      </c>
      <c r="F1855">
        <v>1</v>
      </c>
    </row>
    <row r="1856" spans="1:6">
      <c r="A1856" t="s">
        <v>176</v>
      </c>
      <c r="B1856" t="s">
        <v>394</v>
      </c>
      <c r="C1856" s="3"/>
      <c r="D1856">
        <v>0</v>
      </c>
      <c r="E1856">
        <v>1</v>
      </c>
      <c r="F1856">
        <v>1</v>
      </c>
    </row>
    <row r="1857" spans="1:6">
      <c r="A1857" t="s">
        <v>176</v>
      </c>
      <c r="B1857" t="s">
        <v>39</v>
      </c>
      <c r="C1857" s="3">
        <v>4.07622077623631</v>
      </c>
      <c r="D1857">
        <v>1</v>
      </c>
      <c r="E1857">
        <v>1</v>
      </c>
      <c r="F1857">
        <v>1</v>
      </c>
    </row>
    <row r="1858" spans="1:6">
      <c r="A1858" t="s">
        <v>176</v>
      </c>
      <c r="B1858" t="s">
        <v>43</v>
      </c>
      <c r="C1858" s="3">
        <v>2.2</v>
      </c>
      <c r="D1858">
        <v>1</v>
      </c>
      <c r="E1858">
        <v>1</v>
      </c>
      <c r="F1858">
        <v>1</v>
      </c>
    </row>
    <row r="1859" spans="1:6">
      <c r="A1859" t="s">
        <v>176</v>
      </c>
      <c r="B1859" t="s">
        <v>44</v>
      </c>
      <c r="C1859" s="3">
        <v>0.0999999999999943</v>
      </c>
      <c r="D1859">
        <v>1</v>
      </c>
      <c r="E1859">
        <v>1</v>
      </c>
      <c r="F1859">
        <v>1</v>
      </c>
    </row>
    <row r="1860" spans="1:6">
      <c r="A1860" t="s">
        <v>176</v>
      </c>
      <c r="B1860" t="s">
        <v>45</v>
      </c>
      <c r="C1860" s="3">
        <v>0.200000000000003</v>
      </c>
      <c r="D1860">
        <v>1</v>
      </c>
      <c r="E1860">
        <v>1</v>
      </c>
      <c r="F1860">
        <v>1</v>
      </c>
    </row>
    <row r="1861" spans="1:6">
      <c r="A1861" t="s">
        <v>176</v>
      </c>
      <c r="B1861" t="s">
        <v>396</v>
      </c>
      <c r="C1861" s="3"/>
      <c r="D1861">
        <v>0</v>
      </c>
      <c r="E1861">
        <v>1</v>
      </c>
      <c r="F1861">
        <v>1</v>
      </c>
    </row>
    <row r="1862" spans="1:6">
      <c r="A1862" t="s">
        <v>177</v>
      </c>
      <c r="B1862" t="s">
        <v>34</v>
      </c>
      <c r="C1862" s="3">
        <v>122.8</v>
      </c>
      <c r="D1862">
        <v>1</v>
      </c>
      <c r="E1862">
        <v>1</v>
      </c>
      <c r="F1862">
        <v>1</v>
      </c>
    </row>
    <row r="1863" spans="1:6">
      <c r="A1863" t="s">
        <v>177</v>
      </c>
      <c r="B1863" t="s">
        <v>35</v>
      </c>
      <c r="C1863" s="3">
        <v>6.9725</v>
      </c>
      <c r="D1863">
        <v>1</v>
      </c>
      <c r="E1863">
        <v>1</v>
      </c>
      <c r="F1863">
        <v>1</v>
      </c>
    </row>
    <row r="1864" spans="1:6">
      <c r="A1864" t="s">
        <v>177</v>
      </c>
      <c r="B1864" t="s">
        <v>36</v>
      </c>
      <c r="C1864" s="3">
        <v>856.223</v>
      </c>
      <c r="D1864">
        <v>1</v>
      </c>
      <c r="E1864">
        <v>1</v>
      </c>
      <c r="F1864">
        <v>1</v>
      </c>
    </row>
    <row r="1865" spans="1:6">
      <c r="A1865" t="s">
        <v>177</v>
      </c>
      <c r="B1865" t="s">
        <v>40</v>
      </c>
      <c r="C1865" s="3">
        <v>121</v>
      </c>
      <c r="D1865">
        <v>1</v>
      </c>
      <c r="E1865">
        <v>1</v>
      </c>
      <c r="F1865">
        <v>1</v>
      </c>
    </row>
    <row r="1866" spans="1:6">
      <c r="A1866" t="s">
        <v>177</v>
      </c>
      <c r="B1866" t="s">
        <v>41</v>
      </c>
      <c r="C1866" s="3">
        <v>108.2</v>
      </c>
      <c r="D1866">
        <v>1</v>
      </c>
      <c r="E1866">
        <v>1</v>
      </c>
      <c r="F1866">
        <v>1</v>
      </c>
    </row>
    <row r="1867" spans="1:6">
      <c r="A1867" t="s">
        <v>177</v>
      </c>
      <c r="B1867" t="s">
        <v>42</v>
      </c>
      <c r="C1867" s="3">
        <v>107.7</v>
      </c>
      <c r="D1867">
        <v>1</v>
      </c>
      <c r="E1867">
        <v>1</v>
      </c>
      <c r="F1867">
        <v>1</v>
      </c>
    </row>
    <row r="1868" spans="1:6">
      <c r="A1868" t="s">
        <v>177</v>
      </c>
      <c r="B1868" t="s">
        <v>46</v>
      </c>
      <c r="C1868" s="3">
        <v>111.9</v>
      </c>
      <c r="D1868">
        <v>1</v>
      </c>
      <c r="E1868">
        <v>1</v>
      </c>
      <c r="F1868">
        <v>1</v>
      </c>
    </row>
    <row r="1869" spans="1:6">
      <c r="A1869" t="s">
        <v>177</v>
      </c>
      <c r="B1869" t="s">
        <v>392</v>
      </c>
      <c r="C1869" s="3"/>
      <c r="D1869">
        <v>0</v>
      </c>
      <c r="E1869">
        <v>1</v>
      </c>
      <c r="F1869">
        <v>1</v>
      </c>
    </row>
    <row r="1870" spans="1:6">
      <c r="A1870" t="s">
        <v>177</v>
      </c>
      <c r="B1870" t="s">
        <v>393</v>
      </c>
      <c r="C1870" s="3"/>
      <c r="D1870">
        <v>0</v>
      </c>
      <c r="E1870">
        <v>1</v>
      </c>
      <c r="F1870">
        <v>1</v>
      </c>
    </row>
    <row r="1871" spans="1:6">
      <c r="A1871" t="s">
        <v>177</v>
      </c>
      <c r="B1871" t="s">
        <v>394</v>
      </c>
      <c r="C1871" s="3"/>
      <c r="D1871">
        <v>0</v>
      </c>
      <c r="E1871">
        <v>1</v>
      </c>
      <c r="F1871">
        <v>1</v>
      </c>
    </row>
    <row r="1872" spans="1:6">
      <c r="A1872" t="s">
        <v>177</v>
      </c>
      <c r="B1872" t="s">
        <v>39</v>
      </c>
      <c r="C1872" s="3">
        <v>11.4673687297835</v>
      </c>
      <c r="D1872">
        <v>1</v>
      </c>
      <c r="E1872">
        <v>1</v>
      </c>
      <c r="F1872">
        <v>1</v>
      </c>
    </row>
    <row r="1873" spans="1:6">
      <c r="A1873" t="s">
        <v>177</v>
      </c>
      <c r="B1873" t="s">
        <v>43</v>
      </c>
      <c r="C1873" s="3">
        <v>-0.200000000000003</v>
      </c>
      <c r="D1873">
        <v>1</v>
      </c>
      <c r="E1873">
        <v>1</v>
      </c>
      <c r="F1873">
        <v>1</v>
      </c>
    </row>
    <row r="1874" spans="1:6">
      <c r="A1874" t="s">
        <v>177</v>
      </c>
      <c r="B1874" t="s">
        <v>44</v>
      </c>
      <c r="C1874" s="3">
        <v>0.100000000000009</v>
      </c>
      <c r="D1874">
        <v>1</v>
      </c>
      <c r="E1874">
        <v>1</v>
      </c>
      <c r="F1874">
        <v>1</v>
      </c>
    </row>
    <row r="1875" spans="1:6">
      <c r="A1875" t="s">
        <v>177</v>
      </c>
      <c r="B1875" t="s">
        <v>45</v>
      </c>
      <c r="C1875" s="3">
        <v>-0.799999999999997</v>
      </c>
      <c r="D1875">
        <v>1</v>
      </c>
      <c r="E1875">
        <v>1</v>
      </c>
      <c r="F1875">
        <v>1</v>
      </c>
    </row>
    <row r="1876" spans="1:6">
      <c r="A1876" t="s">
        <v>177</v>
      </c>
      <c r="B1876" t="s">
        <v>396</v>
      </c>
      <c r="C1876" s="3"/>
      <c r="D1876">
        <v>0</v>
      </c>
      <c r="E1876">
        <v>1</v>
      </c>
      <c r="F1876">
        <v>1</v>
      </c>
    </row>
    <row r="1877" spans="1:6">
      <c r="A1877" t="s">
        <v>178</v>
      </c>
      <c r="B1877" t="s">
        <v>34</v>
      </c>
      <c r="C1877" s="3">
        <v>132.32</v>
      </c>
      <c r="D1877">
        <v>1</v>
      </c>
      <c r="E1877">
        <v>1</v>
      </c>
      <c r="F1877">
        <v>1</v>
      </c>
    </row>
    <row r="1878" spans="1:6">
      <c r="A1878" t="s">
        <v>178</v>
      </c>
      <c r="B1878" t="s">
        <v>35</v>
      </c>
      <c r="C1878" s="3">
        <v>6.8993</v>
      </c>
      <c r="D1878">
        <v>1</v>
      </c>
      <c r="E1878">
        <v>1</v>
      </c>
      <c r="F1878">
        <v>1</v>
      </c>
    </row>
    <row r="1879" spans="1:6">
      <c r="A1879" t="s">
        <v>178</v>
      </c>
      <c r="B1879" t="s">
        <v>36</v>
      </c>
      <c r="C1879" s="3">
        <v>912.915376</v>
      </c>
      <c r="D1879">
        <v>1</v>
      </c>
      <c r="E1879">
        <v>1</v>
      </c>
      <c r="F1879">
        <v>1</v>
      </c>
    </row>
    <row r="1880" spans="1:6">
      <c r="A1880" t="s">
        <v>178</v>
      </c>
      <c r="B1880" t="s">
        <v>40</v>
      </c>
      <c r="C1880" s="3">
        <v>124.9</v>
      </c>
      <c r="D1880">
        <v>1</v>
      </c>
      <c r="E1880">
        <v>1</v>
      </c>
      <c r="F1880">
        <v>1</v>
      </c>
    </row>
    <row r="1881" spans="1:6">
      <c r="A1881" t="s">
        <v>178</v>
      </c>
      <c r="B1881" t="s">
        <v>41</v>
      </c>
      <c r="C1881" s="3">
        <v>108.8</v>
      </c>
      <c r="D1881">
        <v>1</v>
      </c>
      <c r="E1881">
        <v>1</v>
      </c>
      <c r="F1881">
        <v>1</v>
      </c>
    </row>
    <row r="1882" spans="1:6">
      <c r="A1882" t="s">
        <v>178</v>
      </c>
      <c r="B1882" t="s">
        <v>42</v>
      </c>
      <c r="C1882" s="3">
        <v>107.1</v>
      </c>
      <c r="D1882">
        <v>1</v>
      </c>
      <c r="E1882">
        <v>1</v>
      </c>
      <c r="F1882">
        <v>1</v>
      </c>
    </row>
    <row r="1883" spans="1:6">
      <c r="A1883" t="s">
        <v>178</v>
      </c>
      <c r="B1883" t="s">
        <v>46</v>
      </c>
      <c r="C1883" s="3">
        <v>113.5</v>
      </c>
      <c r="D1883">
        <v>1</v>
      </c>
      <c r="E1883">
        <v>1</v>
      </c>
      <c r="F1883">
        <v>1</v>
      </c>
    </row>
    <row r="1884" spans="1:6">
      <c r="A1884" t="s">
        <v>178</v>
      </c>
      <c r="B1884" t="s">
        <v>392</v>
      </c>
      <c r="C1884" s="3"/>
      <c r="D1884">
        <v>0</v>
      </c>
      <c r="E1884">
        <v>1</v>
      </c>
      <c r="F1884">
        <v>1</v>
      </c>
    </row>
    <row r="1885" spans="1:6">
      <c r="A1885" t="s">
        <v>178</v>
      </c>
      <c r="B1885" t="s">
        <v>393</v>
      </c>
      <c r="C1885" s="3"/>
      <c r="D1885">
        <v>0</v>
      </c>
      <c r="E1885">
        <v>1</v>
      </c>
      <c r="F1885">
        <v>1</v>
      </c>
    </row>
    <row r="1886" spans="1:6">
      <c r="A1886" t="s">
        <v>178</v>
      </c>
      <c r="B1886" t="s">
        <v>394</v>
      </c>
      <c r="C1886" s="3"/>
      <c r="D1886">
        <v>0</v>
      </c>
      <c r="E1886">
        <v>1</v>
      </c>
      <c r="F1886">
        <v>1</v>
      </c>
    </row>
    <row r="1887" spans="1:6">
      <c r="A1887" t="s">
        <v>178</v>
      </c>
      <c r="B1887" t="s">
        <v>39</v>
      </c>
      <c r="C1887" s="3">
        <v>6.41123322243578</v>
      </c>
      <c r="D1887">
        <v>1</v>
      </c>
      <c r="E1887">
        <v>1</v>
      </c>
      <c r="F1887">
        <v>1</v>
      </c>
    </row>
    <row r="1888" spans="1:6">
      <c r="A1888" t="s">
        <v>178</v>
      </c>
      <c r="B1888" t="s">
        <v>43</v>
      </c>
      <c r="C1888" s="3">
        <v>3.90000000000001</v>
      </c>
      <c r="D1888">
        <v>1</v>
      </c>
      <c r="E1888">
        <v>1</v>
      </c>
      <c r="F1888">
        <v>1</v>
      </c>
    </row>
    <row r="1889" spans="1:6">
      <c r="A1889" t="s">
        <v>178</v>
      </c>
      <c r="B1889" t="s">
        <v>44</v>
      </c>
      <c r="C1889" s="3">
        <v>0.599999999999994</v>
      </c>
      <c r="D1889">
        <v>1</v>
      </c>
      <c r="E1889">
        <v>1</v>
      </c>
      <c r="F1889">
        <v>1</v>
      </c>
    </row>
    <row r="1890" spans="1:6">
      <c r="A1890" t="s">
        <v>178</v>
      </c>
      <c r="B1890" t="s">
        <v>45</v>
      </c>
      <c r="C1890" s="3">
        <v>-0.600000000000009</v>
      </c>
      <c r="D1890">
        <v>1</v>
      </c>
      <c r="E1890">
        <v>1</v>
      </c>
      <c r="F1890">
        <v>1</v>
      </c>
    </row>
    <row r="1891" spans="1:6">
      <c r="A1891" t="s">
        <v>178</v>
      </c>
      <c r="B1891" t="s">
        <v>396</v>
      </c>
      <c r="C1891" s="3"/>
      <c r="D1891">
        <v>0</v>
      </c>
      <c r="E1891">
        <v>1</v>
      </c>
      <c r="F1891">
        <v>1</v>
      </c>
    </row>
    <row r="1892" spans="1:6">
      <c r="A1892" t="s">
        <v>179</v>
      </c>
      <c r="B1892" t="s">
        <v>34</v>
      </c>
      <c r="C1892" s="3">
        <v>132.72</v>
      </c>
      <c r="D1892">
        <v>1</v>
      </c>
      <c r="E1892">
        <v>1</v>
      </c>
      <c r="F1892">
        <v>1</v>
      </c>
    </row>
    <row r="1893" spans="1:6">
      <c r="A1893" t="s">
        <v>179</v>
      </c>
      <c r="B1893" t="s">
        <v>35</v>
      </c>
      <c r="C1893" s="3">
        <v>6.8355</v>
      </c>
      <c r="D1893">
        <v>1</v>
      </c>
      <c r="E1893">
        <v>1</v>
      </c>
      <c r="F1893">
        <v>1</v>
      </c>
    </row>
    <row r="1894" spans="1:6">
      <c r="A1894" t="s">
        <v>179</v>
      </c>
      <c r="B1894" t="s">
        <v>36</v>
      </c>
      <c r="C1894" s="3">
        <v>907.20756</v>
      </c>
      <c r="D1894">
        <v>1</v>
      </c>
      <c r="E1894">
        <v>1</v>
      </c>
      <c r="F1894">
        <v>1</v>
      </c>
    </row>
    <row r="1895" spans="1:6">
      <c r="A1895" t="s">
        <v>179</v>
      </c>
      <c r="B1895" t="s">
        <v>40</v>
      </c>
      <c r="C1895" s="3">
        <v>130.1</v>
      </c>
      <c r="D1895">
        <v>1</v>
      </c>
      <c r="E1895">
        <v>1</v>
      </c>
      <c r="F1895">
        <v>1</v>
      </c>
    </row>
    <row r="1896" spans="1:6">
      <c r="A1896" t="s">
        <v>179</v>
      </c>
      <c r="B1896" t="s">
        <v>41</v>
      </c>
      <c r="C1896" s="3">
        <v>110</v>
      </c>
      <c r="D1896">
        <v>1</v>
      </c>
      <c r="E1896">
        <v>1</v>
      </c>
      <c r="F1896">
        <v>1</v>
      </c>
    </row>
    <row r="1897" spans="1:6">
      <c r="A1897" t="s">
        <v>179</v>
      </c>
      <c r="B1897" t="s">
        <v>42</v>
      </c>
      <c r="C1897" s="3">
        <v>106.3</v>
      </c>
      <c r="D1897">
        <v>1</v>
      </c>
      <c r="E1897">
        <v>1</v>
      </c>
      <c r="F1897">
        <v>1</v>
      </c>
    </row>
    <row r="1898" spans="1:6">
      <c r="A1898" t="s">
        <v>179</v>
      </c>
      <c r="B1898" t="s">
        <v>46</v>
      </c>
      <c r="C1898" s="3">
        <v>115.4</v>
      </c>
      <c r="D1898">
        <v>1</v>
      </c>
      <c r="E1898">
        <v>1</v>
      </c>
      <c r="F1898">
        <v>1</v>
      </c>
    </row>
    <row r="1899" spans="1:6">
      <c r="A1899" t="s">
        <v>179</v>
      </c>
      <c r="B1899" t="s">
        <v>392</v>
      </c>
      <c r="C1899" s="3"/>
      <c r="D1899">
        <v>0</v>
      </c>
      <c r="E1899">
        <v>1</v>
      </c>
      <c r="F1899">
        <v>1</v>
      </c>
    </row>
    <row r="1900" spans="1:6">
      <c r="A1900" t="s">
        <v>179</v>
      </c>
      <c r="B1900" t="s">
        <v>393</v>
      </c>
      <c r="C1900" s="3"/>
      <c r="D1900">
        <v>0</v>
      </c>
      <c r="E1900">
        <v>1</v>
      </c>
      <c r="F1900">
        <v>1</v>
      </c>
    </row>
    <row r="1901" spans="1:6">
      <c r="A1901" t="s">
        <v>179</v>
      </c>
      <c r="B1901" t="s">
        <v>394</v>
      </c>
      <c r="C1901" s="3"/>
      <c r="D1901">
        <v>0</v>
      </c>
      <c r="E1901">
        <v>1</v>
      </c>
      <c r="F1901">
        <v>1</v>
      </c>
    </row>
    <row r="1902" spans="1:6">
      <c r="A1902" t="s">
        <v>179</v>
      </c>
      <c r="B1902" t="s">
        <v>39</v>
      </c>
      <c r="C1902" s="3">
        <v>-0.627192218480795</v>
      </c>
      <c r="D1902">
        <v>1</v>
      </c>
      <c r="E1902">
        <v>1</v>
      </c>
      <c r="F1902">
        <v>1</v>
      </c>
    </row>
    <row r="1903" spans="1:6">
      <c r="A1903" t="s">
        <v>179</v>
      </c>
      <c r="B1903" t="s">
        <v>43</v>
      </c>
      <c r="C1903" s="3">
        <v>5.19999999999999</v>
      </c>
      <c r="D1903">
        <v>1</v>
      </c>
      <c r="E1903">
        <v>1</v>
      </c>
      <c r="F1903">
        <v>1</v>
      </c>
    </row>
    <row r="1904" spans="1:6">
      <c r="A1904" t="s">
        <v>179</v>
      </c>
      <c r="B1904" t="s">
        <v>44</v>
      </c>
      <c r="C1904" s="3">
        <v>1.2</v>
      </c>
      <c r="D1904">
        <v>1</v>
      </c>
      <c r="E1904">
        <v>1</v>
      </c>
      <c r="F1904">
        <v>1</v>
      </c>
    </row>
    <row r="1905" spans="1:6">
      <c r="A1905" t="s">
        <v>179</v>
      </c>
      <c r="B1905" t="s">
        <v>45</v>
      </c>
      <c r="C1905" s="3">
        <v>-0.799999999999997</v>
      </c>
      <c r="D1905">
        <v>1</v>
      </c>
      <c r="E1905">
        <v>1</v>
      </c>
      <c r="F1905">
        <v>1</v>
      </c>
    </row>
    <row r="1906" spans="1:6">
      <c r="A1906" t="s">
        <v>179</v>
      </c>
      <c r="B1906" t="s">
        <v>396</v>
      </c>
      <c r="C1906" s="3"/>
      <c r="D1906">
        <v>0</v>
      </c>
      <c r="E1906">
        <v>1</v>
      </c>
      <c r="F1906">
        <v>1</v>
      </c>
    </row>
    <row r="1907" spans="1:6">
      <c r="A1907" t="s">
        <v>180</v>
      </c>
      <c r="B1907" t="s">
        <v>34</v>
      </c>
      <c r="C1907" s="3">
        <v>113.24</v>
      </c>
      <c r="D1907">
        <v>1</v>
      </c>
      <c r="E1907">
        <v>1</v>
      </c>
      <c r="F1907">
        <v>1</v>
      </c>
    </row>
    <row r="1908" spans="1:6">
      <c r="A1908" t="s">
        <v>180</v>
      </c>
      <c r="B1908" t="s">
        <v>35</v>
      </c>
      <c r="C1908" s="3">
        <v>6.8462</v>
      </c>
      <c r="D1908">
        <v>1</v>
      </c>
      <c r="E1908">
        <v>1</v>
      </c>
      <c r="F1908">
        <v>1</v>
      </c>
    </row>
    <row r="1909" spans="1:6">
      <c r="A1909" t="s">
        <v>180</v>
      </c>
      <c r="B1909" t="s">
        <v>36</v>
      </c>
      <c r="C1909" s="3">
        <v>775.263688</v>
      </c>
      <c r="D1909">
        <v>1</v>
      </c>
      <c r="E1909">
        <v>1</v>
      </c>
      <c r="F1909">
        <v>1</v>
      </c>
    </row>
    <row r="1910" spans="1:6">
      <c r="A1910" t="s">
        <v>180</v>
      </c>
      <c r="B1910" t="s">
        <v>40</v>
      </c>
      <c r="C1910" s="3">
        <v>130.9</v>
      </c>
      <c r="D1910">
        <v>1</v>
      </c>
      <c r="E1910">
        <v>1</v>
      </c>
      <c r="F1910">
        <v>1</v>
      </c>
    </row>
    <row r="1911" spans="1:6">
      <c r="A1911" t="s">
        <v>180</v>
      </c>
      <c r="B1911" t="s">
        <v>41</v>
      </c>
      <c r="C1911" s="3">
        <v>110.1</v>
      </c>
      <c r="D1911">
        <v>1</v>
      </c>
      <c r="E1911">
        <v>1</v>
      </c>
      <c r="F1911">
        <v>1</v>
      </c>
    </row>
    <row r="1912" spans="1:6">
      <c r="A1912" t="s">
        <v>180</v>
      </c>
      <c r="B1912" t="s">
        <v>42</v>
      </c>
      <c r="C1912" s="3">
        <v>104.9</v>
      </c>
      <c r="D1912">
        <v>1</v>
      </c>
      <c r="E1912">
        <v>1</v>
      </c>
      <c r="F1912">
        <v>1</v>
      </c>
    </row>
    <row r="1913" spans="1:6">
      <c r="A1913" t="s">
        <v>180</v>
      </c>
      <c r="B1913" t="s">
        <v>46</v>
      </c>
      <c r="C1913" s="3">
        <v>115.3</v>
      </c>
      <c r="D1913">
        <v>1</v>
      </c>
      <c r="E1913">
        <v>1</v>
      </c>
      <c r="F1913">
        <v>1</v>
      </c>
    </row>
    <row r="1914" spans="1:6">
      <c r="A1914" t="s">
        <v>180</v>
      </c>
      <c r="B1914" t="s">
        <v>392</v>
      </c>
      <c r="C1914" s="3"/>
      <c r="D1914">
        <v>0</v>
      </c>
      <c r="E1914">
        <v>1</v>
      </c>
      <c r="F1914">
        <v>1</v>
      </c>
    </row>
    <row r="1915" spans="1:6">
      <c r="A1915" t="s">
        <v>180</v>
      </c>
      <c r="B1915" t="s">
        <v>393</v>
      </c>
      <c r="C1915" s="3"/>
      <c r="D1915">
        <v>0</v>
      </c>
      <c r="E1915">
        <v>1</v>
      </c>
      <c r="F1915">
        <v>1</v>
      </c>
    </row>
    <row r="1916" spans="1:6">
      <c r="A1916" t="s">
        <v>180</v>
      </c>
      <c r="B1916" t="s">
        <v>394</v>
      </c>
      <c r="C1916" s="3"/>
      <c r="D1916">
        <v>0</v>
      </c>
      <c r="E1916">
        <v>1</v>
      </c>
      <c r="F1916">
        <v>1</v>
      </c>
    </row>
    <row r="1917" spans="1:6">
      <c r="A1917" t="s">
        <v>180</v>
      </c>
      <c r="B1917" t="s">
        <v>39</v>
      </c>
      <c r="C1917" s="3">
        <v>-15.7168052207488</v>
      </c>
      <c r="D1917">
        <v>1</v>
      </c>
      <c r="E1917">
        <v>1</v>
      </c>
      <c r="F1917">
        <v>1</v>
      </c>
    </row>
    <row r="1918" spans="1:6">
      <c r="A1918" t="s">
        <v>180</v>
      </c>
      <c r="B1918" t="s">
        <v>43</v>
      </c>
      <c r="C1918" s="3">
        <v>0.800000000000011</v>
      </c>
      <c r="D1918">
        <v>1</v>
      </c>
      <c r="E1918">
        <v>1</v>
      </c>
      <c r="F1918">
        <v>1</v>
      </c>
    </row>
    <row r="1919" spans="1:6">
      <c r="A1919" t="s">
        <v>180</v>
      </c>
      <c r="B1919" t="s">
        <v>44</v>
      </c>
      <c r="C1919" s="3">
        <v>0.0999999999999943</v>
      </c>
      <c r="D1919">
        <v>1</v>
      </c>
      <c r="E1919">
        <v>1</v>
      </c>
      <c r="F1919">
        <v>1</v>
      </c>
    </row>
    <row r="1920" spans="1:6">
      <c r="A1920" t="s">
        <v>180</v>
      </c>
      <c r="B1920" t="s">
        <v>45</v>
      </c>
      <c r="C1920" s="3">
        <v>-1.39999999999999</v>
      </c>
      <c r="D1920">
        <v>1</v>
      </c>
      <c r="E1920">
        <v>1</v>
      </c>
      <c r="F1920">
        <v>1</v>
      </c>
    </row>
    <row r="1921" spans="1:6">
      <c r="A1921" t="s">
        <v>180</v>
      </c>
      <c r="B1921" t="s">
        <v>396</v>
      </c>
      <c r="C1921" s="3"/>
      <c r="D1921">
        <v>0</v>
      </c>
      <c r="E1921">
        <v>1</v>
      </c>
      <c r="F1921">
        <v>1</v>
      </c>
    </row>
    <row r="1922" spans="1:6">
      <c r="A1922" t="s">
        <v>181</v>
      </c>
      <c r="B1922" t="s">
        <v>34</v>
      </c>
      <c r="C1922" s="3">
        <v>97.23</v>
      </c>
      <c r="D1922">
        <v>1</v>
      </c>
      <c r="E1922">
        <v>1</v>
      </c>
      <c r="F1922">
        <v>1</v>
      </c>
    </row>
    <row r="1923" spans="1:6">
      <c r="A1923" t="s">
        <v>181</v>
      </c>
      <c r="B1923" t="s">
        <v>35</v>
      </c>
      <c r="C1923" s="3">
        <v>6.8307</v>
      </c>
      <c r="D1923">
        <v>1</v>
      </c>
      <c r="E1923">
        <v>1</v>
      </c>
      <c r="F1923">
        <v>1</v>
      </c>
    </row>
    <row r="1924" spans="1:6">
      <c r="A1924" t="s">
        <v>181</v>
      </c>
      <c r="B1924" t="s">
        <v>36</v>
      </c>
      <c r="C1924" s="3">
        <v>664.148961</v>
      </c>
      <c r="D1924">
        <v>1</v>
      </c>
      <c r="E1924">
        <v>1</v>
      </c>
      <c r="F1924">
        <v>1</v>
      </c>
    </row>
    <row r="1925" spans="1:6">
      <c r="A1925" t="s">
        <v>181</v>
      </c>
      <c r="B1925" t="s">
        <v>40</v>
      </c>
      <c r="C1925" s="3">
        <v>129</v>
      </c>
      <c r="D1925">
        <v>1</v>
      </c>
      <c r="E1925">
        <v>1</v>
      </c>
      <c r="F1925">
        <v>1</v>
      </c>
    </row>
    <row r="1926" spans="1:6">
      <c r="A1926" t="s">
        <v>181</v>
      </c>
      <c r="B1926" t="s">
        <v>41</v>
      </c>
      <c r="C1926" s="3">
        <v>109.1</v>
      </c>
      <c r="D1926">
        <v>1</v>
      </c>
      <c r="E1926">
        <v>1</v>
      </c>
      <c r="F1926">
        <v>1</v>
      </c>
    </row>
    <row r="1927" spans="1:6">
      <c r="A1927" t="s">
        <v>181</v>
      </c>
      <c r="B1927" t="s">
        <v>42</v>
      </c>
      <c r="C1927" s="3">
        <v>104.6</v>
      </c>
      <c r="D1927">
        <v>1</v>
      </c>
      <c r="E1927">
        <v>1</v>
      </c>
      <c r="F1927">
        <v>1</v>
      </c>
    </row>
    <row r="1928" spans="1:6">
      <c r="A1928" t="s">
        <v>181</v>
      </c>
      <c r="B1928" t="s">
        <v>46</v>
      </c>
      <c r="C1928" s="3">
        <v>114</v>
      </c>
      <c r="D1928">
        <v>1</v>
      </c>
      <c r="E1928">
        <v>1</v>
      </c>
      <c r="F1928">
        <v>1</v>
      </c>
    </row>
    <row r="1929" spans="1:6">
      <c r="A1929" t="s">
        <v>181</v>
      </c>
      <c r="B1929" t="s">
        <v>392</v>
      </c>
      <c r="C1929" s="3"/>
      <c r="D1929">
        <v>0</v>
      </c>
      <c r="E1929">
        <v>1</v>
      </c>
      <c r="F1929">
        <v>1</v>
      </c>
    </row>
    <row r="1930" spans="1:6">
      <c r="A1930" t="s">
        <v>181</v>
      </c>
      <c r="B1930" t="s">
        <v>393</v>
      </c>
      <c r="C1930" s="3"/>
      <c r="D1930">
        <v>0</v>
      </c>
      <c r="E1930">
        <v>1</v>
      </c>
      <c r="F1930">
        <v>1</v>
      </c>
    </row>
    <row r="1931" spans="1:6">
      <c r="A1931" t="s">
        <v>181</v>
      </c>
      <c r="B1931" t="s">
        <v>394</v>
      </c>
      <c r="C1931" s="3"/>
      <c r="D1931">
        <v>0</v>
      </c>
      <c r="E1931">
        <v>1</v>
      </c>
      <c r="F1931">
        <v>1</v>
      </c>
    </row>
    <row r="1932" spans="1:6">
      <c r="A1932" t="s">
        <v>181</v>
      </c>
      <c r="B1932" t="s">
        <v>39</v>
      </c>
      <c r="C1932" s="3">
        <v>-15.4696750892954</v>
      </c>
      <c r="D1932">
        <v>1</v>
      </c>
      <c r="E1932">
        <v>1</v>
      </c>
      <c r="F1932">
        <v>1</v>
      </c>
    </row>
    <row r="1933" spans="1:6">
      <c r="A1933" t="s">
        <v>181</v>
      </c>
      <c r="B1933" t="s">
        <v>43</v>
      </c>
      <c r="C1933" s="3">
        <v>-1.90000000000001</v>
      </c>
      <c r="D1933">
        <v>1</v>
      </c>
      <c r="E1933">
        <v>1</v>
      </c>
      <c r="F1933">
        <v>1</v>
      </c>
    </row>
    <row r="1934" spans="1:6">
      <c r="A1934" t="s">
        <v>181</v>
      </c>
      <c r="B1934" t="s">
        <v>44</v>
      </c>
      <c r="C1934" s="3">
        <v>-1</v>
      </c>
      <c r="D1934">
        <v>1</v>
      </c>
      <c r="E1934">
        <v>1</v>
      </c>
      <c r="F1934">
        <v>1</v>
      </c>
    </row>
    <row r="1935" spans="1:6">
      <c r="A1935" t="s">
        <v>181</v>
      </c>
      <c r="B1935" t="s">
        <v>45</v>
      </c>
      <c r="C1935" s="3">
        <v>-0.300000000000011</v>
      </c>
      <c r="D1935">
        <v>1</v>
      </c>
      <c r="E1935">
        <v>1</v>
      </c>
      <c r="F1935">
        <v>1</v>
      </c>
    </row>
    <row r="1936" spans="1:6">
      <c r="A1936" t="s">
        <v>181</v>
      </c>
      <c r="B1936" t="s">
        <v>396</v>
      </c>
      <c r="C1936" s="3"/>
      <c r="D1936">
        <v>0</v>
      </c>
      <c r="E1936">
        <v>1</v>
      </c>
      <c r="F1936">
        <v>1</v>
      </c>
    </row>
    <row r="1937" spans="1:6">
      <c r="A1937" t="s">
        <v>182</v>
      </c>
      <c r="B1937" t="s">
        <v>34</v>
      </c>
      <c r="C1937" s="3">
        <v>71.58</v>
      </c>
      <c r="D1937">
        <v>1</v>
      </c>
      <c r="E1937">
        <v>1</v>
      </c>
      <c r="F1937">
        <v>1</v>
      </c>
    </row>
    <row r="1938" spans="1:6">
      <c r="A1938" t="s">
        <v>182</v>
      </c>
      <c r="B1938" t="s">
        <v>35</v>
      </c>
      <c r="C1938" s="3">
        <v>6.8358</v>
      </c>
      <c r="D1938">
        <v>1</v>
      </c>
      <c r="E1938">
        <v>1</v>
      </c>
      <c r="F1938">
        <v>1</v>
      </c>
    </row>
    <row r="1939" spans="1:6">
      <c r="A1939" t="s">
        <v>182</v>
      </c>
      <c r="B1939" t="s">
        <v>36</v>
      </c>
      <c r="C1939" s="3">
        <v>489.306564</v>
      </c>
      <c r="D1939">
        <v>1</v>
      </c>
      <c r="E1939">
        <v>1</v>
      </c>
      <c r="F1939">
        <v>1</v>
      </c>
    </row>
    <row r="1940" spans="1:6">
      <c r="A1940" t="s">
        <v>182</v>
      </c>
      <c r="B1940" t="s">
        <v>40</v>
      </c>
      <c r="C1940" s="3">
        <v>124.6</v>
      </c>
      <c r="D1940">
        <v>1</v>
      </c>
      <c r="E1940">
        <v>1</v>
      </c>
      <c r="F1940">
        <v>1</v>
      </c>
    </row>
    <row r="1941" spans="1:6">
      <c r="A1941" t="s">
        <v>182</v>
      </c>
      <c r="B1941" t="s">
        <v>41</v>
      </c>
      <c r="C1941" s="3">
        <v>106.6</v>
      </c>
      <c r="D1941">
        <v>1</v>
      </c>
      <c r="E1941">
        <v>1</v>
      </c>
      <c r="F1941">
        <v>1</v>
      </c>
    </row>
    <row r="1942" spans="1:6">
      <c r="A1942" t="s">
        <v>182</v>
      </c>
      <c r="B1942" t="s">
        <v>42</v>
      </c>
      <c r="C1942" s="3">
        <v>104</v>
      </c>
      <c r="D1942">
        <v>1</v>
      </c>
      <c r="E1942">
        <v>1</v>
      </c>
      <c r="F1942">
        <v>1</v>
      </c>
    </row>
    <row r="1943" spans="1:6">
      <c r="A1943" t="s">
        <v>182</v>
      </c>
      <c r="B1943" t="s">
        <v>46</v>
      </c>
      <c r="C1943" s="3">
        <v>111</v>
      </c>
      <c r="D1943">
        <v>1</v>
      </c>
      <c r="E1943">
        <v>1</v>
      </c>
      <c r="F1943">
        <v>1</v>
      </c>
    </row>
    <row r="1944" spans="1:6">
      <c r="A1944" t="s">
        <v>182</v>
      </c>
      <c r="B1944" t="s">
        <v>392</v>
      </c>
      <c r="C1944" s="3"/>
      <c r="D1944">
        <v>0</v>
      </c>
      <c r="E1944">
        <v>1</v>
      </c>
      <c r="F1944">
        <v>1</v>
      </c>
    </row>
    <row r="1945" spans="1:6">
      <c r="A1945" t="s">
        <v>182</v>
      </c>
      <c r="B1945" t="s">
        <v>393</v>
      </c>
      <c r="C1945" s="3"/>
      <c r="D1945">
        <v>0</v>
      </c>
      <c r="E1945">
        <v>1</v>
      </c>
      <c r="F1945">
        <v>1</v>
      </c>
    </row>
    <row r="1946" spans="1:6">
      <c r="A1946" t="s">
        <v>182</v>
      </c>
      <c r="B1946" t="s">
        <v>394</v>
      </c>
      <c r="C1946" s="3"/>
      <c r="D1946">
        <v>0</v>
      </c>
      <c r="E1946">
        <v>1</v>
      </c>
      <c r="F1946">
        <v>1</v>
      </c>
    </row>
    <row r="1947" spans="1:6">
      <c r="A1947" t="s">
        <v>182</v>
      </c>
      <c r="B1947" t="s">
        <v>39</v>
      </c>
      <c r="C1947" s="3">
        <v>-30.551724988379</v>
      </c>
      <c r="D1947">
        <v>1</v>
      </c>
      <c r="E1947">
        <v>1</v>
      </c>
      <c r="F1947">
        <v>1</v>
      </c>
    </row>
    <row r="1948" spans="1:6">
      <c r="A1948" t="s">
        <v>182</v>
      </c>
      <c r="B1948" t="s">
        <v>43</v>
      </c>
      <c r="C1948" s="3">
        <v>-4.40000000000001</v>
      </c>
      <c r="D1948">
        <v>1</v>
      </c>
      <c r="E1948">
        <v>1</v>
      </c>
      <c r="F1948">
        <v>1</v>
      </c>
    </row>
    <row r="1949" spans="1:6">
      <c r="A1949" t="s">
        <v>182</v>
      </c>
      <c r="B1949" t="s">
        <v>44</v>
      </c>
      <c r="C1949" s="3">
        <v>-2.5</v>
      </c>
      <c r="D1949">
        <v>1</v>
      </c>
      <c r="E1949">
        <v>1</v>
      </c>
      <c r="F1949">
        <v>1</v>
      </c>
    </row>
    <row r="1950" spans="1:6">
      <c r="A1950" t="s">
        <v>182</v>
      </c>
      <c r="B1950" t="s">
        <v>45</v>
      </c>
      <c r="C1950" s="3">
        <v>-0.599999999999994</v>
      </c>
      <c r="D1950">
        <v>1</v>
      </c>
      <c r="E1950">
        <v>1</v>
      </c>
      <c r="F1950">
        <v>1</v>
      </c>
    </row>
    <row r="1951" spans="1:6">
      <c r="A1951" t="s">
        <v>182</v>
      </c>
      <c r="B1951" t="s">
        <v>396</v>
      </c>
      <c r="C1951" s="3"/>
      <c r="D1951">
        <v>0</v>
      </c>
      <c r="E1951">
        <v>1</v>
      </c>
      <c r="F1951">
        <v>1</v>
      </c>
    </row>
    <row r="1952" spans="1:6">
      <c r="A1952" t="s">
        <v>183</v>
      </c>
      <c r="B1952" t="s">
        <v>34</v>
      </c>
      <c r="C1952" s="3">
        <v>52.45</v>
      </c>
      <c r="D1952">
        <v>1</v>
      </c>
      <c r="E1952">
        <v>1</v>
      </c>
      <c r="F1952">
        <v>1</v>
      </c>
    </row>
    <row r="1953" spans="1:6">
      <c r="A1953" t="s">
        <v>183</v>
      </c>
      <c r="B1953" t="s">
        <v>35</v>
      </c>
      <c r="C1953" s="3">
        <v>6.8281</v>
      </c>
      <c r="D1953">
        <v>1</v>
      </c>
      <c r="E1953">
        <v>1</v>
      </c>
      <c r="F1953">
        <v>1</v>
      </c>
    </row>
    <row r="1954" spans="1:6">
      <c r="A1954" t="s">
        <v>183</v>
      </c>
      <c r="B1954" t="s">
        <v>36</v>
      </c>
      <c r="C1954" s="3">
        <v>358.133845</v>
      </c>
      <c r="D1954">
        <v>1</v>
      </c>
      <c r="E1954">
        <v>1</v>
      </c>
      <c r="F1954">
        <v>1</v>
      </c>
    </row>
    <row r="1955" spans="1:6">
      <c r="A1955" t="s">
        <v>183</v>
      </c>
      <c r="B1955" t="s">
        <v>40</v>
      </c>
      <c r="C1955" s="3">
        <v>113.2</v>
      </c>
      <c r="D1955">
        <v>1</v>
      </c>
      <c r="E1955">
        <v>1</v>
      </c>
      <c r="F1955">
        <v>1</v>
      </c>
    </row>
    <row r="1956" spans="1:6">
      <c r="A1956" t="s">
        <v>183</v>
      </c>
      <c r="B1956" t="s">
        <v>41</v>
      </c>
      <c r="C1956" s="3">
        <v>102</v>
      </c>
      <c r="D1956">
        <v>1</v>
      </c>
      <c r="E1956">
        <v>1</v>
      </c>
      <c r="F1956">
        <v>1</v>
      </c>
    </row>
    <row r="1957" spans="1:6">
      <c r="A1957" t="s">
        <v>183</v>
      </c>
      <c r="B1957" t="s">
        <v>42</v>
      </c>
      <c r="C1957" s="3">
        <v>102.4</v>
      </c>
      <c r="D1957">
        <v>1</v>
      </c>
      <c r="E1957">
        <v>1</v>
      </c>
      <c r="F1957">
        <v>1</v>
      </c>
    </row>
    <row r="1958" spans="1:6">
      <c r="A1958" t="s">
        <v>183</v>
      </c>
      <c r="B1958" t="s">
        <v>46</v>
      </c>
      <c r="C1958" s="3">
        <v>104.7</v>
      </c>
      <c r="D1958">
        <v>1</v>
      </c>
      <c r="E1958">
        <v>1</v>
      </c>
      <c r="F1958">
        <v>1</v>
      </c>
    </row>
    <row r="1959" spans="1:6">
      <c r="A1959" t="s">
        <v>183</v>
      </c>
      <c r="B1959" t="s">
        <v>392</v>
      </c>
      <c r="C1959" s="3"/>
      <c r="D1959">
        <v>0</v>
      </c>
      <c r="E1959">
        <v>1</v>
      </c>
      <c r="F1959">
        <v>1</v>
      </c>
    </row>
    <row r="1960" spans="1:6">
      <c r="A1960" t="s">
        <v>183</v>
      </c>
      <c r="B1960" t="s">
        <v>393</v>
      </c>
      <c r="C1960" s="3"/>
      <c r="D1960">
        <v>0</v>
      </c>
      <c r="E1960">
        <v>1</v>
      </c>
      <c r="F1960">
        <v>1</v>
      </c>
    </row>
    <row r="1961" spans="1:6">
      <c r="A1961" t="s">
        <v>183</v>
      </c>
      <c r="B1961" t="s">
        <v>394</v>
      </c>
      <c r="C1961" s="3"/>
      <c r="D1961">
        <v>0</v>
      </c>
      <c r="E1961">
        <v>1</v>
      </c>
      <c r="F1961">
        <v>1</v>
      </c>
    </row>
    <row r="1962" spans="1:6">
      <c r="A1962" t="s">
        <v>183</v>
      </c>
      <c r="B1962" t="s">
        <v>39</v>
      </c>
      <c r="C1962" s="3">
        <v>-31.2082428043577</v>
      </c>
      <c r="D1962">
        <v>1</v>
      </c>
      <c r="E1962">
        <v>1</v>
      </c>
      <c r="F1962">
        <v>1</v>
      </c>
    </row>
    <row r="1963" spans="1:6">
      <c r="A1963" t="s">
        <v>183</v>
      </c>
      <c r="B1963" t="s">
        <v>43</v>
      </c>
      <c r="C1963" s="3">
        <v>-11.4</v>
      </c>
      <c r="D1963">
        <v>1</v>
      </c>
      <c r="E1963">
        <v>1</v>
      </c>
      <c r="F1963">
        <v>1</v>
      </c>
    </row>
    <row r="1964" spans="1:6">
      <c r="A1964" t="s">
        <v>183</v>
      </c>
      <c r="B1964" t="s">
        <v>44</v>
      </c>
      <c r="C1964" s="3">
        <v>-4.59999999999999</v>
      </c>
      <c r="D1964">
        <v>1</v>
      </c>
      <c r="E1964">
        <v>1</v>
      </c>
      <c r="F1964">
        <v>1</v>
      </c>
    </row>
    <row r="1965" spans="1:6">
      <c r="A1965" t="s">
        <v>183</v>
      </c>
      <c r="B1965" t="s">
        <v>45</v>
      </c>
      <c r="C1965" s="3">
        <v>-1.59999999999999</v>
      </c>
      <c r="D1965">
        <v>1</v>
      </c>
      <c r="E1965">
        <v>1</v>
      </c>
      <c r="F1965">
        <v>1</v>
      </c>
    </row>
    <row r="1966" spans="1:6">
      <c r="A1966" t="s">
        <v>183</v>
      </c>
      <c r="B1966" t="s">
        <v>396</v>
      </c>
      <c r="C1966" s="3"/>
      <c r="D1966">
        <v>0</v>
      </c>
      <c r="E1966">
        <v>1</v>
      </c>
      <c r="F1966">
        <v>1</v>
      </c>
    </row>
    <row r="1967" spans="1:6">
      <c r="A1967" t="s">
        <v>184</v>
      </c>
      <c r="B1967" t="s">
        <v>34</v>
      </c>
      <c r="C1967" s="3">
        <v>39.95</v>
      </c>
      <c r="D1967">
        <v>1</v>
      </c>
      <c r="E1967">
        <v>1</v>
      </c>
      <c r="F1967">
        <v>1</v>
      </c>
    </row>
    <row r="1968" spans="1:6">
      <c r="A1968" t="s">
        <v>184</v>
      </c>
      <c r="B1968" t="s">
        <v>35</v>
      </c>
      <c r="C1968" s="3">
        <v>6.8539</v>
      </c>
      <c r="D1968">
        <v>1</v>
      </c>
      <c r="E1968">
        <v>1</v>
      </c>
      <c r="F1968">
        <v>1</v>
      </c>
    </row>
    <row r="1969" spans="1:6">
      <c r="A1969" t="s">
        <v>184</v>
      </c>
      <c r="B1969" t="s">
        <v>36</v>
      </c>
      <c r="C1969" s="3">
        <v>273.813305</v>
      </c>
      <c r="D1969">
        <v>1</v>
      </c>
      <c r="E1969">
        <v>1</v>
      </c>
      <c r="F1969">
        <v>1</v>
      </c>
    </row>
    <row r="1970" spans="1:6">
      <c r="A1970" t="s">
        <v>184</v>
      </c>
      <c r="B1970" t="s">
        <v>40</v>
      </c>
      <c r="C1970" s="3">
        <v>99.4</v>
      </c>
      <c r="D1970">
        <v>1</v>
      </c>
      <c r="E1970">
        <v>1</v>
      </c>
      <c r="F1970">
        <v>1</v>
      </c>
    </row>
    <row r="1971" spans="1:6">
      <c r="A1971" t="s">
        <v>184</v>
      </c>
      <c r="B1971" t="s">
        <v>41</v>
      </c>
      <c r="C1971" s="3">
        <v>98.9</v>
      </c>
      <c r="D1971">
        <v>1</v>
      </c>
      <c r="E1971">
        <v>1</v>
      </c>
      <c r="F1971">
        <v>1</v>
      </c>
    </row>
    <row r="1972" spans="1:6">
      <c r="A1972" t="s">
        <v>184</v>
      </c>
      <c r="B1972" t="s">
        <v>42</v>
      </c>
      <c r="C1972" s="3">
        <v>101.2</v>
      </c>
      <c r="D1972">
        <v>1</v>
      </c>
      <c r="E1972">
        <v>1</v>
      </c>
      <c r="F1972">
        <v>1</v>
      </c>
    </row>
    <row r="1973" spans="1:6">
      <c r="A1973" t="s">
        <v>184</v>
      </c>
      <c r="B1973" t="s">
        <v>46</v>
      </c>
      <c r="C1973" s="3">
        <v>98.7</v>
      </c>
      <c r="D1973">
        <v>1</v>
      </c>
      <c r="E1973">
        <v>1</v>
      </c>
      <c r="F1973">
        <v>1</v>
      </c>
    </row>
    <row r="1974" spans="1:6">
      <c r="A1974" t="s">
        <v>184</v>
      </c>
      <c r="B1974" t="s">
        <v>392</v>
      </c>
      <c r="C1974" s="3"/>
      <c r="D1974">
        <v>0</v>
      </c>
      <c r="E1974">
        <v>1</v>
      </c>
      <c r="F1974">
        <v>1</v>
      </c>
    </row>
    <row r="1975" spans="1:6">
      <c r="A1975" t="s">
        <v>184</v>
      </c>
      <c r="B1975" t="s">
        <v>393</v>
      </c>
      <c r="C1975" s="3"/>
      <c r="D1975">
        <v>0</v>
      </c>
      <c r="E1975">
        <v>1</v>
      </c>
      <c r="F1975">
        <v>1</v>
      </c>
    </row>
    <row r="1976" spans="1:6">
      <c r="A1976" t="s">
        <v>184</v>
      </c>
      <c r="B1976" t="s">
        <v>394</v>
      </c>
      <c r="C1976" s="3"/>
      <c r="D1976">
        <v>0</v>
      </c>
      <c r="E1976">
        <v>1</v>
      </c>
      <c r="F1976">
        <v>1</v>
      </c>
    </row>
    <row r="1977" spans="1:6">
      <c r="A1977" t="s">
        <v>184</v>
      </c>
      <c r="B1977" t="s">
        <v>39</v>
      </c>
      <c r="C1977" s="3">
        <v>-26.8460279706451</v>
      </c>
      <c r="D1977">
        <v>1</v>
      </c>
      <c r="E1977">
        <v>1</v>
      </c>
      <c r="F1977">
        <v>1</v>
      </c>
    </row>
    <row r="1978" spans="1:6">
      <c r="A1978" t="s">
        <v>184</v>
      </c>
      <c r="B1978" t="s">
        <v>43</v>
      </c>
      <c r="C1978" s="3">
        <v>-13.8</v>
      </c>
      <c r="D1978">
        <v>1</v>
      </c>
      <c r="E1978">
        <v>1</v>
      </c>
      <c r="F1978">
        <v>1</v>
      </c>
    </row>
    <row r="1979" spans="1:6">
      <c r="A1979" t="s">
        <v>184</v>
      </c>
      <c r="B1979" t="s">
        <v>44</v>
      </c>
      <c r="C1979" s="3">
        <v>-3.09999999999999</v>
      </c>
      <c r="D1979">
        <v>1</v>
      </c>
      <c r="E1979">
        <v>1</v>
      </c>
      <c r="F1979">
        <v>1</v>
      </c>
    </row>
    <row r="1980" spans="1:6">
      <c r="A1980" t="s">
        <v>184</v>
      </c>
      <c r="B1980" t="s">
        <v>45</v>
      </c>
      <c r="C1980" s="3">
        <v>-1.2</v>
      </c>
      <c r="D1980">
        <v>1</v>
      </c>
      <c r="E1980">
        <v>1</v>
      </c>
      <c r="F1980">
        <v>1</v>
      </c>
    </row>
    <row r="1981" spans="1:6">
      <c r="A1981" t="s">
        <v>184</v>
      </c>
      <c r="B1981" t="s">
        <v>396</v>
      </c>
      <c r="C1981" s="3"/>
      <c r="D1981">
        <v>0</v>
      </c>
      <c r="E1981">
        <v>1</v>
      </c>
      <c r="F1981">
        <v>1</v>
      </c>
    </row>
    <row r="1982" spans="1:6">
      <c r="A1982" t="s">
        <v>185</v>
      </c>
      <c r="B1982" t="s">
        <v>34</v>
      </c>
      <c r="C1982" s="3">
        <v>43.44</v>
      </c>
      <c r="D1982">
        <v>1</v>
      </c>
      <c r="E1982">
        <v>1</v>
      </c>
      <c r="F1982">
        <v>1</v>
      </c>
    </row>
    <row r="1983" spans="1:6">
      <c r="A1983" t="s">
        <v>185</v>
      </c>
      <c r="B1983" t="s">
        <v>35</v>
      </c>
      <c r="C1983" s="3">
        <v>6.836</v>
      </c>
      <c r="D1983">
        <v>1</v>
      </c>
      <c r="E1983">
        <v>1</v>
      </c>
      <c r="F1983">
        <v>1</v>
      </c>
    </row>
    <row r="1984" spans="1:6">
      <c r="A1984" t="s">
        <v>185</v>
      </c>
      <c r="B1984" t="s">
        <v>36</v>
      </c>
      <c r="C1984" s="3">
        <v>296.95584</v>
      </c>
      <c r="D1984">
        <v>1</v>
      </c>
      <c r="E1984">
        <v>1</v>
      </c>
      <c r="F1984">
        <v>1</v>
      </c>
    </row>
    <row r="1985" spans="1:6">
      <c r="A1985" t="s">
        <v>185</v>
      </c>
      <c r="B1985" t="s">
        <v>40</v>
      </c>
      <c r="C1985" s="3">
        <v>92.6</v>
      </c>
      <c r="D1985">
        <v>1</v>
      </c>
      <c r="E1985">
        <v>1</v>
      </c>
      <c r="F1985">
        <v>1</v>
      </c>
    </row>
    <row r="1986" spans="1:6">
      <c r="A1986" t="s">
        <v>185</v>
      </c>
      <c r="B1986" t="s">
        <v>41</v>
      </c>
      <c r="C1986" s="3">
        <v>96.7</v>
      </c>
      <c r="D1986">
        <v>1</v>
      </c>
      <c r="E1986">
        <v>1</v>
      </c>
      <c r="F1986">
        <v>1</v>
      </c>
    </row>
    <row r="1987" spans="1:6">
      <c r="A1987" t="s">
        <v>185</v>
      </c>
      <c r="B1987" t="s">
        <v>42</v>
      </c>
      <c r="C1987" s="3">
        <v>101</v>
      </c>
      <c r="D1987">
        <v>1</v>
      </c>
      <c r="E1987">
        <v>1</v>
      </c>
      <c r="F1987">
        <v>1</v>
      </c>
    </row>
    <row r="1988" spans="1:6">
      <c r="A1988" t="s">
        <v>185</v>
      </c>
      <c r="B1988" t="s">
        <v>46</v>
      </c>
      <c r="C1988" s="3">
        <v>94.7</v>
      </c>
      <c r="D1988">
        <v>1</v>
      </c>
      <c r="E1988">
        <v>1</v>
      </c>
      <c r="F1988">
        <v>1</v>
      </c>
    </row>
    <row r="1989" spans="1:6">
      <c r="A1989" t="s">
        <v>185</v>
      </c>
      <c r="B1989" t="s">
        <v>392</v>
      </c>
      <c r="C1989" s="3"/>
      <c r="D1989">
        <v>0</v>
      </c>
      <c r="E1989">
        <v>1</v>
      </c>
      <c r="F1989">
        <v>1</v>
      </c>
    </row>
    <row r="1990" spans="1:6">
      <c r="A1990" t="s">
        <v>185</v>
      </c>
      <c r="B1990" t="s">
        <v>393</v>
      </c>
      <c r="C1990" s="3"/>
      <c r="D1990">
        <v>0</v>
      </c>
      <c r="E1990">
        <v>1</v>
      </c>
      <c r="F1990">
        <v>1</v>
      </c>
    </row>
    <row r="1991" spans="1:6">
      <c r="A1991" t="s">
        <v>185</v>
      </c>
      <c r="B1991" t="s">
        <v>394</v>
      </c>
      <c r="C1991" s="3"/>
      <c r="D1991">
        <v>0</v>
      </c>
      <c r="E1991">
        <v>1</v>
      </c>
      <c r="F1991">
        <v>1</v>
      </c>
    </row>
    <row r="1992" spans="1:6">
      <c r="A1992" t="s">
        <v>185</v>
      </c>
      <c r="B1992" t="s">
        <v>39</v>
      </c>
      <c r="C1992" s="3">
        <v>8.11369353411851</v>
      </c>
      <c r="D1992">
        <v>1</v>
      </c>
      <c r="E1992">
        <v>1</v>
      </c>
      <c r="F1992">
        <v>1</v>
      </c>
    </row>
    <row r="1993" spans="1:6">
      <c r="A1993" t="s">
        <v>185</v>
      </c>
      <c r="B1993" t="s">
        <v>43</v>
      </c>
      <c r="C1993" s="3">
        <v>-6.80000000000001</v>
      </c>
      <c r="D1993">
        <v>1</v>
      </c>
      <c r="E1993">
        <v>1</v>
      </c>
      <c r="F1993">
        <v>1</v>
      </c>
    </row>
    <row r="1994" spans="1:6">
      <c r="A1994" t="s">
        <v>185</v>
      </c>
      <c r="B1994" t="s">
        <v>44</v>
      </c>
      <c r="C1994" s="3">
        <v>-2.2</v>
      </c>
      <c r="D1994">
        <v>1</v>
      </c>
      <c r="E1994">
        <v>1</v>
      </c>
      <c r="F1994">
        <v>1</v>
      </c>
    </row>
    <row r="1995" spans="1:6">
      <c r="A1995" t="s">
        <v>185</v>
      </c>
      <c r="B1995" t="s">
        <v>45</v>
      </c>
      <c r="C1995" s="3">
        <v>-0.200000000000003</v>
      </c>
      <c r="D1995">
        <v>1</v>
      </c>
      <c r="E1995">
        <v>1</v>
      </c>
      <c r="F1995">
        <v>1</v>
      </c>
    </row>
    <row r="1996" spans="1:6">
      <c r="A1996" t="s">
        <v>185</v>
      </c>
      <c r="B1996" t="s">
        <v>396</v>
      </c>
      <c r="C1996" s="3"/>
      <c r="D1996">
        <v>0</v>
      </c>
      <c r="E1996">
        <v>1</v>
      </c>
      <c r="F1996">
        <v>1</v>
      </c>
    </row>
    <row r="1997" spans="1:6">
      <c r="A1997" t="s">
        <v>186</v>
      </c>
      <c r="B1997" t="s">
        <v>34</v>
      </c>
      <c r="C1997" s="3">
        <v>43.32</v>
      </c>
      <c r="D1997">
        <v>1</v>
      </c>
      <c r="E1997">
        <v>1</v>
      </c>
      <c r="F1997">
        <v>1</v>
      </c>
    </row>
    <row r="1998" spans="1:6">
      <c r="A1998" t="s">
        <v>186</v>
      </c>
      <c r="B1998" t="s">
        <v>35</v>
      </c>
      <c r="C1998" s="3">
        <v>6.8363</v>
      </c>
      <c r="D1998">
        <v>1</v>
      </c>
      <c r="E1998">
        <v>1</v>
      </c>
      <c r="F1998">
        <v>1</v>
      </c>
    </row>
    <row r="1999" spans="1:6">
      <c r="A1999" t="s">
        <v>186</v>
      </c>
      <c r="B1999" t="s">
        <v>36</v>
      </c>
      <c r="C1999" s="3">
        <v>296.148516</v>
      </c>
      <c r="D1999">
        <v>1</v>
      </c>
      <c r="E1999">
        <v>1</v>
      </c>
      <c r="F1999">
        <v>1</v>
      </c>
    </row>
    <row r="2000" spans="1:6">
      <c r="A2000" t="s">
        <v>186</v>
      </c>
      <c r="B2000" t="s">
        <v>40</v>
      </c>
      <c r="C2000" s="3">
        <v>89.1</v>
      </c>
      <c r="D2000">
        <v>1</v>
      </c>
      <c r="E2000">
        <v>1</v>
      </c>
      <c r="F2000">
        <v>1</v>
      </c>
    </row>
    <row r="2001" spans="1:6">
      <c r="A2001" t="s">
        <v>186</v>
      </c>
      <c r="B2001" t="s">
        <v>41</v>
      </c>
      <c r="C2001" s="3">
        <v>95.5</v>
      </c>
      <c r="D2001">
        <v>1</v>
      </c>
      <c r="E2001">
        <v>1</v>
      </c>
      <c r="F2001">
        <v>1</v>
      </c>
    </row>
    <row r="2002" spans="1:6">
      <c r="A2002" t="s">
        <v>186</v>
      </c>
      <c r="B2002" t="s">
        <v>42</v>
      </c>
      <c r="C2002" s="3">
        <v>98.4</v>
      </c>
      <c r="D2002">
        <v>1</v>
      </c>
      <c r="E2002">
        <v>1</v>
      </c>
      <c r="F2002">
        <v>1</v>
      </c>
    </row>
    <row r="2003" spans="1:6">
      <c r="A2003" t="s">
        <v>186</v>
      </c>
      <c r="B2003" t="s">
        <v>46</v>
      </c>
      <c r="C2003" s="3">
        <v>92.9</v>
      </c>
      <c r="D2003">
        <v>1</v>
      </c>
      <c r="E2003">
        <v>1</v>
      </c>
      <c r="F2003">
        <v>1</v>
      </c>
    </row>
    <row r="2004" spans="1:6">
      <c r="A2004" t="s">
        <v>186</v>
      </c>
      <c r="B2004" t="s">
        <v>392</v>
      </c>
      <c r="C2004" s="3"/>
      <c r="D2004">
        <v>0</v>
      </c>
      <c r="E2004">
        <v>1</v>
      </c>
      <c r="F2004">
        <v>1</v>
      </c>
    </row>
    <row r="2005" spans="1:6">
      <c r="A2005" t="s">
        <v>186</v>
      </c>
      <c r="B2005" t="s">
        <v>393</v>
      </c>
      <c r="C2005" s="3"/>
      <c r="D2005">
        <v>0</v>
      </c>
      <c r="E2005">
        <v>1</v>
      </c>
      <c r="F2005">
        <v>1</v>
      </c>
    </row>
    <row r="2006" spans="1:6">
      <c r="A2006" t="s">
        <v>186</v>
      </c>
      <c r="B2006" t="s">
        <v>394</v>
      </c>
      <c r="C2006" s="3"/>
      <c r="D2006">
        <v>0</v>
      </c>
      <c r="E2006">
        <v>1</v>
      </c>
      <c r="F2006">
        <v>1</v>
      </c>
    </row>
    <row r="2007" spans="1:6">
      <c r="A2007" t="s">
        <v>186</v>
      </c>
      <c r="B2007" t="s">
        <v>39</v>
      </c>
      <c r="C2007" s="3">
        <v>-0.272236914277397</v>
      </c>
      <c r="D2007">
        <v>1</v>
      </c>
      <c r="E2007">
        <v>1</v>
      </c>
      <c r="F2007">
        <v>1</v>
      </c>
    </row>
    <row r="2008" spans="1:6">
      <c r="A2008" t="s">
        <v>186</v>
      </c>
      <c r="B2008" t="s">
        <v>43</v>
      </c>
      <c r="C2008" s="3">
        <v>-3.5</v>
      </c>
      <c r="D2008">
        <v>1</v>
      </c>
      <c r="E2008">
        <v>1</v>
      </c>
      <c r="F2008">
        <v>1</v>
      </c>
    </row>
    <row r="2009" spans="1:6">
      <c r="A2009" t="s">
        <v>186</v>
      </c>
      <c r="B2009" t="s">
        <v>44</v>
      </c>
      <c r="C2009" s="3">
        <v>-1.2</v>
      </c>
      <c r="D2009">
        <v>1</v>
      </c>
      <c r="E2009">
        <v>1</v>
      </c>
      <c r="F2009">
        <v>1</v>
      </c>
    </row>
    <row r="2010" spans="1:6">
      <c r="A2010" t="s">
        <v>186</v>
      </c>
      <c r="B2010" t="s">
        <v>45</v>
      </c>
      <c r="C2010" s="3">
        <v>-2.59999999999999</v>
      </c>
      <c r="D2010">
        <v>1</v>
      </c>
      <c r="E2010">
        <v>1</v>
      </c>
      <c r="F2010">
        <v>1</v>
      </c>
    </row>
    <row r="2011" spans="1:6">
      <c r="A2011" t="s">
        <v>186</v>
      </c>
      <c r="B2011" t="s">
        <v>396</v>
      </c>
      <c r="C2011" s="3"/>
      <c r="D2011">
        <v>0</v>
      </c>
      <c r="E2011">
        <v>1</v>
      </c>
      <c r="F2011">
        <v>1</v>
      </c>
    </row>
    <row r="2012" spans="1:6">
      <c r="A2012" t="s">
        <v>187</v>
      </c>
      <c r="B2012" t="s">
        <v>34</v>
      </c>
      <c r="C2012" s="3">
        <v>46.54</v>
      </c>
      <c r="D2012">
        <v>1</v>
      </c>
      <c r="E2012">
        <v>1</v>
      </c>
      <c r="F2012">
        <v>1</v>
      </c>
    </row>
    <row r="2013" spans="1:6">
      <c r="A2013" t="s">
        <v>187</v>
      </c>
      <c r="B2013" t="s">
        <v>35</v>
      </c>
      <c r="C2013" s="3">
        <v>6.836</v>
      </c>
      <c r="D2013">
        <v>1</v>
      </c>
      <c r="E2013">
        <v>1</v>
      </c>
      <c r="F2013">
        <v>1</v>
      </c>
    </row>
    <row r="2014" spans="1:6">
      <c r="A2014" t="s">
        <v>187</v>
      </c>
      <c r="B2014" t="s">
        <v>36</v>
      </c>
      <c r="C2014" s="3">
        <v>318.14744</v>
      </c>
      <c r="D2014">
        <v>1</v>
      </c>
      <c r="E2014">
        <v>1</v>
      </c>
      <c r="F2014">
        <v>1</v>
      </c>
    </row>
    <row r="2015" spans="1:6">
      <c r="A2015" t="s">
        <v>187</v>
      </c>
      <c r="B2015" t="s">
        <v>40</v>
      </c>
      <c r="C2015" s="3">
        <v>87.3</v>
      </c>
      <c r="D2015">
        <v>1</v>
      </c>
      <c r="E2015">
        <v>1</v>
      </c>
      <c r="F2015">
        <v>1</v>
      </c>
    </row>
    <row r="2016" spans="1:6">
      <c r="A2016" t="s">
        <v>187</v>
      </c>
      <c r="B2016" t="s">
        <v>41</v>
      </c>
      <c r="C2016" s="3">
        <v>94</v>
      </c>
      <c r="D2016">
        <v>1</v>
      </c>
      <c r="E2016">
        <v>1</v>
      </c>
      <c r="F2016">
        <v>1</v>
      </c>
    </row>
    <row r="2017" spans="1:6">
      <c r="A2017" t="s">
        <v>187</v>
      </c>
      <c r="B2017" t="s">
        <v>42</v>
      </c>
      <c r="C2017" s="3">
        <v>98.8</v>
      </c>
      <c r="D2017">
        <v>1</v>
      </c>
      <c r="E2017">
        <v>1</v>
      </c>
      <c r="F2017">
        <v>1</v>
      </c>
    </row>
    <row r="2018" spans="1:6">
      <c r="A2018" t="s">
        <v>187</v>
      </c>
      <c r="B2018" t="s">
        <v>46</v>
      </c>
      <c r="C2018" s="3">
        <v>91.1</v>
      </c>
      <c r="D2018">
        <v>1</v>
      </c>
      <c r="E2018">
        <v>1</v>
      </c>
      <c r="F2018">
        <v>1</v>
      </c>
    </row>
    <row r="2019" spans="1:6">
      <c r="A2019" t="s">
        <v>187</v>
      </c>
      <c r="B2019" t="s">
        <v>392</v>
      </c>
      <c r="C2019" s="3"/>
      <c r="D2019">
        <v>0</v>
      </c>
      <c r="E2019">
        <v>1</v>
      </c>
      <c r="F2019">
        <v>1</v>
      </c>
    </row>
    <row r="2020" spans="1:6">
      <c r="A2020" t="s">
        <v>187</v>
      </c>
      <c r="B2020" t="s">
        <v>393</v>
      </c>
      <c r="C2020" s="3"/>
      <c r="D2020">
        <v>0</v>
      </c>
      <c r="E2020">
        <v>1</v>
      </c>
      <c r="F2020">
        <v>1</v>
      </c>
    </row>
    <row r="2021" spans="1:6">
      <c r="A2021" t="s">
        <v>187</v>
      </c>
      <c r="B2021" t="s">
        <v>394</v>
      </c>
      <c r="C2021" s="3"/>
      <c r="D2021">
        <v>0</v>
      </c>
      <c r="E2021">
        <v>1</v>
      </c>
      <c r="F2021">
        <v>1</v>
      </c>
    </row>
    <row r="2022" spans="1:6">
      <c r="A2022" t="s">
        <v>187</v>
      </c>
      <c r="B2022" t="s">
        <v>39</v>
      </c>
      <c r="C2022" s="3">
        <v>7.16538513912396</v>
      </c>
      <c r="D2022">
        <v>1</v>
      </c>
      <c r="E2022">
        <v>1</v>
      </c>
      <c r="F2022">
        <v>1</v>
      </c>
    </row>
    <row r="2023" spans="1:6">
      <c r="A2023" t="s">
        <v>187</v>
      </c>
      <c r="B2023" t="s">
        <v>43</v>
      </c>
      <c r="C2023" s="3">
        <v>-1.8</v>
      </c>
      <c r="D2023">
        <v>1</v>
      </c>
      <c r="E2023">
        <v>1</v>
      </c>
      <c r="F2023">
        <v>1</v>
      </c>
    </row>
    <row r="2024" spans="1:6">
      <c r="A2024" t="s">
        <v>187</v>
      </c>
      <c r="B2024" t="s">
        <v>44</v>
      </c>
      <c r="C2024" s="3">
        <v>-1.5</v>
      </c>
      <c r="D2024">
        <v>1</v>
      </c>
      <c r="E2024">
        <v>1</v>
      </c>
      <c r="F2024">
        <v>1</v>
      </c>
    </row>
    <row r="2025" spans="1:6">
      <c r="A2025" t="s">
        <v>187</v>
      </c>
      <c r="B2025" t="s">
        <v>45</v>
      </c>
      <c r="C2025" s="3">
        <v>0.399999999999991</v>
      </c>
      <c r="D2025">
        <v>1</v>
      </c>
      <c r="E2025">
        <v>1</v>
      </c>
      <c r="F2025">
        <v>1</v>
      </c>
    </row>
    <row r="2026" spans="1:6">
      <c r="A2026" t="s">
        <v>187</v>
      </c>
      <c r="B2026" t="s">
        <v>396</v>
      </c>
      <c r="C2026" s="3"/>
      <c r="D2026">
        <v>0</v>
      </c>
      <c r="E2026">
        <v>1</v>
      </c>
      <c r="F2026">
        <v>1</v>
      </c>
    </row>
    <row r="2027" spans="1:6">
      <c r="A2027" t="s">
        <v>188</v>
      </c>
      <c r="B2027" t="s">
        <v>34</v>
      </c>
      <c r="C2027" s="3">
        <v>50.18</v>
      </c>
      <c r="D2027">
        <v>1</v>
      </c>
      <c r="E2027">
        <v>1</v>
      </c>
      <c r="F2027">
        <v>1</v>
      </c>
    </row>
    <row r="2028" spans="1:6">
      <c r="A2028" t="s">
        <v>188</v>
      </c>
      <c r="B2028" t="s">
        <v>35</v>
      </c>
      <c r="C2028" s="3">
        <v>6.8306</v>
      </c>
      <c r="D2028">
        <v>1</v>
      </c>
      <c r="E2028">
        <v>1</v>
      </c>
      <c r="F2028">
        <v>1</v>
      </c>
    </row>
    <row r="2029" spans="1:6">
      <c r="A2029" t="s">
        <v>188</v>
      </c>
      <c r="B2029" t="s">
        <v>36</v>
      </c>
      <c r="C2029" s="3">
        <v>342.759508</v>
      </c>
      <c r="D2029">
        <v>1</v>
      </c>
      <c r="E2029">
        <v>1</v>
      </c>
      <c r="F2029">
        <v>1</v>
      </c>
    </row>
    <row r="2030" spans="1:6">
      <c r="A2030" t="s">
        <v>188</v>
      </c>
      <c r="B2030" t="s">
        <v>40</v>
      </c>
      <c r="C2030" s="3">
        <v>86.3</v>
      </c>
      <c r="D2030">
        <v>1</v>
      </c>
      <c r="E2030">
        <v>1</v>
      </c>
      <c r="F2030">
        <v>1</v>
      </c>
    </row>
    <row r="2031" spans="1:6">
      <c r="A2031" t="s">
        <v>188</v>
      </c>
      <c r="B2031" t="s">
        <v>41</v>
      </c>
      <c r="C2031" s="3">
        <v>93.4</v>
      </c>
      <c r="D2031">
        <v>1</v>
      </c>
      <c r="E2031">
        <v>1</v>
      </c>
      <c r="F2031">
        <v>1</v>
      </c>
    </row>
    <row r="2032" spans="1:6">
      <c r="A2032" t="s">
        <v>188</v>
      </c>
      <c r="B2032" t="s">
        <v>42</v>
      </c>
      <c r="C2032" s="3">
        <v>98.5</v>
      </c>
      <c r="D2032">
        <v>1</v>
      </c>
      <c r="E2032">
        <v>1</v>
      </c>
      <c r="F2032">
        <v>1</v>
      </c>
    </row>
    <row r="2033" spans="1:6">
      <c r="A2033" t="s">
        <v>188</v>
      </c>
      <c r="B2033" t="s">
        <v>46</v>
      </c>
      <c r="C2033" s="3">
        <v>90.4</v>
      </c>
      <c r="D2033">
        <v>1</v>
      </c>
      <c r="E2033">
        <v>1</v>
      </c>
      <c r="F2033">
        <v>1</v>
      </c>
    </row>
    <row r="2034" spans="1:6">
      <c r="A2034" t="s">
        <v>188</v>
      </c>
      <c r="B2034" t="s">
        <v>392</v>
      </c>
      <c r="C2034" s="3"/>
      <c r="D2034">
        <v>0</v>
      </c>
      <c r="E2034">
        <v>1</v>
      </c>
      <c r="F2034">
        <v>1</v>
      </c>
    </row>
    <row r="2035" spans="1:6">
      <c r="A2035" t="s">
        <v>188</v>
      </c>
      <c r="B2035" t="s">
        <v>393</v>
      </c>
      <c r="C2035" s="3"/>
      <c r="D2035">
        <v>0</v>
      </c>
      <c r="E2035">
        <v>1</v>
      </c>
      <c r="F2035">
        <v>1</v>
      </c>
    </row>
    <row r="2036" spans="1:6">
      <c r="A2036" t="s">
        <v>188</v>
      </c>
      <c r="B2036" t="s">
        <v>394</v>
      </c>
      <c r="C2036" s="3"/>
      <c r="D2036">
        <v>0</v>
      </c>
      <c r="E2036">
        <v>1</v>
      </c>
      <c r="F2036">
        <v>1</v>
      </c>
    </row>
    <row r="2037" spans="1:6">
      <c r="A2037" t="s">
        <v>188</v>
      </c>
      <c r="B2037" t="s">
        <v>39</v>
      </c>
      <c r="C2037" s="3">
        <v>7.4514135265699</v>
      </c>
      <c r="D2037">
        <v>1</v>
      </c>
      <c r="E2037">
        <v>1</v>
      </c>
      <c r="F2037">
        <v>1</v>
      </c>
    </row>
    <row r="2038" spans="1:6">
      <c r="A2038" t="s">
        <v>188</v>
      </c>
      <c r="B2038" t="s">
        <v>43</v>
      </c>
      <c r="C2038" s="3">
        <v>-1</v>
      </c>
      <c r="D2038">
        <v>1</v>
      </c>
      <c r="E2038">
        <v>1</v>
      </c>
      <c r="F2038">
        <v>1</v>
      </c>
    </row>
    <row r="2039" spans="1:6">
      <c r="A2039" t="s">
        <v>188</v>
      </c>
      <c r="B2039" t="s">
        <v>44</v>
      </c>
      <c r="C2039" s="3">
        <v>-0.599999999999994</v>
      </c>
      <c r="D2039">
        <v>1</v>
      </c>
      <c r="E2039">
        <v>1</v>
      </c>
      <c r="F2039">
        <v>1</v>
      </c>
    </row>
    <row r="2040" spans="1:6">
      <c r="A2040" t="s">
        <v>188</v>
      </c>
      <c r="B2040" t="s">
        <v>45</v>
      </c>
      <c r="C2040" s="3">
        <v>-0.299999999999997</v>
      </c>
      <c r="D2040">
        <v>1</v>
      </c>
      <c r="E2040">
        <v>1</v>
      </c>
      <c r="F2040">
        <v>1</v>
      </c>
    </row>
    <row r="2041" spans="1:6">
      <c r="A2041" t="s">
        <v>188</v>
      </c>
      <c r="B2041" t="s">
        <v>396</v>
      </c>
      <c r="C2041" s="3"/>
      <c r="D2041">
        <v>0</v>
      </c>
      <c r="E2041">
        <v>1</v>
      </c>
      <c r="F2041">
        <v>1</v>
      </c>
    </row>
    <row r="2042" spans="1:6">
      <c r="A2042" t="s">
        <v>189</v>
      </c>
      <c r="B2042" t="s">
        <v>34</v>
      </c>
      <c r="C2042" s="3">
        <v>57.3</v>
      </c>
      <c r="D2042">
        <v>1</v>
      </c>
      <c r="E2042">
        <v>1</v>
      </c>
      <c r="F2042">
        <v>1</v>
      </c>
    </row>
    <row r="2043" spans="1:6">
      <c r="A2043" t="s">
        <v>189</v>
      </c>
      <c r="B2043" t="s">
        <v>35</v>
      </c>
      <c r="C2043" s="3">
        <v>6.8235</v>
      </c>
      <c r="D2043">
        <v>1</v>
      </c>
      <c r="E2043">
        <v>1</v>
      </c>
      <c r="F2043">
        <v>1</v>
      </c>
    </row>
    <row r="2044" spans="1:6">
      <c r="A2044" t="s">
        <v>189</v>
      </c>
      <c r="B2044" t="s">
        <v>36</v>
      </c>
      <c r="C2044" s="3">
        <v>390.98655</v>
      </c>
      <c r="D2044">
        <v>1</v>
      </c>
      <c r="E2044">
        <v>1</v>
      </c>
      <c r="F2044">
        <v>1</v>
      </c>
    </row>
    <row r="2045" spans="1:6">
      <c r="A2045" t="s">
        <v>189</v>
      </c>
      <c r="B2045" t="s">
        <v>40</v>
      </c>
      <c r="C2045" s="3">
        <v>85.5</v>
      </c>
      <c r="D2045">
        <v>1</v>
      </c>
      <c r="E2045">
        <v>1</v>
      </c>
      <c r="F2045">
        <v>1</v>
      </c>
    </row>
    <row r="2046" spans="1:6">
      <c r="A2046" t="s">
        <v>189</v>
      </c>
      <c r="B2046" t="s">
        <v>41</v>
      </c>
      <c r="C2046" s="3">
        <v>92.8</v>
      </c>
      <c r="D2046">
        <v>1</v>
      </c>
      <c r="E2046">
        <v>1</v>
      </c>
      <c r="F2046">
        <v>1</v>
      </c>
    </row>
    <row r="2047" spans="1:6">
      <c r="A2047" t="s">
        <v>189</v>
      </c>
      <c r="B2047" t="s">
        <v>42</v>
      </c>
      <c r="C2047" s="3">
        <v>98.6</v>
      </c>
      <c r="D2047">
        <v>1</v>
      </c>
      <c r="E2047">
        <v>1</v>
      </c>
      <c r="F2047">
        <v>1</v>
      </c>
    </row>
    <row r="2048" spans="1:6">
      <c r="A2048" t="s">
        <v>189</v>
      </c>
      <c r="B2048" t="s">
        <v>46</v>
      </c>
      <c r="C2048" s="3">
        <v>89.6</v>
      </c>
      <c r="D2048">
        <v>1</v>
      </c>
      <c r="E2048">
        <v>1</v>
      </c>
      <c r="F2048">
        <v>1</v>
      </c>
    </row>
    <row r="2049" spans="1:6">
      <c r="A2049" t="s">
        <v>189</v>
      </c>
      <c r="B2049" t="s">
        <v>392</v>
      </c>
      <c r="C2049" s="3"/>
      <c r="D2049">
        <v>0</v>
      </c>
      <c r="E2049">
        <v>1</v>
      </c>
      <c r="F2049">
        <v>1</v>
      </c>
    </row>
    <row r="2050" spans="1:6">
      <c r="A2050" t="s">
        <v>189</v>
      </c>
      <c r="B2050" t="s">
        <v>393</v>
      </c>
      <c r="C2050" s="3"/>
      <c r="D2050">
        <v>0</v>
      </c>
      <c r="E2050">
        <v>1</v>
      </c>
      <c r="F2050">
        <v>1</v>
      </c>
    </row>
    <row r="2051" spans="1:6">
      <c r="A2051" t="s">
        <v>189</v>
      </c>
      <c r="B2051" t="s">
        <v>394</v>
      </c>
      <c r="C2051" s="3"/>
      <c r="D2051">
        <v>0</v>
      </c>
      <c r="E2051">
        <v>1</v>
      </c>
      <c r="F2051">
        <v>1</v>
      </c>
    </row>
    <row r="2052" spans="1:6">
      <c r="A2052" t="s">
        <v>189</v>
      </c>
      <c r="B2052" t="s">
        <v>39</v>
      </c>
      <c r="C2052" s="3">
        <v>13.1644102023536</v>
      </c>
      <c r="D2052">
        <v>1</v>
      </c>
      <c r="E2052">
        <v>1</v>
      </c>
      <c r="F2052">
        <v>1</v>
      </c>
    </row>
    <row r="2053" spans="1:6">
      <c r="A2053" t="s">
        <v>189</v>
      </c>
      <c r="B2053" t="s">
        <v>43</v>
      </c>
      <c r="C2053" s="3">
        <v>-0.799999999999997</v>
      </c>
      <c r="D2053">
        <v>1</v>
      </c>
      <c r="E2053">
        <v>1</v>
      </c>
      <c r="F2053">
        <v>1</v>
      </c>
    </row>
    <row r="2054" spans="1:6">
      <c r="A2054" t="s">
        <v>189</v>
      </c>
      <c r="B2054" t="s">
        <v>44</v>
      </c>
      <c r="C2054" s="3">
        <v>-0.600000000000009</v>
      </c>
      <c r="D2054">
        <v>1</v>
      </c>
      <c r="E2054">
        <v>1</v>
      </c>
      <c r="F2054">
        <v>1</v>
      </c>
    </row>
    <row r="2055" spans="1:6">
      <c r="A2055" t="s">
        <v>189</v>
      </c>
      <c r="B2055" t="s">
        <v>45</v>
      </c>
      <c r="C2055" s="3">
        <v>0.0999999999999943</v>
      </c>
      <c r="D2055">
        <v>1</v>
      </c>
      <c r="E2055">
        <v>1</v>
      </c>
      <c r="F2055">
        <v>1</v>
      </c>
    </row>
    <row r="2056" spans="1:6">
      <c r="A2056" t="s">
        <v>189</v>
      </c>
      <c r="B2056" t="s">
        <v>396</v>
      </c>
      <c r="C2056" s="3"/>
      <c r="D2056">
        <v>0</v>
      </c>
      <c r="E2056">
        <v>1</v>
      </c>
      <c r="F2056">
        <v>1</v>
      </c>
    </row>
    <row r="2057" spans="1:6">
      <c r="A2057" t="s">
        <v>190</v>
      </c>
      <c r="B2057" t="s">
        <v>34</v>
      </c>
      <c r="C2057" s="3">
        <v>68.61</v>
      </c>
      <c r="D2057">
        <v>1</v>
      </c>
      <c r="E2057">
        <v>1</v>
      </c>
      <c r="F2057">
        <v>1</v>
      </c>
    </row>
    <row r="2058" spans="1:6">
      <c r="A2058" t="s">
        <v>190</v>
      </c>
      <c r="B2058" t="s">
        <v>35</v>
      </c>
      <c r="C2058" s="3">
        <v>6.8334</v>
      </c>
      <c r="D2058">
        <v>1</v>
      </c>
      <c r="E2058">
        <v>1</v>
      </c>
      <c r="F2058">
        <v>1</v>
      </c>
    </row>
    <row r="2059" spans="1:6">
      <c r="A2059" t="s">
        <v>190</v>
      </c>
      <c r="B2059" t="s">
        <v>36</v>
      </c>
      <c r="C2059" s="3">
        <v>468.839574</v>
      </c>
      <c r="D2059">
        <v>1</v>
      </c>
      <c r="E2059">
        <v>1</v>
      </c>
      <c r="F2059">
        <v>1</v>
      </c>
    </row>
    <row r="2060" spans="1:6">
      <c r="A2060" t="s">
        <v>190</v>
      </c>
      <c r="B2060" t="s">
        <v>40</v>
      </c>
      <c r="C2060" s="3">
        <v>84.3</v>
      </c>
      <c r="D2060">
        <v>1</v>
      </c>
      <c r="E2060">
        <v>1</v>
      </c>
      <c r="F2060">
        <v>1</v>
      </c>
    </row>
    <row r="2061" spans="1:6">
      <c r="A2061" t="s">
        <v>190</v>
      </c>
      <c r="B2061" t="s">
        <v>41</v>
      </c>
      <c r="C2061" s="3">
        <v>92.2</v>
      </c>
      <c r="D2061">
        <v>1</v>
      </c>
      <c r="E2061">
        <v>1</v>
      </c>
      <c r="F2061">
        <v>1</v>
      </c>
    </row>
    <row r="2062" spans="1:6">
      <c r="A2062" t="s">
        <v>190</v>
      </c>
      <c r="B2062" t="s">
        <v>42</v>
      </c>
      <c r="C2062" s="3">
        <v>98.3</v>
      </c>
      <c r="D2062">
        <v>1</v>
      </c>
      <c r="E2062">
        <v>1</v>
      </c>
      <c r="F2062">
        <v>1</v>
      </c>
    </row>
    <row r="2063" spans="1:6">
      <c r="A2063" t="s">
        <v>190</v>
      </c>
      <c r="B2063" t="s">
        <v>46</v>
      </c>
      <c r="C2063" s="3">
        <v>88.8</v>
      </c>
      <c r="D2063">
        <v>1</v>
      </c>
      <c r="E2063">
        <v>1</v>
      </c>
      <c r="F2063">
        <v>1</v>
      </c>
    </row>
    <row r="2064" spans="1:6">
      <c r="A2064" t="s">
        <v>190</v>
      </c>
      <c r="B2064" t="s">
        <v>392</v>
      </c>
      <c r="C2064" s="3"/>
      <c r="D2064">
        <v>0</v>
      </c>
      <c r="E2064">
        <v>1</v>
      </c>
      <c r="F2064">
        <v>1</v>
      </c>
    </row>
    <row r="2065" spans="1:6">
      <c r="A2065" t="s">
        <v>190</v>
      </c>
      <c r="B2065" t="s">
        <v>393</v>
      </c>
      <c r="C2065" s="3"/>
      <c r="D2065">
        <v>0</v>
      </c>
      <c r="E2065">
        <v>1</v>
      </c>
      <c r="F2065">
        <v>1</v>
      </c>
    </row>
    <row r="2066" spans="1:6">
      <c r="A2066" t="s">
        <v>190</v>
      </c>
      <c r="B2066" t="s">
        <v>394</v>
      </c>
      <c r="C2066" s="3"/>
      <c r="D2066">
        <v>0</v>
      </c>
      <c r="E2066">
        <v>1</v>
      </c>
      <c r="F2066">
        <v>1</v>
      </c>
    </row>
    <row r="2067" spans="1:6">
      <c r="A2067" t="s">
        <v>190</v>
      </c>
      <c r="B2067" t="s">
        <v>39</v>
      </c>
      <c r="C2067" s="3">
        <v>18.1587489812298</v>
      </c>
      <c r="D2067">
        <v>1</v>
      </c>
      <c r="E2067">
        <v>1</v>
      </c>
      <c r="F2067">
        <v>1</v>
      </c>
    </row>
    <row r="2068" spans="1:6">
      <c r="A2068" t="s">
        <v>190</v>
      </c>
      <c r="B2068" t="s">
        <v>43</v>
      </c>
      <c r="C2068" s="3">
        <v>-1.2</v>
      </c>
      <c r="D2068">
        <v>1</v>
      </c>
      <c r="E2068">
        <v>1</v>
      </c>
      <c r="F2068">
        <v>1</v>
      </c>
    </row>
    <row r="2069" spans="1:6">
      <c r="A2069" t="s">
        <v>190</v>
      </c>
      <c r="B2069" t="s">
        <v>44</v>
      </c>
      <c r="C2069" s="3">
        <v>-0.599999999999994</v>
      </c>
      <c r="D2069">
        <v>1</v>
      </c>
      <c r="E2069">
        <v>1</v>
      </c>
      <c r="F2069">
        <v>1</v>
      </c>
    </row>
    <row r="2070" spans="1:6">
      <c r="A2070" t="s">
        <v>190</v>
      </c>
      <c r="B2070" t="s">
        <v>45</v>
      </c>
      <c r="C2070" s="3">
        <v>-0.299999999999997</v>
      </c>
      <c r="D2070">
        <v>1</v>
      </c>
      <c r="E2070">
        <v>1</v>
      </c>
      <c r="F2070">
        <v>1</v>
      </c>
    </row>
    <row r="2071" spans="1:6">
      <c r="A2071" t="s">
        <v>190</v>
      </c>
      <c r="B2071" t="s">
        <v>396</v>
      </c>
      <c r="C2071" s="3"/>
      <c r="D2071">
        <v>0</v>
      </c>
      <c r="E2071">
        <v>1</v>
      </c>
      <c r="F2071">
        <v>1</v>
      </c>
    </row>
    <row r="2072" spans="1:6">
      <c r="A2072" t="s">
        <v>191</v>
      </c>
      <c r="B2072" t="s">
        <v>34</v>
      </c>
      <c r="C2072" s="3">
        <v>64.44</v>
      </c>
      <c r="D2072">
        <v>1</v>
      </c>
      <c r="E2072">
        <v>1</v>
      </c>
      <c r="F2072">
        <v>1</v>
      </c>
    </row>
    <row r="2073" spans="1:6">
      <c r="A2073" t="s">
        <v>191</v>
      </c>
      <c r="B2073" t="s">
        <v>35</v>
      </c>
      <c r="C2073" s="3">
        <v>6.8317</v>
      </c>
      <c r="D2073">
        <v>1</v>
      </c>
      <c r="E2073">
        <v>1</v>
      </c>
      <c r="F2073">
        <v>1</v>
      </c>
    </row>
    <row r="2074" spans="1:6">
      <c r="A2074" t="s">
        <v>191</v>
      </c>
      <c r="B2074" t="s">
        <v>36</v>
      </c>
      <c r="C2074" s="3">
        <v>440.234748</v>
      </c>
      <c r="D2074">
        <v>1</v>
      </c>
      <c r="E2074">
        <v>1</v>
      </c>
      <c r="F2074">
        <v>1</v>
      </c>
    </row>
    <row r="2075" spans="1:6">
      <c r="A2075" t="s">
        <v>191</v>
      </c>
      <c r="B2075" t="s">
        <v>40</v>
      </c>
      <c r="C2075" s="3">
        <v>83.9</v>
      </c>
      <c r="D2075">
        <v>1</v>
      </c>
      <c r="E2075">
        <v>1</v>
      </c>
      <c r="F2075">
        <v>1</v>
      </c>
    </row>
    <row r="2076" spans="1:6">
      <c r="A2076" t="s">
        <v>191</v>
      </c>
      <c r="B2076" t="s">
        <v>41</v>
      </c>
      <c r="C2076" s="3">
        <v>91.8</v>
      </c>
      <c r="D2076">
        <v>1</v>
      </c>
      <c r="E2076">
        <v>1</v>
      </c>
      <c r="F2076">
        <v>1</v>
      </c>
    </row>
    <row r="2077" spans="1:6">
      <c r="A2077" t="s">
        <v>191</v>
      </c>
      <c r="B2077" t="s">
        <v>42</v>
      </c>
      <c r="C2077" s="3">
        <v>98.2</v>
      </c>
      <c r="D2077">
        <v>1</v>
      </c>
      <c r="E2077">
        <v>1</v>
      </c>
      <c r="F2077">
        <v>1</v>
      </c>
    </row>
    <row r="2078" spans="1:6">
      <c r="A2078" t="s">
        <v>191</v>
      </c>
      <c r="B2078" t="s">
        <v>46</v>
      </c>
      <c r="C2078" s="3">
        <v>88.3</v>
      </c>
      <c r="D2078">
        <v>1</v>
      </c>
      <c r="E2078">
        <v>1</v>
      </c>
      <c r="F2078">
        <v>1</v>
      </c>
    </row>
    <row r="2079" spans="1:6">
      <c r="A2079" t="s">
        <v>191</v>
      </c>
      <c r="B2079" t="s">
        <v>392</v>
      </c>
      <c r="C2079" s="3"/>
      <c r="D2079">
        <v>0</v>
      </c>
      <c r="E2079">
        <v>1</v>
      </c>
      <c r="F2079">
        <v>1</v>
      </c>
    </row>
    <row r="2080" spans="1:6">
      <c r="A2080" t="s">
        <v>191</v>
      </c>
      <c r="B2080" t="s">
        <v>393</v>
      </c>
      <c r="C2080" s="3"/>
      <c r="D2080">
        <v>0</v>
      </c>
      <c r="E2080">
        <v>1</v>
      </c>
      <c r="F2080">
        <v>1</v>
      </c>
    </row>
    <row r="2081" spans="1:6">
      <c r="A2081" t="s">
        <v>191</v>
      </c>
      <c r="B2081" t="s">
        <v>394</v>
      </c>
      <c r="C2081" s="3"/>
      <c r="D2081">
        <v>0</v>
      </c>
      <c r="E2081">
        <v>1</v>
      </c>
      <c r="F2081">
        <v>1</v>
      </c>
    </row>
    <row r="2082" spans="1:6">
      <c r="A2082" t="s">
        <v>191</v>
      </c>
      <c r="B2082" t="s">
        <v>39</v>
      </c>
      <c r="C2082" s="3">
        <v>-6.29525474051229</v>
      </c>
      <c r="D2082">
        <v>1</v>
      </c>
      <c r="E2082">
        <v>1</v>
      </c>
      <c r="F2082">
        <v>1</v>
      </c>
    </row>
    <row r="2083" spans="1:6">
      <c r="A2083" t="s">
        <v>191</v>
      </c>
      <c r="B2083" t="s">
        <v>43</v>
      </c>
      <c r="C2083" s="3">
        <v>-0.399999999999991</v>
      </c>
      <c r="D2083">
        <v>1</v>
      </c>
      <c r="E2083">
        <v>1</v>
      </c>
      <c r="F2083">
        <v>1</v>
      </c>
    </row>
    <row r="2084" spans="1:6">
      <c r="A2084" t="s">
        <v>191</v>
      </c>
      <c r="B2084" t="s">
        <v>44</v>
      </c>
      <c r="C2084" s="3">
        <v>-0.400000000000006</v>
      </c>
      <c r="D2084">
        <v>1</v>
      </c>
      <c r="E2084">
        <v>1</v>
      </c>
      <c r="F2084">
        <v>1</v>
      </c>
    </row>
    <row r="2085" spans="1:6">
      <c r="A2085" t="s">
        <v>191</v>
      </c>
      <c r="B2085" t="s">
        <v>45</v>
      </c>
      <c r="C2085" s="3">
        <v>-0.0999999999999943</v>
      </c>
      <c r="D2085">
        <v>1</v>
      </c>
      <c r="E2085">
        <v>1</v>
      </c>
      <c r="F2085">
        <v>1</v>
      </c>
    </row>
    <row r="2086" spans="1:6">
      <c r="A2086" t="s">
        <v>191</v>
      </c>
      <c r="B2086" t="s">
        <v>396</v>
      </c>
      <c r="C2086" s="3"/>
      <c r="D2086">
        <v>0</v>
      </c>
      <c r="E2086">
        <v>1</v>
      </c>
      <c r="F2086">
        <v>1</v>
      </c>
    </row>
    <row r="2087" spans="1:6">
      <c r="A2087" t="s">
        <v>192</v>
      </c>
      <c r="B2087" t="s">
        <v>34</v>
      </c>
      <c r="C2087" s="3">
        <v>72.51</v>
      </c>
      <c r="D2087">
        <v>1</v>
      </c>
      <c r="E2087">
        <v>1</v>
      </c>
      <c r="F2087">
        <v>1</v>
      </c>
    </row>
    <row r="2088" spans="1:6">
      <c r="A2088" t="s">
        <v>192</v>
      </c>
      <c r="B2088" t="s">
        <v>35</v>
      </c>
      <c r="C2088" s="3">
        <v>6.8323</v>
      </c>
      <c r="D2088">
        <v>1</v>
      </c>
      <c r="E2088">
        <v>1</v>
      </c>
      <c r="F2088">
        <v>1</v>
      </c>
    </row>
    <row r="2089" spans="1:6">
      <c r="A2089" t="s">
        <v>192</v>
      </c>
      <c r="B2089" t="s">
        <v>36</v>
      </c>
      <c r="C2089" s="3">
        <v>495.410073</v>
      </c>
      <c r="D2089">
        <v>1</v>
      </c>
      <c r="E2089">
        <v>1</v>
      </c>
      <c r="F2089">
        <v>1</v>
      </c>
    </row>
    <row r="2090" spans="1:6">
      <c r="A2090" t="s">
        <v>192</v>
      </c>
      <c r="B2090" t="s">
        <v>40</v>
      </c>
      <c r="C2090" s="3">
        <v>83</v>
      </c>
      <c r="D2090">
        <v>1</v>
      </c>
      <c r="E2090">
        <v>1</v>
      </c>
      <c r="F2090">
        <v>1</v>
      </c>
    </row>
    <row r="2091" spans="1:6">
      <c r="A2091" t="s">
        <v>192</v>
      </c>
      <c r="B2091" t="s">
        <v>41</v>
      </c>
      <c r="C2091" s="3">
        <v>92.1</v>
      </c>
      <c r="D2091">
        <v>1</v>
      </c>
      <c r="E2091">
        <v>1</v>
      </c>
      <c r="F2091">
        <v>1</v>
      </c>
    </row>
    <row r="2092" spans="1:6">
      <c r="A2092" t="s">
        <v>192</v>
      </c>
      <c r="B2092" t="s">
        <v>42</v>
      </c>
      <c r="C2092" s="3">
        <v>98.8</v>
      </c>
      <c r="D2092">
        <v>1</v>
      </c>
      <c r="E2092">
        <v>1</v>
      </c>
      <c r="F2092">
        <v>1</v>
      </c>
    </row>
    <row r="2093" spans="1:6">
      <c r="A2093" t="s">
        <v>192</v>
      </c>
      <c r="B2093" t="s">
        <v>46</v>
      </c>
      <c r="C2093" s="3">
        <v>88.6</v>
      </c>
      <c r="D2093">
        <v>1</v>
      </c>
      <c r="E2093">
        <v>1</v>
      </c>
      <c r="F2093">
        <v>1</v>
      </c>
    </row>
    <row r="2094" spans="1:6">
      <c r="A2094" t="s">
        <v>192</v>
      </c>
      <c r="B2094" t="s">
        <v>392</v>
      </c>
      <c r="C2094" s="3"/>
      <c r="D2094">
        <v>0</v>
      </c>
      <c r="E2094">
        <v>1</v>
      </c>
      <c r="F2094">
        <v>1</v>
      </c>
    </row>
    <row r="2095" spans="1:6">
      <c r="A2095" t="s">
        <v>192</v>
      </c>
      <c r="B2095" t="s">
        <v>393</v>
      </c>
      <c r="C2095" s="3"/>
      <c r="D2095">
        <v>0</v>
      </c>
      <c r="E2095">
        <v>1</v>
      </c>
      <c r="F2095">
        <v>1</v>
      </c>
    </row>
    <row r="2096" spans="1:6">
      <c r="A2096" t="s">
        <v>192</v>
      </c>
      <c r="B2096" t="s">
        <v>394</v>
      </c>
      <c r="C2096" s="3"/>
      <c r="D2096">
        <v>0</v>
      </c>
      <c r="E2096">
        <v>1</v>
      </c>
      <c r="F2096">
        <v>1</v>
      </c>
    </row>
    <row r="2097" spans="1:6">
      <c r="A2097" t="s">
        <v>192</v>
      </c>
      <c r="B2097" t="s">
        <v>39</v>
      </c>
      <c r="C2097" s="3">
        <v>11.8077747088836</v>
      </c>
      <c r="D2097">
        <v>1</v>
      </c>
      <c r="E2097">
        <v>1</v>
      </c>
      <c r="F2097">
        <v>1</v>
      </c>
    </row>
    <row r="2098" spans="1:6">
      <c r="A2098" t="s">
        <v>192</v>
      </c>
      <c r="B2098" t="s">
        <v>43</v>
      </c>
      <c r="C2098" s="3">
        <v>-0.900000000000006</v>
      </c>
      <c r="D2098">
        <v>1</v>
      </c>
      <c r="E2098">
        <v>1</v>
      </c>
      <c r="F2098">
        <v>1</v>
      </c>
    </row>
    <row r="2099" spans="1:6">
      <c r="A2099" t="s">
        <v>192</v>
      </c>
      <c r="B2099" t="s">
        <v>44</v>
      </c>
      <c r="C2099" s="3">
        <v>0.299999999999997</v>
      </c>
      <c r="D2099">
        <v>1</v>
      </c>
      <c r="E2099">
        <v>1</v>
      </c>
      <c r="F2099">
        <v>1</v>
      </c>
    </row>
    <row r="2100" spans="1:6">
      <c r="A2100" t="s">
        <v>192</v>
      </c>
      <c r="B2100" t="s">
        <v>45</v>
      </c>
      <c r="C2100" s="3">
        <v>0.599999999999994</v>
      </c>
      <c r="D2100">
        <v>1</v>
      </c>
      <c r="E2100">
        <v>1</v>
      </c>
      <c r="F2100">
        <v>1</v>
      </c>
    </row>
    <row r="2101" spans="1:6">
      <c r="A2101" t="s">
        <v>192</v>
      </c>
      <c r="B2101" t="s">
        <v>396</v>
      </c>
      <c r="C2101" s="3"/>
      <c r="D2101">
        <v>0</v>
      </c>
      <c r="E2101">
        <v>1</v>
      </c>
      <c r="F2101">
        <v>1</v>
      </c>
    </row>
    <row r="2102" spans="1:6">
      <c r="A2102" t="s">
        <v>193</v>
      </c>
      <c r="B2102" t="s">
        <v>34</v>
      </c>
      <c r="C2102" s="3">
        <v>67.65</v>
      </c>
      <c r="D2102">
        <v>1</v>
      </c>
      <c r="E2102">
        <v>1</v>
      </c>
      <c r="F2102">
        <v>1</v>
      </c>
    </row>
    <row r="2103" spans="1:6">
      <c r="A2103" t="s">
        <v>193</v>
      </c>
      <c r="B2103" t="s">
        <v>35</v>
      </c>
      <c r="C2103" s="3">
        <v>6.8277</v>
      </c>
      <c r="D2103">
        <v>1</v>
      </c>
      <c r="E2103">
        <v>1</v>
      </c>
      <c r="F2103">
        <v>1</v>
      </c>
    </row>
    <row r="2104" spans="1:6">
      <c r="A2104" t="s">
        <v>193</v>
      </c>
      <c r="B2104" t="s">
        <v>36</v>
      </c>
      <c r="C2104" s="3">
        <v>461.893905</v>
      </c>
      <c r="D2104">
        <v>1</v>
      </c>
      <c r="E2104">
        <v>1</v>
      </c>
      <c r="F2104">
        <v>1</v>
      </c>
    </row>
    <row r="2105" spans="1:6">
      <c r="A2105" t="s">
        <v>193</v>
      </c>
      <c r="B2105" t="s">
        <v>40</v>
      </c>
      <c r="C2105" s="3">
        <v>85.7</v>
      </c>
      <c r="D2105">
        <v>1</v>
      </c>
      <c r="E2105">
        <v>1</v>
      </c>
      <c r="F2105">
        <v>1</v>
      </c>
    </row>
    <row r="2106" spans="1:6">
      <c r="A2106" t="s">
        <v>193</v>
      </c>
      <c r="B2106" t="s">
        <v>41</v>
      </c>
      <c r="C2106" s="3">
        <v>93</v>
      </c>
      <c r="D2106">
        <v>1</v>
      </c>
      <c r="E2106">
        <v>1</v>
      </c>
      <c r="F2106">
        <v>1</v>
      </c>
    </row>
    <row r="2107" spans="1:6">
      <c r="A2107" t="s">
        <v>193</v>
      </c>
      <c r="B2107" t="s">
        <v>42</v>
      </c>
      <c r="C2107" s="3">
        <v>99.2</v>
      </c>
      <c r="D2107">
        <v>1</v>
      </c>
      <c r="E2107">
        <v>1</v>
      </c>
      <c r="F2107">
        <v>1</v>
      </c>
    </row>
    <row r="2108" spans="1:6">
      <c r="A2108" t="s">
        <v>193</v>
      </c>
      <c r="B2108" t="s">
        <v>46</v>
      </c>
      <c r="C2108" s="3">
        <v>89.9</v>
      </c>
      <c r="D2108">
        <v>1</v>
      </c>
      <c r="E2108">
        <v>1</v>
      </c>
      <c r="F2108">
        <v>1</v>
      </c>
    </row>
    <row r="2109" spans="1:6">
      <c r="A2109" t="s">
        <v>193</v>
      </c>
      <c r="B2109" t="s">
        <v>392</v>
      </c>
      <c r="C2109" s="3"/>
      <c r="D2109">
        <v>0</v>
      </c>
      <c r="E2109">
        <v>1</v>
      </c>
      <c r="F2109">
        <v>1</v>
      </c>
    </row>
    <row r="2110" spans="1:6">
      <c r="A2110" t="s">
        <v>193</v>
      </c>
      <c r="B2110" t="s">
        <v>393</v>
      </c>
      <c r="C2110" s="3"/>
      <c r="D2110">
        <v>0</v>
      </c>
      <c r="E2110">
        <v>1</v>
      </c>
      <c r="F2110">
        <v>1</v>
      </c>
    </row>
    <row r="2111" spans="1:6">
      <c r="A2111" t="s">
        <v>193</v>
      </c>
      <c r="B2111" t="s">
        <v>394</v>
      </c>
      <c r="C2111" s="3"/>
      <c r="D2111">
        <v>0</v>
      </c>
      <c r="E2111">
        <v>1</v>
      </c>
      <c r="F2111">
        <v>1</v>
      </c>
    </row>
    <row r="2112" spans="1:6">
      <c r="A2112" t="s">
        <v>193</v>
      </c>
      <c r="B2112" t="s">
        <v>39</v>
      </c>
      <c r="C2112" s="3">
        <v>-7.00506280600982</v>
      </c>
      <c r="D2112">
        <v>1</v>
      </c>
      <c r="E2112">
        <v>1</v>
      </c>
      <c r="F2112">
        <v>1</v>
      </c>
    </row>
    <row r="2113" spans="1:6">
      <c r="A2113" t="s">
        <v>193</v>
      </c>
      <c r="B2113" t="s">
        <v>43</v>
      </c>
      <c r="C2113" s="3">
        <v>2.7</v>
      </c>
      <c r="D2113">
        <v>1</v>
      </c>
      <c r="E2113">
        <v>1</v>
      </c>
      <c r="F2113">
        <v>1</v>
      </c>
    </row>
    <row r="2114" spans="1:6">
      <c r="A2114" t="s">
        <v>193</v>
      </c>
      <c r="B2114" t="s">
        <v>44</v>
      </c>
      <c r="C2114" s="3">
        <v>0.900000000000006</v>
      </c>
      <c r="D2114">
        <v>1</v>
      </c>
      <c r="E2114">
        <v>1</v>
      </c>
      <c r="F2114">
        <v>1</v>
      </c>
    </row>
    <row r="2115" spans="1:6">
      <c r="A2115" t="s">
        <v>193</v>
      </c>
      <c r="B2115" t="s">
        <v>45</v>
      </c>
      <c r="C2115" s="3">
        <v>0.400000000000006</v>
      </c>
      <c r="D2115">
        <v>1</v>
      </c>
      <c r="E2115">
        <v>1</v>
      </c>
      <c r="F2115">
        <v>1</v>
      </c>
    </row>
    <row r="2116" spans="1:6">
      <c r="A2116" t="s">
        <v>193</v>
      </c>
      <c r="B2116" t="s">
        <v>396</v>
      </c>
      <c r="C2116" s="3"/>
      <c r="D2116">
        <v>0</v>
      </c>
      <c r="E2116">
        <v>1</v>
      </c>
      <c r="F2116">
        <v>1</v>
      </c>
    </row>
    <row r="2117" spans="1:6">
      <c r="A2117" t="s">
        <v>194</v>
      </c>
      <c r="B2117" t="s">
        <v>34</v>
      </c>
      <c r="C2117" s="3">
        <v>72.77</v>
      </c>
      <c r="D2117">
        <v>1</v>
      </c>
      <c r="E2117">
        <v>1</v>
      </c>
      <c r="F2117">
        <v>1</v>
      </c>
    </row>
    <row r="2118" spans="1:6">
      <c r="A2118" t="s">
        <v>194</v>
      </c>
      <c r="B2118" t="s">
        <v>35</v>
      </c>
      <c r="C2118" s="3">
        <v>6.8267</v>
      </c>
      <c r="D2118">
        <v>1</v>
      </c>
      <c r="E2118">
        <v>1</v>
      </c>
      <c r="F2118">
        <v>1</v>
      </c>
    </row>
    <row r="2119" spans="1:6">
      <c r="A2119" t="s">
        <v>194</v>
      </c>
      <c r="B2119" t="s">
        <v>36</v>
      </c>
      <c r="C2119" s="3">
        <v>496.778959</v>
      </c>
      <c r="D2119">
        <v>1</v>
      </c>
      <c r="E2119">
        <v>1</v>
      </c>
      <c r="F2119">
        <v>1</v>
      </c>
    </row>
    <row r="2120" spans="1:6">
      <c r="A2120" t="s">
        <v>194</v>
      </c>
      <c r="B2120" t="s">
        <v>40</v>
      </c>
      <c r="C2120" s="3">
        <v>87.5</v>
      </c>
      <c r="D2120">
        <v>1</v>
      </c>
      <c r="E2120">
        <v>1</v>
      </c>
      <c r="F2120">
        <v>1</v>
      </c>
    </row>
    <row r="2121" spans="1:6">
      <c r="A2121" t="s">
        <v>194</v>
      </c>
      <c r="B2121" t="s">
        <v>41</v>
      </c>
      <c r="C2121" s="3">
        <v>94.2</v>
      </c>
      <c r="D2121">
        <v>1</v>
      </c>
      <c r="E2121">
        <v>1</v>
      </c>
      <c r="F2121">
        <v>1</v>
      </c>
    </row>
    <row r="2122" spans="1:6">
      <c r="A2122" t="s">
        <v>194</v>
      </c>
      <c r="B2122" t="s">
        <v>42</v>
      </c>
      <c r="C2122" s="3">
        <v>99.5</v>
      </c>
      <c r="D2122">
        <v>1</v>
      </c>
      <c r="E2122">
        <v>1</v>
      </c>
      <c r="F2122">
        <v>1</v>
      </c>
    </row>
    <row r="2123" spans="1:6">
      <c r="A2123" t="s">
        <v>194</v>
      </c>
      <c r="B2123" t="s">
        <v>46</v>
      </c>
      <c r="C2123" s="3">
        <v>91.6</v>
      </c>
      <c r="D2123">
        <v>1</v>
      </c>
      <c r="E2123">
        <v>1</v>
      </c>
      <c r="F2123">
        <v>1</v>
      </c>
    </row>
    <row r="2124" spans="1:6">
      <c r="A2124" t="s">
        <v>194</v>
      </c>
      <c r="B2124" t="s">
        <v>392</v>
      </c>
      <c r="C2124" s="3"/>
      <c r="D2124">
        <v>0</v>
      </c>
      <c r="E2124">
        <v>1</v>
      </c>
      <c r="F2124">
        <v>1</v>
      </c>
    </row>
    <row r="2125" spans="1:6">
      <c r="A2125" t="s">
        <v>194</v>
      </c>
      <c r="B2125" t="s">
        <v>393</v>
      </c>
      <c r="C2125" s="3"/>
      <c r="D2125">
        <v>0</v>
      </c>
      <c r="E2125">
        <v>1</v>
      </c>
      <c r="F2125">
        <v>1</v>
      </c>
    </row>
    <row r="2126" spans="1:6">
      <c r="A2126" t="s">
        <v>194</v>
      </c>
      <c r="B2126" t="s">
        <v>394</v>
      </c>
      <c r="C2126" s="3"/>
      <c r="D2126">
        <v>0</v>
      </c>
      <c r="E2126">
        <v>1</v>
      </c>
      <c r="F2126">
        <v>1</v>
      </c>
    </row>
    <row r="2127" spans="1:6">
      <c r="A2127" t="s">
        <v>194</v>
      </c>
      <c r="B2127" t="s">
        <v>39</v>
      </c>
      <c r="C2127" s="3">
        <v>7.28099548101338</v>
      </c>
      <c r="D2127">
        <v>1</v>
      </c>
      <c r="E2127">
        <v>1</v>
      </c>
      <c r="F2127">
        <v>1</v>
      </c>
    </row>
    <row r="2128" spans="1:6">
      <c r="A2128" t="s">
        <v>194</v>
      </c>
      <c r="B2128" t="s">
        <v>43</v>
      </c>
      <c r="C2128" s="3">
        <v>1.8</v>
      </c>
      <c r="D2128">
        <v>1</v>
      </c>
      <c r="E2128">
        <v>1</v>
      </c>
      <c r="F2128">
        <v>1</v>
      </c>
    </row>
    <row r="2129" spans="1:6">
      <c r="A2129" t="s">
        <v>194</v>
      </c>
      <c r="B2129" t="s">
        <v>44</v>
      </c>
      <c r="C2129" s="3">
        <v>1.2</v>
      </c>
      <c r="D2129">
        <v>1</v>
      </c>
      <c r="E2129">
        <v>1</v>
      </c>
      <c r="F2129">
        <v>1</v>
      </c>
    </row>
    <row r="2130" spans="1:6">
      <c r="A2130" t="s">
        <v>194</v>
      </c>
      <c r="B2130" t="s">
        <v>45</v>
      </c>
      <c r="C2130" s="3">
        <v>0.299999999999997</v>
      </c>
      <c r="D2130">
        <v>1</v>
      </c>
      <c r="E2130">
        <v>1</v>
      </c>
      <c r="F2130">
        <v>1</v>
      </c>
    </row>
    <row r="2131" spans="1:6">
      <c r="A2131" t="s">
        <v>194</v>
      </c>
      <c r="B2131" t="s">
        <v>396</v>
      </c>
      <c r="C2131" s="3"/>
      <c r="D2131">
        <v>0</v>
      </c>
      <c r="E2131">
        <v>1</v>
      </c>
      <c r="F2131">
        <v>1</v>
      </c>
    </row>
    <row r="2132" spans="1:6">
      <c r="A2132" t="s">
        <v>195</v>
      </c>
      <c r="B2132" t="s">
        <v>34</v>
      </c>
      <c r="C2132" s="3">
        <v>76.66</v>
      </c>
      <c r="D2132">
        <v>1</v>
      </c>
      <c r="E2132">
        <v>1</v>
      </c>
      <c r="F2132">
        <v>1</v>
      </c>
    </row>
    <row r="2133" spans="1:6">
      <c r="A2133" t="s">
        <v>195</v>
      </c>
      <c r="B2133" t="s">
        <v>35</v>
      </c>
      <c r="C2133" s="3">
        <v>6.8271</v>
      </c>
      <c r="D2133">
        <v>1</v>
      </c>
      <c r="E2133">
        <v>1</v>
      </c>
      <c r="F2133">
        <v>1</v>
      </c>
    </row>
    <row r="2134" spans="1:6">
      <c r="A2134" t="s">
        <v>195</v>
      </c>
      <c r="B2134" t="s">
        <v>36</v>
      </c>
      <c r="C2134" s="3">
        <v>523.365486</v>
      </c>
      <c r="D2134">
        <v>1</v>
      </c>
      <c r="E2134">
        <v>1</v>
      </c>
      <c r="F2134">
        <v>1</v>
      </c>
    </row>
    <row r="2135" spans="1:6">
      <c r="A2135" t="s">
        <v>195</v>
      </c>
      <c r="B2135" t="s">
        <v>40</v>
      </c>
      <c r="C2135" s="3">
        <v>95</v>
      </c>
      <c r="D2135">
        <v>1</v>
      </c>
      <c r="E2135">
        <v>1</v>
      </c>
      <c r="F2135">
        <v>1</v>
      </c>
    </row>
    <row r="2136" spans="1:6">
      <c r="A2136" t="s">
        <v>195</v>
      </c>
      <c r="B2136" t="s">
        <v>41</v>
      </c>
      <c r="C2136" s="3">
        <v>97.9</v>
      </c>
      <c r="D2136">
        <v>1</v>
      </c>
      <c r="E2136">
        <v>1</v>
      </c>
      <c r="F2136">
        <v>1</v>
      </c>
    </row>
    <row r="2137" spans="1:6">
      <c r="A2137" t="s">
        <v>195</v>
      </c>
      <c r="B2137" t="s">
        <v>42</v>
      </c>
      <c r="C2137" s="3">
        <v>100.6</v>
      </c>
      <c r="D2137">
        <v>1</v>
      </c>
      <c r="E2137">
        <v>1</v>
      </c>
      <c r="F2137">
        <v>1</v>
      </c>
    </row>
    <row r="2138" spans="1:6">
      <c r="A2138" t="s">
        <v>195</v>
      </c>
      <c r="B2138" t="s">
        <v>46</v>
      </c>
      <c r="C2138" s="3">
        <v>96.4</v>
      </c>
      <c r="D2138">
        <v>1</v>
      </c>
      <c r="E2138">
        <v>1</v>
      </c>
      <c r="F2138">
        <v>1</v>
      </c>
    </row>
    <row r="2139" spans="1:6">
      <c r="A2139" t="s">
        <v>195</v>
      </c>
      <c r="B2139" t="s">
        <v>392</v>
      </c>
      <c r="C2139" s="3"/>
      <c r="D2139">
        <v>0</v>
      </c>
      <c r="E2139">
        <v>1</v>
      </c>
      <c r="F2139">
        <v>1</v>
      </c>
    </row>
    <row r="2140" spans="1:6">
      <c r="A2140" t="s">
        <v>195</v>
      </c>
      <c r="B2140" t="s">
        <v>393</v>
      </c>
      <c r="C2140" s="3"/>
      <c r="D2140">
        <v>0</v>
      </c>
      <c r="E2140">
        <v>1</v>
      </c>
      <c r="F2140">
        <v>1</v>
      </c>
    </row>
    <row r="2141" spans="1:6">
      <c r="A2141" t="s">
        <v>195</v>
      </c>
      <c r="B2141" t="s">
        <v>394</v>
      </c>
      <c r="C2141" s="3"/>
      <c r="D2141">
        <v>0</v>
      </c>
      <c r="E2141">
        <v>1</v>
      </c>
      <c r="F2141">
        <v>1</v>
      </c>
    </row>
    <row r="2142" spans="1:6">
      <c r="A2142" t="s">
        <v>195</v>
      </c>
      <c r="B2142" t="s">
        <v>39</v>
      </c>
      <c r="C2142" s="3">
        <v>5.21348693407832</v>
      </c>
      <c r="D2142">
        <v>1</v>
      </c>
      <c r="E2142">
        <v>1</v>
      </c>
      <c r="F2142">
        <v>1</v>
      </c>
    </row>
    <row r="2143" spans="1:6">
      <c r="A2143" t="s">
        <v>195</v>
      </c>
      <c r="B2143" t="s">
        <v>43</v>
      </c>
      <c r="C2143" s="3">
        <v>7.5</v>
      </c>
      <c r="D2143">
        <v>1</v>
      </c>
      <c r="E2143">
        <v>1</v>
      </c>
      <c r="F2143">
        <v>1</v>
      </c>
    </row>
    <row r="2144" spans="1:6">
      <c r="A2144" t="s">
        <v>195</v>
      </c>
      <c r="B2144" t="s">
        <v>44</v>
      </c>
      <c r="C2144" s="3">
        <v>3.7</v>
      </c>
      <c r="D2144">
        <v>1</v>
      </c>
      <c r="E2144">
        <v>1</v>
      </c>
      <c r="F2144">
        <v>1</v>
      </c>
    </row>
    <row r="2145" spans="1:6">
      <c r="A2145" t="s">
        <v>195</v>
      </c>
      <c r="B2145" t="s">
        <v>45</v>
      </c>
      <c r="C2145" s="3">
        <v>1.09999999999999</v>
      </c>
      <c r="D2145">
        <v>1</v>
      </c>
      <c r="E2145">
        <v>1</v>
      </c>
      <c r="F2145">
        <v>1</v>
      </c>
    </row>
    <row r="2146" spans="1:6">
      <c r="A2146" t="s">
        <v>195</v>
      </c>
      <c r="B2146" t="s">
        <v>396</v>
      </c>
      <c r="C2146" s="3"/>
      <c r="D2146">
        <v>0</v>
      </c>
      <c r="E2146">
        <v>1</v>
      </c>
      <c r="F2146">
        <v>1</v>
      </c>
    </row>
    <row r="2147" spans="1:6">
      <c r="A2147" t="s">
        <v>196</v>
      </c>
      <c r="B2147" t="s">
        <v>34</v>
      </c>
      <c r="C2147" s="3">
        <v>74.46</v>
      </c>
      <c r="D2147">
        <v>1</v>
      </c>
      <c r="E2147">
        <v>1</v>
      </c>
      <c r="F2147">
        <v>1</v>
      </c>
    </row>
    <row r="2148" spans="1:6">
      <c r="A2148" t="s">
        <v>196</v>
      </c>
      <c r="B2148" t="s">
        <v>35</v>
      </c>
      <c r="C2148" s="3">
        <v>6.8275</v>
      </c>
      <c r="D2148">
        <v>1</v>
      </c>
      <c r="E2148">
        <v>1</v>
      </c>
      <c r="F2148">
        <v>1</v>
      </c>
    </row>
    <row r="2149" spans="1:6">
      <c r="A2149" t="s">
        <v>196</v>
      </c>
      <c r="B2149" t="s">
        <v>36</v>
      </c>
      <c r="C2149" s="3">
        <v>508.37565</v>
      </c>
      <c r="D2149">
        <v>1</v>
      </c>
      <c r="E2149">
        <v>1</v>
      </c>
      <c r="F2149">
        <v>1</v>
      </c>
    </row>
    <row r="2150" spans="1:6">
      <c r="A2150" t="s">
        <v>196</v>
      </c>
      <c r="B2150" t="s">
        <v>40</v>
      </c>
      <c r="C2150" s="3">
        <v>110.5</v>
      </c>
      <c r="D2150">
        <v>1</v>
      </c>
      <c r="E2150">
        <v>1</v>
      </c>
      <c r="F2150">
        <v>1</v>
      </c>
    </row>
    <row r="2151" spans="1:6">
      <c r="A2151" t="s">
        <v>196</v>
      </c>
      <c r="B2151" t="s">
        <v>41</v>
      </c>
      <c r="C2151" s="3">
        <v>101.7</v>
      </c>
      <c r="D2151">
        <v>1</v>
      </c>
      <c r="E2151">
        <v>1</v>
      </c>
      <c r="F2151">
        <v>1</v>
      </c>
    </row>
    <row r="2152" spans="1:6">
      <c r="A2152" t="s">
        <v>196</v>
      </c>
      <c r="B2152" t="s">
        <v>42</v>
      </c>
      <c r="C2152" s="3">
        <v>101.9</v>
      </c>
      <c r="D2152">
        <v>1</v>
      </c>
      <c r="E2152">
        <v>1</v>
      </c>
      <c r="F2152">
        <v>1</v>
      </c>
    </row>
    <row r="2153" spans="1:6">
      <c r="A2153" t="s">
        <v>196</v>
      </c>
      <c r="B2153" t="s">
        <v>46</v>
      </c>
      <c r="C2153" s="3">
        <v>103</v>
      </c>
      <c r="D2153">
        <v>1</v>
      </c>
      <c r="E2153">
        <v>1</v>
      </c>
      <c r="F2153">
        <v>1</v>
      </c>
    </row>
    <row r="2154" spans="1:6">
      <c r="A2154" t="s">
        <v>196</v>
      </c>
      <c r="B2154" t="s">
        <v>392</v>
      </c>
      <c r="C2154" s="3"/>
      <c r="D2154">
        <v>0</v>
      </c>
      <c r="E2154">
        <v>1</v>
      </c>
      <c r="F2154">
        <v>1</v>
      </c>
    </row>
    <row r="2155" spans="1:6">
      <c r="A2155" t="s">
        <v>196</v>
      </c>
      <c r="B2155" t="s">
        <v>393</v>
      </c>
      <c r="C2155" s="3"/>
      <c r="D2155">
        <v>0</v>
      </c>
      <c r="E2155">
        <v>1</v>
      </c>
      <c r="F2155">
        <v>1</v>
      </c>
    </row>
    <row r="2156" spans="1:6">
      <c r="A2156" t="s">
        <v>196</v>
      </c>
      <c r="B2156" t="s">
        <v>394</v>
      </c>
      <c r="C2156" s="3"/>
      <c r="D2156">
        <v>0</v>
      </c>
      <c r="E2156">
        <v>1</v>
      </c>
      <c r="F2156">
        <v>1</v>
      </c>
    </row>
    <row r="2157" spans="1:6">
      <c r="A2157" t="s">
        <v>196</v>
      </c>
      <c r="B2157" t="s">
        <v>39</v>
      </c>
      <c r="C2157" s="3">
        <v>-2.90594031932607</v>
      </c>
      <c r="D2157">
        <v>1</v>
      </c>
      <c r="E2157">
        <v>1</v>
      </c>
      <c r="F2157">
        <v>1</v>
      </c>
    </row>
    <row r="2158" spans="1:6">
      <c r="A2158" t="s">
        <v>196</v>
      </c>
      <c r="B2158" t="s">
        <v>43</v>
      </c>
      <c r="C2158" s="3">
        <v>15.5</v>
      </c>
      <c r="D2158">
        <v>1</v>
      </c>
      <c r="E2158">
        <v>1</v>
      </c>
      <c r="F2158">
        <v>1</v>
      </c>
    </row>
    <row r="2159" spans="1:6">
      <c r="A2159" t="s">
        <v>196</v>
      </c>
      <c r="B2159" t="s">
        <v>44</v>
      </c>
      <c r="C2159" s="3">
        <v>3.8</v>
      </c>
      <c r="D2159">
        <v>1</v>
      </c>
      <c r="E2159">
        <v>1</v>
      </c>
      <c r="F2159">
        <v>1</v>
      </c>
    </row>
    <row r="2160" spans="1:6">
      <c r="A2160" t="s">
        <v>196</v>
      </c>
      <c r="B2160" t="s">
        <v>45</v>
      </c>
      <c r="C2160" s="3">
        <v>1.30000000000001</v>
      </c>
      <c r="D2160">
        <v>1</v>
      </c>
      <c r="E2160">
        <v>1</v>
      </c>
      <c r="F2160">
        <v>1</v>
      </c>
    </row>
    <row r="2161" spans="1:6">
      <c r="A2161" t="s">
        <v>196</v>
      </c>
      <c r="B2161" t="s">
        <v>396</v>
      </c>
      <c r="C2161" s="3"/>
      <c r="D2161">
        <v>0</v>
      </c>
      <c r="E2161">
        <v>1</v>
      </c>
      <c r="F2161">
        <v>1</v>
      </c>
    </row>
    <row r="2162" spans="1:6">
      <c r="A2162" t="s">
        <v>197</v>
      </c>
      <c r="B2162" t="s">
        <v>34</v>
      </c>
      <c r="C2162" s="3">
        <v>76.17</v>
      </c>
      <c r="D2162">
        <v>1</v>
      </c>
      <c r="E2162">
        <v>1</v>
      </c>
      <c r="F2162">
        <v>1</v>
      </c>
    </row>
    <row r="2163" spans="1:6">
      <c r="A2163" t="s">
        <v>197</v>
      </c>
      <c r="B2163" t="s">
        <v>35</v>
      </c>
      <c r="C2163" s="3">
        <v>6.8269</v>
      </c>
      <c r="D2163">
        <v>1</v>
      </c>
      <c r="E2163">
        <v>1</v>
      </c>
      <c r="F2163">
        <v>1</v>
      </c>
    </row>
    <row r="2164" spans="1:6">
      <c r="A2164" t="s">
        <v>197</v>
      </c>
      <c r="B2164" t="s">
        <v>36</v>
      </c>
      <c r="C2164" s="3">
        <v>520.004973</v>
      </c>
      <c r="D2164">
        <v>1</v>
      </c>
      <c r="E2164">
        <v>1</v>
      </c>
      <c r="F2164">
        <v>1</v>
      </c>
    </row>
    <row r="2165" spans="1:6">
      <c r="A2165" t="s">
        <v>197</v>
      </c>
      <c r="B2165" t="s">
        <v>40</v>
      </c>
      <c r="C2165" s="3">
        <v>119.3</v>
      </c>
      <c r="D2165">
        <v>1</v>
      </c>
      <c r="E2165">
        <v>1</v>
      </c>
      <c r="F2165">
        <v>1</v>
      </c>
    </row>
    <row r="2166" spans="1:6">
      <c r="A2166" t="s">
        <v>197</v>
      </c>
      <c r="B2166" t="s">
        <v>41</v>
      </c>
      <c r="C2166" s="3">
        <v>104.3</v>
      </c>
      <c r="D2166">
        <v>1</v>
      </c>
      <c r="E2166">
        <v>1</v>
      </c>
      <c r="F2166">
        <v>1</v>
      </c>
    </row>
    <row r="2167" spans="1:6">
      <c r="A2167" t="s">
        <v>197</v>
      </c>
      <c r="B2167" t="s">
        <v>42</v>
      </c>
      <c r="C2167" s="3">
        <v>101.5</v>
      </c>
      <c r="D2167">
        <v>1</v>
      </c>
      <c r="E2167">
        <v>1</v>
      </c>
      <c r="F2167">
        <v>1</v>
      </c>
    </row>
    <row r="2168" spans="1:6">
      <c r="A2168" t="s">
        <v>197</v>
      </c>
      <c r="B2168" t="s">
        <v>46</v>
      </c>
      <c r="C2168" s="3">
        <v>108</v>
      </c>
      <c r="D2168">
        <v>1</v>
      </c>
      <c r="E2168">
        <v>1</v>
      </c>
      <c r="F2168">
        <v>1</v>
      </c>
    </row>
    <row r="2169" spans="1:6">
      <c r="A2169" t="s">
        <v>197</v>
      </c>
      <c r="B2169" t="s">
        <v>392</v>
      </c>
      <c r="C2169" s="3"/>
      <c r="D2169">
        <v>0</v>
      </c>
      <c r="E2169">
        <v>1</v>
      </c>
      <c r="F2169">
        <v>1</v>
      </c>
    </row>
    <row r="2170" spans="1:6">
      <c r="A2170" t="s">
        <v>197</v>
      </c>
      <c r="B2170" t="s">
        <v>393</v>
      </c>
      <c r="C2170" s="3"/>
      <c r="D2170">
        <v>0</v>
      </c>
      <c r="E2170">
        <v>1</v>
      </c>
      <c r="F2170">
        <v>1</v>
      </c>
    </row>
    <row r="2171" spans="1:6">
      <c r="A2171" t="s">
        <v>197</v>
      </c>
      <c r="B2171" t="s">
        <v>394</v>
      </c>
      <c r="C2171" s="3"/>
      <c r="D2171">
        <v>0</v>
      </c>
      <c r="E2171">
        <v>1</v>
      </c>
      <c r="F2171">
        <v>1</v>
      </c>
    </row>
    <row r="2172" spans="1:6">
      <c r="A2172" t="s">
        <v>197</v>
      </c>
      <c r="B2172" t="s">
        <v>39</v>
      </c>
      <c r="C2172" s="3">
        <v>2.26177321809883</v>
      </c>
      <c r="D2172">
        <v>1</v>
      </c>
      <c r="E2172">
        <v>1</v>
      </c>
      <c r="F2172">
        <v>1</v>
      </c>
    </row>
    <row r="2173" spans="1:6">
      <c r="A2173" t="s">
        <v>197</v>
      </c>
      <c r="B2173" t="s">
        <v>43</v>
      </c>
      <c r="C2173" s="3">
        <v>8.8</v>
      </c>
      <c r="D2173">
        <v>1</v>
      </c>
      <c r="E2173">
        <v>1</v>
      </c>
      <c r="F2173">
        <v>1</v>
      </c>
    </row>
    <row r="2174" spans="1:6">
      <c r="A2174" t="s">
        <v>197</v>
      </c>
      <c r="B2174" t="s">
        <v>44</v>
      </c>
      <c r="C2174" s="3">
        <v>2.59999999999999</v>
      </c>
      <c r="D2174">
        <v>1</v>
      </c>
      <c r="E2174">
        <v>1</v>
      </c>
      <c r="F2174">
        <v>1</v>
      </c>
    </row>
    <row r="2175" spans="1:6">
      <c r="A2175" t="s">
        <v>197</v>
      </c>
      <c r="B2175" t="s">
        <v>45</v>
      </c>
      <c r="C2175" s="3">
        <v>-0.400000000000006</v>
      </c>
      <c r="D2175">
        <v>1</v>
      </c>
      <c r="E2175">
        <v>1</v>
      </c>
      <c r="F2175">
        <v>1</v>
      </c>
    </row>
    <row r="2176" spans="1:6">
      <c r="A2176" t="s">
        <v>197</v>
      </c>
      <c r="B2176" t="s">
        <v>396</v>
      </c>
      <c r="C2176" s="3"/>
      <c r="D2176">
        <v>0</v>
      </c>
      <c r="E2176">
        <v>1</v>
      </c>
      <c r="F2176">
        <v>1</v>
      </c>
    </row>
    <row r="2177" spans="1:6">
      <c r="A2177" t="s">
        <v>198</v>
      </c>
      <c r="B2177" t="s">
        <v>34</v>
      </c>
      <c r="C2177" s="3">
        <v>73.75</v>
      </c>
      <c r="D2177">
        <v>1</v>
      </c>
      <c r="E2177">
        <v>1</v>
      </c>
      <c r="F2177">
        <v>1</v>
      </c>
    </row>
    <row r="2178" spans="1:6">
      <c r="A2178" t="s">
        <v>198</v>
      </c>
      <c r="B2178" t="s">
        <v>35</v>
      </c>
      <c r="C2178" s="3">
        <v>6.8285</v>
      </c>
      <c r="D2178">
        <v>1</v>
      </c>
      <c r="E2178">
        <v>1</v>
      </c>
      <c r="F2178">
        <v>1</v>
      </c>
    </row>
    <row r="2179" spans="1:6">
      <c r="A2179" t="s">
        <v>198</v>
      </c>
      <c r="B2179" t="s">
        <v>36</v>
      </c>
      <c r="C2179" s="3">
        <v>503.601875</v>
      </c>
      <c r="D2179">
        <v>1</v>
      </c>
      <c r="E2179">
        <v>1</v>
      </c>
      <c r="F2179">
        <v>1</v>
      </c>
    </row>
    <row r="2180" spans="1:6">
      <c r="A2180" t="s">
        <v>198</v>
      </c>
      <c r="B2180" t="s">
        <v>40</v>
      </c>
      <c r="C2180" s="3">
        <v>125.4</v>
      </c>
      <c r="D2180">
        <v>1</v>
      </c>
      <c r="E2180">
        <v>1</v>
      </c>
      <c r="F2180">
        <v>1</v>
      </c>
    </row>
    <row r="2181" spans="1:6">
      <c r="A2181" t="s">
        <v>198</v>
      </c>
      <c r="B2181" t="s">
        <v>41</v>
      </c>
      <c r="C2181" s="3">
        <v>105.4</v>
      </c>
      <c r="D2181">
        <v>1</v>
      </c>
      <c r="E2181">
        <v>1</v>
      </c>
      <c r="F2181">
        <v>1</v>
      </c>
    </row>
    <row r="2182" spans="1:6">
      <c r="A2182" t="s">
        <v>198</v>
      </c>
      <c r="B2182" t="s">
        <v>42</v>
      </c>
      <c r="C2182" s="3">
        <v>102.7</v>
      </c>
      <c r="D2182">
        <v>1</v>
      </c>
      <c r="E2182">
        <v>1</v>
      </c>
      <c r="F2182">
        <v>1</v>
      </c>
    </row>
    <row r="2183" spans="1:6">
      <c r="A2183" t="s">
        <v>198</v>
      </c>
      <c r="B2183" t="s">
        <v>46</v>
      </c>
      <c r="C2183" s="3">
        <v>110.3</v>
      </c>
      <c r="D2183">
        <v>1</v>
      </c>
      <c r="E2183">
        <v>1</v>
      </c>
      <c r="F2183">
        <v>1</v>
      </c>
    </row>
    <row r="2184" spans="1:6">
      <c r="A2184" t="s">
        <v>198</v>
      </c>
      <c r="B2184" t="s">
        <v>392</v>
      </c>
      <c r="C2184" s="3"/>
      <c r="D2184">
        <v>0</v>
      </c>
      <c r="E2184">
        <v>1</v>
      </c>
      <c r="F2184">
        <v>1</v>
      </c>
    </row>
    <row r="2185" spans="1:6">
      <c r="A2185" t="s">
        <v>198</v>
      </c>
      <c r="B2185" t="s">
        <v>393</v>
      </c>
      <c r="C2185" s="3"/>
      <c r="D2185">
        <v>0</v>
      </c>
      <c r="E2185">
        <v>1</v>
      </c>
      <c r="F2185">
        <v>1</v>
      </c>
    </row>
    <row r="2186" spans="1:6">
      <c r="A2186" t="s">
        <v>198</v>
      </c>
      <c r="B2186" t="s">
        <v>394</v>
      </c>
      <c r="C2186" s="3"/>
      <c r="D2186">
        <v>0</v>
      </c>
      <c r="E2186">
        <v>1</v>
      </c>
      <c r="F2186">
        <v>1</v>
      </c>
    </row>
    <row r="2187" spans="1:6">
      <c r="A2187" t="s">
        <v>198</v>
      </c>
      <c r="B2187" t="s">
        <v>39</v>
      </c>
      <c r="C2187" s="3">
        <v>-3.20523496350106</v>
      </c>
      <c r="D2187">
        <v>1</v>
      </c>
      <c r="E2187">
        <v>1</v>
      </c>
      <c r="F2187">
        <v>1</v>
      </c>
    </row>
    <row r="2188" spans="1:6">
      <c r="A2188" t="s">
        <v>198</v>
      </c>
      <c r="B2188" t="s">
        <v>43</v>
      </c>
      <c r="C2188" s="3">
        <v>6.10000000000001</v>
      </c>
      <c r="D2188">
        <v>1</v>
      </c>
      <c r="E2188">
        <v>1</v>
      </c>
      <c r="F2188">
        <v>1</v>
      </c>
    </row>
    <row r="2189" spans="1:6">
      <c r="A2189" t="s">
        <v>198</v>
      </c>
      <c r="B2189" t="s">
        <v>44</v>
      </c>
      <c r="C2189" s="3">
        <v>1.10000000000001</v>
      </c>
      <c r="D2189">
        <v>1</v>
      </c>
      <c r="E2189">
        <v>1</v>
      </c>
      <c r="F2189">
        <v>1</v>
      </c>
    </row>
    <row r="2190" spans="1:6">
      <c r="A2190" t="s">
        <v>198</v>
      </c>
      <c r="B2190" t="s">
        <v>45</v>
      </c>
      <c r="C2190" s="3">
        <v>1.2</v>
      </c>
      <c r="D2190">
        <v>1</v>
      </c>
      <c r="E2190">
        <v>1</v>
      </c>
      <c r="F2190">
        <v>1</v>
      </c>
    </row>
    <row r="2191" spans="1:6">
      <c r="A2191" t="s">
        <v>198</v>
      </c>
      <c r="B2191" t="s">
        <v>396</v>
      </c>
      <c r="C2191" s="3"/>
      <c r="D2191">
        <v>0</v>
      </c>
      <c r="E2191">
        <v>1</v>
      </c>
      <c r="F2191">
        <v>1</v>
      </c>
    </row>
    <row r="2192" spans="1:6">
      <c r="A2192" t="s">
        <v>199</v>
      </c>
      <c r="B2192" t="s">
        <v>34</v>
      </c>
      <c r="C2192" s="3">
        <v>78.83</v>
      </c>
      <c r="D2192">
        <v>1</v>
      </c>
      <c r="E2192">
        <v>1</v>
      </c>
      <c r="F2192">
        <v>1</v>
      </c>
    </row>
    <row r="2193" spans="1:6">
      <c r="A2193" t="s">
        <v>199</v>
      </c>
      <c r="B2193" t="s">
        <v>35</v>
      </c>
      <c r="C2193" s="3">
        <v>6.8262</v>
      </c>
      <c r="D2193">
        <v>1</v>
      </c>
      <c r="E2193">
        <v>1</v>
      </c>
      <c r="F2193">
        <v>1</v>
      </c>
    </row>
    <row r="2194" spans="1:6">
      <c r="A2194" t="s">
        <v>199</v>
      </c>
      <c r="B2194" t="s">
        <v>36</v>
      </c>
      <c r="C2194" s="3">
        <v>538.109346</v>
      </c>
      <c r="D2194">
        <v>1</v>
      </c>
      <c r="E2194">
        <v>1</v>
      </c>
      <c r="F2194">
        <v>1</v>
      </c>
    </row>
    <row r="2195" spans="1:6">
      <c r="A2195" t="s">
        <v>199</v>
      </c>
      <c r="B2195" t="s">
        <v>40</v>
      </c>
      <c r="C2195" s="3">
        <v>125.6</v>
      </c>
      <c r="D2195">
        <v>1</v>
      </c>
      <c r="E2195">
        <v>1</v>
      </c>
      <c r="F2195">
        <v>1</v>
      </c>
    </row>
    <row r="2196" spans="1:6">
      <c r="A2196" t="s">
        <v>199</v>
      </c>
      <c r="B2196" t="s">
        <v>41</v>
      </c>
      <c r="C2196" s="3">
        <v>105.9</v>
      </c>
      <c r="D2196">
        <v>1</v>
      </c>
      <c r="E2196">
        <v>1</v>
      </c>
      <c r="F2196">
        <v>1</v>
      </c>
    </row>
    <row r="2197" spans="1:6">
      <c r="A2197" t="s">
        <v>199</v>
      </c>
      <c r="B2197" t="s">
        <v>42</v>
      </c>
      <c r="C2197" s="3">
        <v>102.4</v>
      </c>
      <c r="D2197">
        <v>1</v>
      </c>
      <c r="E2197">
        <v>1</v>
      </c>
      <c r="F2197">
        <v>1</v>
      </c>
    </row>
    <row r="2198" spans="1:6">
      <c r="A2198" t="s">
        <v>199</v>
      </c>
      <c r="B2198" t="s">
        <v>46</v>
      </c>
      <c r="C2198" s="3">
        <v>111.5</v>
      </c>
      <c r="D2198">
        <v>1</v>
      </c>
      <c r="E2198">
        <v>1</v>
      </c>
      <c r="F2198">
        <v>1</v>
      </c>
    </row>
    <row r="2199" spans="1:6">
      <c r="A2199" t="s">
        <v>199</v>
      </c>
      <c r="B2199" t="s">
        <v>392</v>
      </c>
      <c r="C2199" s="3"/>
      <c r="D2199">
        <v>0</v>
      </c>
      <c r="E2199">
        <v>1</v>
      </c>
      <c r="F2199">
        <v>1</v>
      </c>
    </row>
    <row r="2200" spans="1:6">
      <c r="A2200" t="s">
        <v>199</v>
      </c>
      <c r="B2200" t="s">
        <v>393</v>
      </c>
      <c r="C2200" s="3"/>
      <c r="D2200">
        <v>0</v>
      </c>
      <c r="E2200">
        <v>1</v>
      </c>
      <c r="F2200">
        <v>1</v>
      </c>
    </row>
    <row r="2201" spans="1:6">
      <c r="A2201" t="s">
        <v>199</v>
      </c>
      <c r="B2201" t="s">
        <v>394</v>
      </c>
      <c r="C2201" s="3"/>
      <c r="D2201">
        <v>0</v>
      </c>
      <c r="E2201">
        <v>1</v>
      </c>
      <c r="F2201">
        <v>1</v>
      </c>
    </row>
    <row r="2202" spans="1:6">
      <c r="A2202" t="s">
        <v>199</v>
      </c>
      <c r="B2202" t="s">
        <v>39</v>
      </c>
      <c r="C2202" s="3">
        <v>6.62757595071341</v>
      </c>
      <c r="D2202">
        <v>1</v>
      </c>
      <c r="E2202">
        <v>1</v>
      </c>
      <c r="F2202">
        <v>1</v>
      </c>
    </row>
    <row r="2203" spans="1:6">
      <c r="A2203" t="s">
        <v>199</v>
      </c>
      <c r="B2203" t="s">
        <v>43</v>
      </c>
      <c r="C2203" s="3">
        <v>0.199999999999989</v>
      </c>
      <c r="D2203">
        <v>1</v>
      </c>
      <c r="E2203">
        <v>1</v>
      </c>
      <c r="F2203">
        <v>1</v>
      </c>
    </row>
    <row r="2204" spans="1:6">
      <c r="A2204" t="s">
        <v>199</v>
      </c>
      <c r="B2204" t="s">
        <v>44</v>
      </c>
      <c r="C2204" s="3">
        <v>0.5</v>
      </c>
      <c r="D2204">
        <v>1</v>
      </c>
      <c r="E2204">
        <v>1</v>
      </c>
      <c r="F2204">
        <v>1</v>
      </c>
    </row>
    <row r="2205" spans="1:6">
      <c r="A2205" t="s">
        <v>199</v>
      </c>
      <c r="B2205" t="s">
        <v>45</v>
      </c>
      <c r="C2205" s="3">
        <v>-0.299999999999997</v>
      </c>
      <c r="D2205">
        <v>1</v>
      </c>
      <c r="E2205">
        <v>1</v>
      </c>
      <c r="F2205">
        <v>1</v>
      </c>
    </row>
    <row r="2206" spans="1:6">
      <c r="A2206" t="s">
        <v>199</v>
      </c>
      <c r="B2206" t="s">
        <v>396</v>
      </c>
      <c r="C2206" s="3"/>
      <c r="D2206">
        <v>0</v>
      </c>
      <c r="E2206">
        <v>1</v>
      </c>
      <c r="F2206">
        <v>1</v>
      </c>
    </row>
    <row r="2207" spans="1:6">
      <c r="A2207" t="s">
        <v>200</v>
      </c>
      <c r="B2207" t="s">
        <v>34</v>
      </c>
      <c r="C2207" s="3">
        <v>84.82</v>
      </c>
      <c r="D2207">
        <v>1</v>
      </c>
      <c r="E2207">
        <v>1</v>
      </c>
      <c r="F2207">
        <v>1</v>
      </c>
    </row>
    <row r="2208" spans="1:6">
      <c r="A2208" t="s">
        <v>200</v>
      </c>
      <c r="B2208" t="s">
        <v>35</v>
      </c>
      <c r="C2208" s="3">
        <v>6.8256</v>
      </c>
      <c r="D2208">
        <v>1</v>
      </c>
      <c r="E2208">
        <v>1</v>
      </c>
      <c r="F2208">
        <v>1</v>
      </c>
    </row>
    <row r="2209" spans="1:6">
      <c r="A2209" t="s">
        <v>200</v>
      </c>
      <c r="B2209" t="s">
        <v>36</v>
      </c>
      <c r="C2209" s="3">
        <v>578.947392</v>
      </c>
      <c r="D2209">
        <v>1</v>
      </c>
      <c r="E2209">
        <v>1</v>
      </c>
      <c r="F2209">
        <v>1</v>
      </c>
    </row>
    <row r="2210" spans="1:6">
      <c r="A2210" t="s">
        <v>200</v>
      </c>
      <c r="B2210" t="s">
        <v>40</v>
      </c>
      <c r="C2210" s="3">
        <v>124</v>
      </c>
      <c r="D2210">
        <v>1</v>
      </c>
      <c r="E2210">
        <v>1</v>
      </c>
      <c r="F2210">
        <v>1</v>
      </c>
    </row>
    <row r="2211" spans="1:6">
      <c r="A2211" t="s">
        <v>200</v>
      </c>
      <c r="B2211" t="s">
        <v>41</v>
      </c>
      <c r="C2211" s="3">
        <v>106.8</v>
      </c>
      <c r="D2211">
        <v>1</v>
      </c>
      <c r="E2211">
        <v>1</v>
      </c>
      <c r="F2211">
        <v>1</v>
      </c>
    </row>
    <row r="2212" spans="1:6">
      <c r="A2212" t="s">
        <v>200</v>
      </c>
      <c r="B2212" t="s">
        <v>42</v>
      </c>
      <c r="C2212" s="3">
        <v>102.8</v>
      </c>
      <c r="D2212">
        <v>1</v>
      </c>
      <c r="E2212">
        <v>1</v>
      </c>
      <c r="F2212">
        <v>1</v>
      </c>
    </row>
    <row r="2213" spans="1:6">
      <c r="A2213" t="s">
        <v>200</v>
      </c>
      <c r="B2213" t="s">
        <v>46</v>
      </c>
      <c r="C2213" s="3">
        <v>112</v>
      </c>
      <c r="D2213">
        <v>1</v>
      </c>
      <c r="E2213">
        <v>1</v>
      </c>
      <c r="F2213">
        <v>1</v>
      </c>
    </row>
    <row r="2214" spans="1:6">
      <c r="A2214" t="s">
        <v>200</v>
      </c>
      <c r="B2214" t="s">
        <v>392</v>
      </c>
      <c r="C2214" s="3"/>
      <c r="D2214">
        <v>0</v>
      </c>
      <c r="E2214">
        <v>1</v>
      </c>
      <c r="F2214">
        <v>1</v>
      </c>
    </row>
    <row r="2215" spans="1:6">
      <c r="A2215" t="s">
        <v>200</v>
      </c>
      <c r="B2215" t="s">
        <v>393</v>
      </c>
      <c r="C2215" s="3"/>
      <c r="D2215">
        <v>0</v>
      </c>
      <c r="E2215">
        <v>1</v>
      </c>
      <c r="F2215">
        <v>1</v>
      </c>
    </row>
    <row r="2216" spans="1:6">
      <c r="A2216" t="s">
        <v>200</v>
      </c>
      <c r="B2216" t="s">
        <v>394</v>
      </c>
      <c r="C2216" s="3"/>
      <c r="D2216">
        <v>0</v>
      </c>
      <c r="E2216">
        <v>1</v>
      </c>
      <c r="F2216">
        <v>1</v>
      </c>
    </row>
    <row r="2217" spans="1:6">
      <c r="A2217" t="s">
        <v>200</v>
      </c>
      <c r="B2217" t="s">
        <v>39</v>
      </c>
      <c r="C2217" s="3">
        <v>7.31498284779334</v>
      </c>
      <c r="D2217">
        <v>1</v>
      </c>
      <c r="E2217">
        <v>1</v>
      </c>
      <c r="F2217">
        <v>1</v>
      </c>
    </row>
    <row r="2218" spans="1:6">
      <c r="A2218" t="s">
        <v>200</v>
      </c>
      <c r="B2218" t="s">
        <v>43</v>
      </c>
      <c r="C2218" s="3">
        <v>-1.59999999999999</v>
      </c>
      <c r="D2218">
        <v>1</v>
      </c>
      <c r="E2218">
        <v>1</v>
      </c>
      <c r="F2218">
        <v>1</v>
      </c>
    </row>
    <row r="2219" spans="1:6">
      <c r="A2219" t="s">
        <v>200</v>
      </c>
      <c r="B2219" t="s">
        <v>44</v>
      </c>
      <c r="C2219" s="3">
        <v>0.899999999999991</v>
      </c>
      <c r="D2219">
        <v>1</v>
      </c>
      <c r="E2219">
        <v>1</v>
      </c>
      <c r="F2219">
        <v>1</v>
      </c>
    </row>
    <row r="2220" spans="1:6">
      <c r="A2220" t="s">
        <v>200</v>
      </c>
      <c r="B2220" t="s">
        <v>45</v>
      </c>
      <c r="C2220" s="3">
        <v>0.399999999999991</v>
      </c>
      <c r="D2220">
        <v>1</v>
      </c>
      <c r="E2220">
        <v>1</v>
      </c>
      <c r="F2220">
        <v>1</v>
      </c>
    </row>
    <row r="2221" spans="1:6">
      <c r="A2221" t="s">
        <v>200</v>
      </c>
      <c r="B2221" t="s">
        <v>396</v>
      </c>
      <c r="C2221" s="3"/>
      <c r="D2221">
        <v>0</v>
      </c>
      <c r="E2221">
        <v>1</v>
      </c>
      <c r="F2221">
        <v>1</v>
      </c>
    </row>
    <row r="2222" spans="1:6">
      <c r="A2222" t="s">
        <v>201</v>
      </c>
      <c r="B2222" t="s">
        <v>34</v>
      </c>
      <c r="C2222" s="3">
        <v>75.95</v>
      </c>
      <c r="D2222">
        <v>1</v>
      </c>
      <c r="E2222">
        <v>1</v>
      </c>
      <c r="F2222">
        <v>1</v>
      </c>
    </row>
    <row r="2223" spans="1:6">
      <c r="A2223" t="s">
        <v>201</v>
      </c>
      <c r="B2223" t="s">
        <v>35</v>
      </c>
      <c r="C2223" s="3">
        <v>6.8275</v>
      </c>
      <c r="D2223">
        <v>1</v>
      </c>
      <c r="E2223">
        <v>1</v>
      </c>
      <c r="F2223">
        <v>1</v>
      </c>
    </row>
    <row r="2224" spans="1:6">
      <c r="A2224" t="s">
        <v>201</v>
      </c>
      <c r="B2224" t="s">
        <v>36</v>
      </c>
      <c r="C2224" s="3">
        <v>518.548625</v>
      </c>
      <c r="D2224">
        <v>1</v>
      </c>
      <c r="E2224">
        <v>1</v>
      </c>
      <c r="F2224">
        <v>1</v>
      </c>
    </row>
    <row r="2225" spans="1:6">
      <c r="A2225" t="s">
        <v>201</v>
      </c>
      <c r="B2225" t="s">
        <v>40</v>
      </c>
      <c r="C2225" s="3">
        <v>123.4</v>
      </c>
      <c r="D2225">
        <v>1</v>
      </c>
      <c r="E2225">
        <v>1</v>
      </c>
      <c r="F2225">
        <v>1</v>
      </c>
    </row>
    <row r="2226" spans="1:6">
      <c r="A2226" t="s">
        <v>201</v>
      </c>
      <c r="B2226" t="s">
        <v>41</v>
      </c>
      <c r="C2226" s="3">
        <v>107.1</v>
      </c>
      <c r="D2226">
        <v>1</v>
      </c>
      <c r="E2226">
        <v>1</v>
      </c>
      <c r="F2226">
        <v>1</v>
      </c>
    </row>
    <row r="2227" spans="1:6">
      <c r="A2227" t="s">
        <v>201</v>
      </c>
      <c r="B2227" t="s">
        <v>42</v>
      </c>
      <c r="C2227" s="3">
        <v>103.1</v>
      </c>
      <c r="D2227">
        <v>1</v>
      </c>
      <c r="E2227">
        <v>1</v>
      </c>
      <c r="F2227">
        <v>1</v>
      </c>
    </row>
    <row r="2228" spans="1:6">
      <c r="A2228" t="s">
        <v>201</v>
      </c>
      <c r="B2228" t="s">
        <v>46</v>
      </c>
      <c r="C2228" s="3">
        <v>112.2</v>
      </c>
      <c r="D2228">
        <v>1</v>
      </c>
      <c r="E2228">
        <v>1</v>
      </c>
      <c r="F2228">
        <v>1</v>
      </c>
    </row>
    <row r="2229" spans="1:6">
      <c r="A2229" t="s">
        <v>201</v>
      </c>
      <c r="B2229" t="s">
        <v>392</v>
      </c>
      <c r="C2229" s="3"/>
      <c r="D2229">
        <v>0</v>
      </c>
      <c r="E2229">
        <v>1</v>
      </c>
      <c r="F2229">
        <v>1</v>
      </c>
    </row>
    <row r="2230" spans="1:6">
      <c r="A2230" t="s">
        <v>201</v>
      </c>
      <c r="B2230" t="s">
        <v>393</v>
      </c>
      <c r="C2230" s="3"/>
      <c r="D2230">
        <v>0</v>
      </c>
      <c r="E2230">
        <v>1</v>
      </c>
      <c r="F2230">
        <v>1</v>
      </c>
    </row>
    <row r="2231" spans="1:6">
      <c r="A2231" t="s">
        <v>201</v>
      </c>
      <c r="B2231" t="s">
        <v>394</v>
      </c>
      <c r="C2231" s="3"/>
      <c r="D2231">
        <v>0</v>
      </c>
      <c r="E2231">
        <v>1</v>
      </c>
      <c r="F2231">
        <v>1</v>
      </c>
    </row>
    <row r="2232" spans="1:6">
      <c r="A2232" t="s">
        <v>201</v>
      </c>
      <c r="B2232" t="s">
        <v>39</v>
      </c>
      <c r="C2232" s="3">
        <v>-11.0177809933834</v>
      </c>
      <c r="D2232">
        <v>1</v>
      </c>
      <c r="E2232">
        <v>1</v>
      </c>
      <c r="F2232">
        <v>1</v>
      </c>
    </row>
    <row r="2233" spans="1:6">
      <c r="A2233" t="s">
        <v>201</v>
      </c>
      <c r="B2233" t="s">
        <v>43</v>
      </c>
      <c r="C2233" s="3">
        <v>-0.599999999999994</v>
      </c>
      <c r="D2233">
        <v>1</v>
      </c>
      <c r="E2233">
        <v>1</v>
      </c>
      <c r="F2233">
        <v>1</v>
      </c>
    </row>
    <row r="2234" spans="1:6">
      <c r="A2234" t="s">
        <v>201</v>
      </c>
      <c r="B2234" t="s">
        <v>44</v>
      </c>
      <c r="C2234" s="3">
        <v>0.299999999999997</v>
      </c>
      <c r="D2234">
        <v>1</v>
      </c>
      <c r="E2234">
        <v>1</v>
      </c>
      <c r="F2234">
        <v>1</v>
      </c>
    </row>
    <row r="2235" spans="1:6">
      <c r="A2235" t="s">
        <v>201</v>
      </c>
      <c r="B2235" t="s">
        <v>45</v>
      </c>
      <c r="C2235" s="3">
        <v>0.299999999999997</v>
      </c>
      <c r="D2235">
        <v>1</v>
      </c>
      <c r="E2235">
        <v>1</v>
      </c>
      <c r="F2235">
        <v>1</v>
      </c>
    </row>
    <row r="2236" spans="1:6">
      <c r="A2236" t="s">
        <v>201</v>
      </c>
      <c r="B2236" t="s">
        <v>396</v>
      </c>
      <c r="C2236" s="3"/>
      <c r="D2236">
        <v>0</v>
      </c>
      <c r="E2236">
        <v>1</v>
      </c>
      <c r="F2236">
        <v>1</v>
      </c>
    </row>
    <row r="2237" spans="1:6">
      <c r="A2237" t="s">
        <v>202</v>
      </c>
      <c r="B2237" t="s">
        <v>34</v>
      </c>
      <c r="C2237" s="3">
        <v>74.76</v>
      </c>
      <c r="D2237">
        <v>1</v>
      </c>
      <c r="E2237">
        <v>1</v>
      </c>
      <c r="F2237">
        <v>1</v>
      </c>
    </row>
    <row r="2238" spans="1:6">
      <c r="A2238" t="s">
        <v>202</v>
      </c>
      <c r="B2238" t="s">
        <v>35</v>
      </c>
      <c r="C2238" s="3">
        <v>6.8184</v>
      </c>
      <c r="D2238">
        <v>1</v>
      </c>
      <c r="E2238">
        <v>1</v>
      </c>
      <c r="F2238">
        <v>1</v>
      </c>
    </row>
    <row r="2239" spans="1:6">
      <c r="A2239" t="s">
        <v>202</v>
      </c>
      <c r="B2239" t="s">
        <v>36</v>
      </c>
      <c r="C2239" s="3">
        <v>509.743584</v>
      </c>
      <c r="D2239">
        <v>1</v>
      </c>
      <c r="E2239">
        <v>1</v>
      </c>
      <c r="F2239">
        <v>1</v>
      </c>
    </row>
    <row r="2240" spans="1:6">
      <c r="A2240" t="s">
        <v>202</v>
      </c>
      <c r="B2240" t="s">
        <v>40</v>
      </c>
      <c r="C2240" s="3">
        <v>119.5</v>
      </c>
      <c r="D2240">
        <v>1</v>
      </c>
      <c r="E2240">
        <v>1</v>
      </c>
      <c r="F2240">
        <v>1</v>
      </c>
    </row>
    <row r="2241" spans="1:6">
      <c r="A2241" t="s">
        <v>202</v>
      </c>
      <c r="B2241" t="s">
        <v>41</v>
      </c>
      <c r="C2241" s="3">
        <v>106.4</v>
      </c>
      <c r="D2241">
        <v>1</v>
      </c>
      <c r="E2241">
        <v>1</v>
      </c>
      <c r="F2241">
        <v>1</v>
      </c>
    </row>
    <row r="2242" spans="1:6">
      <c r="A2242" t="s">
        <v>202</v>
      </c>
      <c r="B2242" t="s">
        <v>42</v>
      </c>
      <c r="C2242" s="3">
        <v>102.9</v>
      </c>
      <c r="D2242">
        <v>1</v>
      </c>
      <c r="E2242">
        <v>1</v>
      </c>
      <c r="F2242">
        <v>1</v>
      </c>
    </row>
    <row r="2243" spans="1:6">
      <c r="A2243" t="s">
        <v>202</v>
      </c>
      <c r="B2243" t="s">
        <v>46</v>
      </c>
      <c r="C2243" s="3">
        <v>110.8</v>
      </c>
      <c r="D2243">
        <v>1</v>
      </c>
      <c r="E2243">
        <v>1</v>
      </c>
      <c r="F2243">
        <v>1</v>
      </c>
    </row>
    <row r="2244" spans="1:6">
      <c r="A2244" t="s">
        <v>202</v>
      </c>
      <c r="B2244" t="s">
        <v>392</v>
      </c>
      <c r="C2244" s="3"/>
      <c r="D2244">
        <v>0</v>
      </c>
      <c r="E2244">
        <v>1</v>
      </c>
      <c r="F2244">
        <v>1</v>
      </c>
    </row>
    <row r="2245" spans="1:6">
      <c r="A2245" t="s">
        <v>202</v>
      </c>
      <c r="B2245" t="s">
        <v>393</v>
      </c>
      <c r="C2245" s="3"/>
      <c r="D2245">
        <v>0</v>
      </c>
      <c r="E2245">
        <v>1</v>
      </c>
      <c r="F2245">
        <v>1</v>
      </c>
    </row>
    <row r="2246" spans="1:6">
      <c r="A2246" t="s">
        <v>202</v>
      </c>
      <c r="B2246" t="s">
        <v>394</v>
      </c>
      <c r="C2246" s="3"/>
      <c r="D2246">
        <v>0</v>
      </c>
      <c r="E2246">
        <v>1</v>
      </c>
      <c r="F2246">
        <v>1</v>
      </c>
    </row>
    <row r="2247" spans="1:6">
      <c r="A2247" t="s">
        <v>202</v>
      </c>
      <c r="B2247" t="s">
        <v>39</v>
      </c>
      <c r="C2247" s="3">
        <v>-1.7125980594192</v>
      </c>
      <c r="D2247">
        <v>1</v>
      </c>
      <c r="E2247">
        <v>1</v>
      </c>
      <c r="F2247">
        <v>1</v>
      </c>
    </row>
    <row r="2248" spans="1:6">
      <c r="A2248" t="s">
        <v>202</v>
      </c>
      <c r="B2248" t="s">
        <v>43</v>
      </c>
      <c r="C2248" s="3">
        <v>-3.90000000000001</v>
      </c>
      <c r="D2248">
        <v>1</v>
      </c>
      <c r="E2248">
        <v>1</v>
      </c>
      <c r="F2248">
        <v>1</v>
      </c>
    </row>
    <row r="2249" spans="1:6">
      <c r="A2249" t="s">
        <v>202</v>
      </c>
      <c r="B2249" t="s">
        <v>44</v>
      </c>
      <c r="C2249" s="3">
        <v>-0.699999999999989</v>
      </c>
      <c r="D2249">
        <v>1</v>
      </c>
      <c r="E2249">
        <v>1</v>
      </c>
      <c r="F2249">
        <v>1</v>
      </c>
    </row>
    <row r="2250" spans="1:6">
      <c r="A2250" t="s">
        <v>202</v>
      </c>
      <c r="B2250" t="s">
        <v>45</v>
      </c>
      <c r="C2250" s="3">
        <v>-0.199999999999989</v>
      </c>
      <c r="D2250">
        <v>1</v>
      </c>
      <c r="E2250">
        <v>1</v>
      </c>
      <c r="F2250">
        <v>1</v>
      </c>
    </row>
    <row r="2251" spans="1:6">
      <c r="A2251" t="s">
        <v>202</v>
      </c>
      <c r="B2251" t="s">
        <v>396</v>
      </c>
      <c r="C2251" s="3"/>
      <c r="D2251">
        <v>0</v>
      </c>
      <c r="E2251">
        <v>1</v>
      </c>
      <c r="F2251">
        <v>1</v>
      </c>
    </row>
    <row r="2252" spans="1:6">
      <c r="A2252" t="s">
        <v>203</v>
      </c>
      <c r="B2252" t="s">
        <v>34</v>
      </c>
      <c r="C2252" s="3">
        <v>75.58</v>
      </c>
      <c r="D2252">
        <v>1</v>
      </c>
      <c r="E2252">
        <v>1</v>
      </c>
      <c r="F2252">
        <v>1</v>
      </c>
    </row>
    <row r="2253" spans="1:6">
      <c r="A2253" t="s">
        <v>203</v>
      </c>
      <c r="B2253" t="s">
        <v>35</v>
      </c>
      <c r="C2253" s="3">
        <v>6.7762</v>
      </c>
      <c r="D2253">
        <v>1</v>
      </c>
      <c r="E2253">
        <v>1</v>
      </c>
      <c r="F2253">
        <v>1</v>
      </c>
    </row>
    <row r="2254" spans="1:6">
      <c r="A2254" t="s">
        <v>203</v>
      </c>
      <c r="B2254" t="s">
        <v>36</v>
      </c>
      <c r="C2254" s="3">
        <v>512.145196</v>
      </c>
      <c r="D2254">
        <v>1</v>
      </c>
      <c r="E2254">
        <v>1</v>
      </c>
      <c r="F2254">
        <v>1</v>
      </c>
    </row>
    <row r="2255" spans="1:6">
      <c r="A2255" t="s">
        <v>203</v>
      </c>
      <c r="B2255" t="s">
        <v>40</v>
      </c>
      <c r="C2255" s="3">
        <v>112</v>
      </c>
      <c r="D2255">
        <v>1</v>
      </c>
      <c r="E2255">
        <v>1</v>
      </c>
      <c r="F2255">
        <v>1</v>
      </c>
    </row>
    <row r="2256" spans="1:6">
      <c r="A2256" t="s">
        <v>203</v>
      </c>
      <c r="B2256" t="s">
        <v>41</v>
      </c>
      <c r="C2256" s="3">
        <v>104.8</v>
      </c>
      <c r="D2256">
        <v>1</v>
      </c>
      <c r="E2256">
        <v>1</v>
      </c>
      <c r="F2256">
        <v>1</v>
      </c>
    </row>
    <row r="2257" spans="1:6">
      <c r="A2257" t="s">
        <v>203</v>
      </c>
      <c r="B2257" t="s">
        <v>42</v>
      </c>
      <c r="C2257" s="3">
        <v>103.3</v>
      </c>
      <c r="D2257">
        <v>1</v>
      </c>
      <c r="E2257">
        <v>1</v>
      </c>
      <c r="F2257">
        <v>1</v>
      </c>
    </row>
    <row r="2258" spans="1:6">
      <c r="A2258" t="s">
        <v>203</v>
      </c>
      <c r="B2258" t="s">
        <v>46</v>
      </c>
      <c r="C2258" s="3">
        <v>108.5</v>
      </c>
      <c r="D2258">
        <v>1</v>
      </c>
      <c r="E2258">
        <v>1</v>
      </c>
      <c r="F2258">
        <v>1</v>
      </c>
    </row>
    <row r="2259" spans="1:6">
      <c r="A2259" t="s">
        <v>203</v>
      </c>
      <c r="B2259" t="s">
        <v>392</v>
      </c>
      <c r="C2259" s="3"/>
      <c r="D2259">
        <v>0</v>
      </c>
      <c r="E2259">
        <v>1</v>
      </c>
      <c r="F2259">
        <v>1</v>
      </c>
    </row>
    <row r="2260" spans="1:6">
      <c r="A2260" t="s">
        <v>203</v>
      </c>
      <c r="B2260" t="s">
        <v>393</v>
      </c>
      <c r="C2260" s="3"/>
      <c r="D2260">
        <v>0</v>
      </c>
      <c r="E2260">
        <v>1</v>
      </c>
      <c r="F2260">
        <v>1</v>
      </c>
    </row>
    <row r="2261" spans="1:6">
      <c r="A2261" t="s">
        <v>203</v>
      </c>
      <c r="B2261" t="s">
        <v>394</v>
      </c>
      <c r="C2261" s="3"/>
      <c r="D2261">
        <v>0</v>
      </c>
      <c r="E2261">
        <v>1</v>
      </c>
      <c r="F2261">
        <v>1</v>
      </c>
    </row>
    <row r="2262" spans="1:6">
      <c r="A2262" t="s">
        <v>203</v>
      </c>
      <c r="B2262" t="s">
        <v>39</v>
      </c>
      <c r="C2262" s="3">
        <v>0.470034796080358</v>
      </c>
      <c r="D2262">
        <v>1</v>
      </c>
      <c r="E2262">
        <v>1</v>
      </c>
      <c r="F2262">
        <v>1</v>
      </c>
    </row>
    <row r="2263" spans="1:6">
      <c r="A2263" t="s">
        <v>203</v>
      </c>
      <c r="B2263" t="s">
        <v>43</v>
      </c>
      <c r="C2263" s="3">
        <v>-7.5</v>
      </c>
      <c r="D2263">
        <v>1</v>
      </c>
      <c r="E2263">
        <v>1</v>
      </c>
      <c r="F2263">
        <v>1</v>
      </c>
    </row>
    <row r="2264" spans="1:6">
      <c r="A2264" t="s">
        <v>203</v>
      </c>
      <c r="B2264" t="s">
        <v>44</v>
      </c>
      <c r="C2264" s="3">
        <v>-1.60000000000001</v>
      </c>
      <c r="D2264">
        <v>1</v>
      </c>
      <c r="E2264">
        <v>1</v>
      </c>
      <c r="F2264">
        <v>1</v>
      </c>
    </row>
    <row r="2265" spans="1:6">
      <c r="A2265" t="s">
        <v>203</v>
      </c>
      <c r="B2265" t="s">
        <v>45</v>
      </c>
      <c r="C2265" s="3">
        <v>0.399999999999991</v>
      </c>
      <c r="D2265">
        <v>1</v>
      </c>
      <c r="E2265">
        <v>1</v>
      </c>
      <c r="F2265">
        <v>1</v>
      </c>
    </row>
    <row r="2266" spans="1:6">
      <c r="A2266" t="s">
        <v>203</v>
      </c>
      <c r="B2266" t="s">
        <v>396</v>
      </c>
      <c r="C2266" s="3"/>
      <c r="D2266">
        <v>0</v>
      </c>
      <c r="E2266">
        <v>1</v>
      </c>
      <c r="F2266">
        <v>1</v>
      </c>
    </row>
    <row r="2267" spans="1:6">
      <c r="A2267" t="s">
        <v>204</v>
      </c>
      <c r="B2267" t="s">
        <v>34</v>
      </c>
      <c r="C2267" s="3">
        <v>77.04</v>
      </c>
      <c r="D2267">
        <v>1</v>
      </c>
      <c r="E2267">
        <v>1</v>
      </c>
      <c r="F2267">
        <v>1</v>
      </c>
    </row>
    <row r="2268" spans="1:6">
      <c r="A2268" t="s">
        <v>204</v>
      </c>
      <c r="B2268" t="s">
        <v>35</v>
      </c>
      <c r="C2268" s="3">
        <v>6.7873</v>
      </c>
      <c r="D2268">
        <v>1</v>
      </c>
      <c r="E2268">
        <v>1</v>
      </c>
      <c r="F2268">
        <v>1</v>
      </c>
    </row>
    <row r="2269" spans="1:6">
      <c r="A2269" t="s">
        <v>204</v>
      </c>
      <c r="B2269" t="s">
        <v>36</v>
      </c>
      <c r="C2269" s="3">
        <v>522.893592</v>
      </c>
      <c r="D2269">
        <v>1</v>
      </c>
      <c r="E2269">
        <v>1</v>
      </c>
      <c r="F2269">
        <v>1</v>
      </c>
    </row>
    <row r="2270" spans="1:6">
      <c r="A2270" t="s">
        <v>204</v>
      </c>
      <c r="B2270" t="s">
        <v>40</v>
      </c>
      <c r="C2270" s="3">
        <v>110.2</v>
      </c>
      <c r="D2270">
        <v>1</v>
      </c>
      <c r="E2270">
        <v>1</v>
      </c>
      <c r="F2270">
        <v>1</v>
      </c>
    </row>
    <row r="2271" spans="1:6">
      <c r="A2271" t="s">
        <v>204</v>
      </c>
      <c r="B2271" t="s">
        <v>41</v>
      </c>
      <c r="C2271" s="3">
        <v>104.3</v>
      </c>
      <c r="D2271">
        <v>1</v>
      </c>
      <c r="E2271">
        <v>1</v>
      </c>
      <c r="F2271">
        <v>1</v>
      </c>
    </row>
    <row r="2272" spans="1:6">
      <c r="A2272" t="s">
        <v>204</v>
      </c>
      <c r="B2272" t="s">
        <v>42</v>
      </c>
      <c r="C2272" s="3">
        <v>103.5</v>
      </c>
      <c r="D2272">
        <v>1</v>
      </c>
      <c r="E2272">
        <v>1</v>
      </c>
      <c r="F2272">
        <v>1</v>
      </c>
    </row>
    <row r="2273" spans="1:6">
      <c r="A2273" t="s">
        <v>204</v>
      </c>
      <c r="B2273" t="s">
        <v>46</v>
      </c>
      <c r="C2273" s="3">
        <v>107.5</v>
      </c>
      <c r="D2273">
        <v>1</v>
      </c>
      <c r="E2273">
        <v>1</v>
      </c>
      <c r="F2273">
        <v>1</v>
      </c>
    </row>
    <row r="2274" spans="1:6">
      <c r="A2274" t="s">
        <v>204</v>
      </c>
      <c r="B2274" t="s">
        <v>392</v>
      </c>
      <c r="C2274" s="3"/>
      <c r="D2274">
        <v>0</v>
      </c>
      <c r="E2274">
        <v>1</v>
      </c>
      <c r="F2274">
        <v>1</v>
      </c>
    </row>
    <row r="2275" spans="1:6">
      <c r="A2275" t="s">
        <v>204</v>
      </c>
      <c r="B2275" t="s">
        <v>393</v>
      </c>
      <c r="C2275" s="3"/>
      <c r="D2275">
        <v>0</v>
      </c>
      <c r="E2275">
        <v>1</v>
      </c>
      <c r="F2275">
        <v>1</v>
      </c>
    </row>
    <row r="2276" spans="1:6">
      <c r="A2276" t="s">
        <v>204</v>
      </c>
      <c r="B2276" t="s">
        <v>394</v>
      </c>
      <c r="C2276" s="3"/>
      <c r="D2276">
        <v>0</v>
      </c>
      <c r="E2276">
        <v>1</v>
      </c>
      <c r="F2276">
        <v>1</v>
      </c>
    </row>
    <row r="2277" spans="1:6">
      <c r="A2277" t="s">
        <v>204</v>
      </c>
      <c r="B2277" t="s">
        <v>39</v>
      </c>
      <c r="C2277" s="3">
        <v>2.07698156116601</v>
      </c>
      <c r="D2277">
        <v>1</v>
      </c>
      <c r="E2277">
        <v>1</v>
      </c>
      <c r="F2277">
        <v>1</v>
      </c>
    </row>
    <row r="2278" spans="1:6">
      <c r="A2278" t="s">
        <v>204</v>
      </c>
      <c r="B2278" t="s">
        <v>43</v>
      </c>
      <c r="C2278" s="3">
        <v>-1.8</v>
      </c>
      <c r="D2278">
        <v>1</v>
      </c>
      <c r="E2278">
        <v>1</v>
      </c>
      <c r="F2278">
        <v>1</v>
      </c>
    </row>
    <row r="2279" spans="1:6">
      <c r="A2279" t="s">
        <v>204</v>
      </c>
      <c r="B2279" t="s">
        <v>44</v>
      </c>
      <c r="C2279" s="3">
        <v>-0.5</v>
      </c>
      <c r="D2279">
        <v>1</v>
      </c>
      <c r="E2279">
        <v>1</v>
      </c>
      <c r="F2279">
        <v>1</v>
      </c>
    </row>
    <row r="2280" spans="1:6">
      <c r="A2280" t="s">
        <v>204</v>
      </c>
      <c r="B2280" t="s">
        <v>45</v>
      </c>
      <c r="C2280" s="3">
        <v>0.200000000000003</v>
      </c>
      <c r="D2280">
        <v>1</v>
      </c>
      <c r="E2280">
        <v>1</v>
      </c>
      <c r="F2280">
        <v>1</v>
      </c>
    </row>
    <row r="2281" spans="1:6">
      <c r="A2281" t="s">
        <v>204</v>
      </c>
      <c r="B2281" t="s">
        <v>396</v>
      </c>
      <c r="C2281" s="3"/>
      <c r="D2281">
        <v>0</v>
      </c>
      <c r="E2281">
        <v>1</v>
      </c>
      <c r="F2281">
        <v>1</v>
      </c>
    </row>
    <row r="2282" spans="1:6">
      <c r="A2282" t="s">
        <v>205</v>
      </c>
      <c r="B2282" t="s">
        <v>34</v>
      </c>
      <c r="C2282" s="3">
        <v>77.84</v>
      </c>
      <c r="D2282">
        <v>1</v>
      </c>
      <c r="E2282">
        <v>1</v>
      </c>
      <c r="F2282">
        <v>1</v>
      </c>
    </row>
    <row r="2283" spans="1:6">
      <c r="A2283" t="s">
        <v>205</v>
      </c>
      <c r="B2283" t="s">
        <v>35</v>
      </c>
      <c r="C2283" s="3">
        <v>6.7396</v>
      </c>
      <c r="D2283">
        <v>1</v>
      </c>
      <c r="E2283">
        <v>1</v>
      </c>
      <c r="F2283">
        <v>1</v>
      </c>
    </row>
    <row r="2284" spans="1:6">
      <c r="A2284" t="s">
        <v>205</v>
      </c>
      <c r="B2284" t="s">
        <v>36</v>
      </c>
      <c r="C2284" s="3">
        <v>524.610464</v>
      </c>
      <c r="D2284">
        <v>1</v>
      </c>
      <c r="E2284">
        <v>1</v>
      </c>
      <c r="F2284">
        <v>1</v>
      </c>
    </row>
    <row r="2285" spans="1:6">
      <c r="A2285" t="s">
        <v>205</v>
      </c>
      <c r="B2285" t="s">
        <v>40</v>
      </c>
      <c r="C2285" s="3">
        <v>108.3</v>
      </c>
      <c r="D2285">
        <v>1</v>
      </c>
      <c r="E2285">
        <v>1</v>
      </c>
      <c r="F2285">
        <v>1</v>
      </c>
    </row>
    <row r="2286" spans="1:6">
      <c r="A2286" t="s">
        <v>205</v>
      </c>
      <c r="B2286" t="s">
        <v>41</v>
      </c>
      <c r="C2286" s="3">
        <v>104.3</v>
      </c>
      <c r="D2286">
        <v>1</v>
      </c>
      <c r="E2286">
        <v>1</v>
      </c>
      <c r="F2286">
        <v>1</v>
      </c>
    </row>
    <row r="2287" spans="1:6">
      <c r="A2287" t="s">
        <v>205</v>
      </c>
      <c r="B2287" t="s">
        <v>42</v>
      </c>
      <c r="C2287" s="3">
        <v>103.6</v>
      </c>
      <c r="D2287">
        <v>1</v>
      </c>
      <c r="E2287">
        <v>1</v>
      </c>
      <c r="F2287">
        <v>1</v>
      </c>
    </row>
    <row r="2288" spans="1:6">
      <c r="A2288" t="s">
        <v>205</v>
      </c>
      <c r="B2288" t="s">
        <v>46</v>
      </c>
      <c r="C2288" s="3">
        <v>107.1</v>
      </c>
      <c r="D2288">
        <v>1</v>
      </c>
      <c r="E2288">
        <v>1</v>
      </c>
      <c r="F2288">
        <v>1</v>
      </c>
    </row>
    <row r="2289" spans="1:6">
      <c r="A2289" t="s">
        <v>205</v>
      </c>
      <c r="B2289" t="s">
        <v>392</v>
      </c>
      <c r="C2289" s="3"/>
      <c r="D2289">
        <v>0</v>
      </c>
      <c r="E2289">
        <v>1</v>
      </c>
      <c r="F2289">
        <v>1</v>
      </c>
    </row>
    <row r="2290" spans="1:6">
      <c r="A2290" t="s">
        <v>205</v>
      </c>
      <c r="B2290" t="s">
        <v>393</v>
      </c>
      <c r="C2290" s="3"/>
      <c r="D2290">
        <v>0</v>
      </c>
      <c r="E2290">
        <v>1</v>
      </c>
      <c r="F2290">
        <v>1</v>
      </c>
    </row>
    <row r="2291" spans="1:6">
      <c r="A2291" t="s">
        <v>205</v>
      </c>
      <c r="B2291" t="s">
        <v>394</v>
      </c>
      <c r="C2291" s="3"/>
      <c r="D2291">
        <v>0</v>
      </c>
      <c r="E2291">
        <v>1</v>
      </c>
      <c r="F2291">
        <v>1</v>
      </c>
    </row>
    <row r="2292" spans="1:6">
      <c r="A2292" t="s">
        <v>205</v>
      </c>
      <c r="B2292" t="s">
        <v>39</v>
      </c>
      <c r="C2292" s="3">
        <v>0.327802747406639</v>
      </c>
      <c r="D2292">
        <v>1</v>
      </c>
      <c r="E2292">
        <v>1</v>
      </c>
      <c r="F2292">
        <v>1</v>
      </c>
    </row>
    <row r="2293" spans="1:6">
      <c r="A2293" t="s">
        <v>205</v>
      </c>
      <c r="B2293" t="s">
        <v>43</v>
      </c>
      <c r="C2293" s="3">
        <v>-1.90000000000001</v>
      </c>
      <c r="D2293">
        <v>1</v>
      </c>
      <c r="E2293">
        <v>1</v>
      </c>
      <c r="F2293">
        <v>1</v>
      </c>
    </row>
    <row r="2294" spans="1:6">
      <c r="A2294" t="s">
        <v>205</v>
      </c>
      <c r="B2294" t="s">
        <v>44</v>
      </c>
      <c r="C2294" s="3">
        <v>0</v>
      </c>
      <c r="D2294">
        <v>1</v>
      </c>
      <c r="E2294">
        <v>1</v>
      </c>
      <c r="F2294">
        <v>1</v>
      </c>
    </row>
    <row r="2295" spans="1:6">
      <c r="A2295" t="s">
        <v>205</v>
      </c>
      <c r="B2295" t="s">
        <v>45</v>
      </c>
      <c r="C2295" s="3">
        <v>0.0999999999999943</v>
      </c>
      <c r="D2295">
        <v>1</v>
      </c>
      <c r="E2295">
        <v>1</v>
      </c>
      <c r="F2295">
        <v>1</v>
      </c>
    </row>
    <row r="2296" spans="1:6">
      <c r="A2296" t="s">
        <v>205</v>
      </c>
      <c r="B2296" t="s">
        <v>396</v>
      </c>
      <c r="C2296" s="3"/>
      <c r="D2296">
        <v>0</v>
      </c>
      <c r="E2296">
        <v>1</v>
      </c>
      <c r="F2296">
        <v>1</v>
      </c>
    </row>
    <row r="2297" spans="1:6">
      <c r="A2297" t="s">
        <v>206</v>
      </c>
      <c r="B2297" t="s">
        <v>34</v>
      </c>
      <c r="C2297" s="3">
        <v>82.67</v>
      </c>
      <c r="D2297">
        <v>1</v>
      </c>
      <c r="E2297">
        <v>1</v>
      </c>
      <c r="F2297">
        <v>1</v>
      </c>
    </row>
    <row r="2298" spans="1:6">
      <c r="A2298" t="s">
        <v>206</v>
      </c>
      <c r="B2298" t="s">
        <v>35</v>
      </c>
      <c r="C2298" s="3">
        <v>6.6678</v>
      </c>
      <c r="D2298">
        <v>1</v>
      </c>
      <c r="E2298">
        <v>1</v>
      </c>
      <c r="F2298">
        <v>1</v>
      </c>
    </row>
    <row r="2299" spans="1:6">
      <c r="A2299" t="s">
        <v>206</v>
      </c>
      <c r="B2299" t="s">
        <v>36</v>
      </c>
      <c r="C2299" s="3">
        <v>551.227026</v>
      </c>
      <c r="D2299">
        <v>1</v>
      </c>
      <c r="E2299">
        <v>1</v>
      </c>
      <c r="F2299">
        <v>1</v>
      </c>
    </row>
    <row r="2300" spans="1:6">
      <c r="A2300" t="s">
        <v>206</v>
      </c>
      <c r="B2300" t="s">
        <v>40</v>
      </c>
      <c r="C2300" s="3">
        <v>108.9</v>
      </c>
      <c r="D2300">
        <v>1</v>
      </c>
      <c r="E2300">
        <v>1</v>
      </c>
      <c r="F2300">
        <v>1</v>
      </c>
    </row>
    <row r="2301" spans="1:6">
      <c r="A2301" t="s">
        <v>206</v>
      </c>
      <c r="B2301" t="s">
        <v>41</v>
      </c>
      <c r="C2301" s="3">
        <v>105</v>
      </c>
      <c r="D2301">
        <v>1</v>
      </c>
      <c r="E2301">
        <v>1</v>
      </c>
      <c r="F2301">
        <v>1</v>
      </c>
    </row>
    <row r="2302" spans="1:6">
      <c r="A2302" t="s">
        <v>206</v>
      </c>
      <c r="B2302" t="s">
        <v>42</v>
      </c>
      <c r="C2302" s="3">
        <v>104.4</v>
      </c>
      <c r="D2302">
        <v>1</v>
      </c>
      <c r="E2302">
        <v>1</v>
      </c>
      <c r="F2302">
        <v>1</v>
      </c>
    </row>
    <row r="2303" spans="1:6">
      <c r="A2303" t="s">
        <v>206</v>
      </c>
      <c r="B2303" t="s">
        <v>46</v>
      </c>
      <c r="C2303" s="3">
        <v>108.1</v>
      </c>
      <c r="D2303">
        <v>1</v>
      </c>
      <c r="E2303">
        <v>1</v>
      </c>
      <c r="F2303">
        <v>1</v>
      </c>
    </row>
    <row r="2304" spans="1:6">
      <c r="A2304" t="s">
        <v>206</v>
      </c>
      <c r="B2304" t="s">
        <v>392</v>
      </c>
      <c r="C2304" s="3"/>
      <c r="D2304">
        <v>0</v>
      </c>
      <c r="E2304">
        <v>1</v>
      </c>
      <c r="F2304">
        <v>1</v>
      </c>
    </row>
    <row r="2305" spans="1:6">
      <c r="A2305" t="s">
        <v>206</v>
      </c>
      <c r="B2305" t="s">
        <v>393</v>
      </c>
      <c r="C2305" s="3"/>
      <c r="D2305">
        <v>0</v>
      </c>
      <c r="E2305">
        <v>1</v>
      </c>
      <c r="F2305">
        <v>1</v>
      </c>
    </row>
    <row r="2306" spans="1:6">
      <c r="A2306" t="s">
        <v>206</v>
      </c>
      <c r="B2306" t="s">
        <v>394</v>
      </c>
      <c r="C2306" s="3"/>
      <c r="D2306">
        <v>0</v>
      </c>
      <c r="E2306">
        <v>1</v>
      </c>
      <c r="F2306">
        <v>1</v>
      </c>
    </row>
    <row r="2307" spans="1:6">
      <c r="A2307" t="s">
        <v>206</v>
      </c>
      <c r="B2307" t="s">
        <v>39</v>
      </c>
      <c r="C2307" s="3">
        <v>4.94907358422602</v>
      </c>
      <c r="D2307">
        <v>1</v>
      </c>
      <c r="E2307">
        <v>1</v>
      </c>
      <c r="F2307">
        <v>1</v>
      </c>
    </row>
    <row r="2308" spans="1:6">
      <c r="A2308" t="s">
        <v>206</v>
      </c>
      <c r="B2308" t="s">
        <v>43</v>
      </c>
      <c r="C2308" s="3">
        <v>0.600000000000009</v>
      </c>
      <c r="D2308">
        <v>1</v>
      </c>
      <c r="E2308">
        <v>1</v>
      </c>
      <c r="F2308">
        <v>1</v>
      </c>
    </row>
    <row r="2309" spans="1:6">
      <c r="A2309" t="s">
        <v>206</v>
      </c>
      <c r="B2309" t="s">
        <v>44</v>
      </c>
      <c r="C2309" s="3">
        <v>0.700000000000003</v>
      </c>
      <c r="D2309">
        <v>1</v>
      </c>
      <c r="E2309">
        <v>1</v>
      </c>
      <c r="F2309">
        <v>1</v>
      </c>
    </row>
    <row r="2310" spans="1:6">
      <c r="A2310" t="s">
        <v>206</v>
      </c>
      <c r="B2310" t="s">
        <v>45</v>
      </c>
      <c r="C2310" s="3">
        <v>0.800000000000011</v>
      </c>
      <c r="D2310">
        <v>1</v>
      </c>
      <c r="E2310">
        <v>1</v>
      </c>
      <c r="F2310">
        <v>1</v>
      </c>
    </row>
    <row r="2311" spans="1:6">
      <c r="A2311" t="s">
        <v>206</v>
      </c>
      <c r="B2311" t="s">
        <v>396</v>
      </c>
      <c r="C2311" s="3"/>
      <c r="D2311">
        <v>0</v>
      </c>
      <c r="E2311">
        <v>1</v>
      </c>
      <c r="F2311">
        <v>1</v>
      </c>
    </row>
    <row r="2312" spans="1:6">
      <c r="A2312" t="s">
        <v>207</v>
      </c>
      <c r="B2312" t="s">
        <v>34</v>
      </c>
      <c r="C2312" s="3">
        <v>85.28</v>
      </c>
      <c r="D2312">
        <v>1</v>
      </c>
      <c r="E2312">
        <v>1</v>
      </c>
      <c r="F2312">
        <v>1</v>
      </c>
    </row>
    <row r="2313" spans="1:6">
      <c r="A2313" t="s">
        <v>207</v>
      </c>
      <c r="B2313" t="s">
        <v>35</v>
      </c>
      <c r="C2313" s="3">
        <v>6.6538</v>
      </c>
      <c r="D2313">
        <v>1</v>
      </c>
      <c r="E2313">
        <v>1</v>
      </c>
      <c r="F2313">
        <v>1</v>
      </c>
    </row>
    <row r="2314" spans="1:6">
      <c r="A2314" t="s">
        <v>207</v>
      </c>
      <c r="B2314" t="s">
        <v>36</v>
      </c>
      <c r="C2314" s="3">
        <v>567.436064</v>
      </c>
      <c r="D2314">
        <v>1</v>
      </c>
      <c r="E2314">
        <v>1</v>
      </c>
      <c r="F2314">
        <v>1</v>
      </c>
    </row>
    <row r="2315" spans="1:6">
      <c r="A2315" t="s">
        <v>207</v>
      </c>
      <c r="B2315" t="s">
        <v>40</v>
      </c>
      <c r="C2315" s="3">
        <v>109.8</v>
      </c>
      <c r="D2315">
        <v>1</v>
      </c>
      <c r="E2315">
        <v>1</v>
      </c>
      <c r="F2315">
        <v>1</v>
      </c>
    </row>
    <row r="2316" spans="1:6">
      <c r="A2316" t="s">
        <v>207</v>
      </c>
      <c r="B2316" t="s">
        <v>41</v>
      </c>
      <c r="C2316" s="3">
        <v>106.1</v>
      </c>
      <c r="D2316">
        <v>1</v>
      </c>
      <c r="E2316">
        <v>1</v>
      </c>
      <c r="F2316">
        <v>1</v>
      </c>
    </row>
    <row r="2317" spans="1:6">
      <c r="A2317" t="s">
        <v>207</v>
      </c>
      <c r="B2317" t="s">
        <v>42</v>
      </c>
      <c r="C2317" s="3">
        <v>105.1</v>
      </c>
      <c r="D2317">
        <v>1</v>
      </c>
      <c r="E2317">
        <v>1</v>
      </c>
      <c r="F2317">
        <v>1</v>
      </c>
    </row>
    <row r="2318" spans="1:6">
      <c r="A2318" t="s">
        <v>207</v>
      </c>
      <c r="B2318" t="s">
        <v>46</v>
      </c>
      <c r="C2318" s="3">
        <v>109.7</v>
      </c>
      <c r="D2318">
        <v>1</v>
      </c>
      <c r="E2318">
        <v>1</v>
      </c>
      <c r="F2318">
        <v>1</v>
      </c>
    </row>
    <row r="2319" spans="1:6">
      <c r="A2319" t="s">
        <v>207</v>
      </c>
      <c r="B2319" t="s">
        <v>392</v>
      </c>
      <c r="C2319" s="3"/>
      <c r="D2319">
        <v>0</v>
      </c>
      <c r="E2319">
        <v>1</v>
      </c>
      <c r="F2319">
        <v>1</v>
      </c>
    </row>
    <row r="2320" spans="1:6">
      <c r="A2320" t="s">
        <v>207</v>
      </c>
      <c r="B2320" t="s">
        <v>393</v>
      </c>
      <c r="C2320" s="3"/>
      <c r="D2320">
        <v>0</v>
      </c>
      <c r="E2320">
        <v>1</v>
      </c>
      <c r="F2320">
        <v>1</v>
      </c>
    </row>
    <row r="2321" spans="1:6">
      <c r="A2321" t="s">
        <v>207</v>
      </c>
      <c r="B2321" t="s">
        <v>394</v>
      </c>
      <c r="C2321" s="3"/>
      <c r="D2321">
        <v>0</v>
      </c>
      <c r="E2321">
        <v>1</v>
      </c>
      <c r="F2321">
        <v>1</v>
      </c>
    </row>
    <row r="2322" spans="1:6">
      <c r="A2322" t="s">
        <v>207</v>
      </c>
      <c r="B2322" t="s">
        <v>39</v>
      </c>
      <c r="C2322" s="3">
        <v>2.89813307514863</v>
      </c>
      <c r="D2322">
        <v>1</v>
      </c>
      <c r="E2322">
        <v>1</v>
      </c>
      <c r="F2322">
        <v>1</v>
      </c>
    </row>
    <row r="2323" spans="1:6">
      <c r="A2323" t="s">
        <v>207</v>
      </c>
      <c r="B2323" t="s">
        <v>43</v>
      </c>
      <c r="C2323" s="3">
        <v>0.899999999999991</v>
      </c>
      <c r="D2323">
        <v>1</v>
      </c>
      <c r="E2323">
        <v>1</v>
      </c>
      <c r="F2323">
        <v>1</v>
      </c>
    </row>
    <row r="2324" spans="1:6">
      <c r="A2324" t="s">
        <v>207</v>
      </c>
      <c r="B2324" t="s">
        <v>44</v>
      </c>
      <c r="C2324" s="3">
        <v>1.09999999999999</v>
      </c>
      <c r="D2324">
        <v>1</v>
      </c>
      <c r="E2324">
        <v>1</v>
      </c>
      <c r="F2324">
        <v>1</v>
      </c>
    </row>
    <row r="2325" spans="1:6">
      <c r="A2325" t="s">
        <v>207</v>
      </c>
      <c r="B2325" t="s">
        <v>45</v>
      </c>
      <c r="C2325" s="3">
        <v>0.699999999999989</v>
      </c>
      <c r="D2325">
        <v>1</v>
      </c>
      <c r="E2325">
        <v>1</v>
      </c>
      <c r="F2325">
        <v>1</v>
      </c>
    </row>
    <row r="2326" spans="1:6">
      <c r="A2326" t="s">
        <v>207</v>
      </c>
      <c r="B2326" t="s">
        <v>396</v>
      </c>
      <c r="C2326" s="3"/>
      <c r="D2326">
        <v>0</v>
      </c>
      <c r="E2326">
        <v>1</v>
      </c>
      <c r="F2326">
        <v>1</v>
      </c>
    </row>
    <row r="2327" spans="1:6">
      <c r="A2327" t="s">
        <v>208</v>
      </c>
      <c r="B2327" t="s">
        <v>34</v>
      </c>
      <c r="C2327" s="3">
        <v>91.45</v>
      </c>
      <c r="D2327">
        <v>1</v>
      </c>
      <c r="E2327">
        <v>1</v>
      </c>
      <c r="F2327">
        <v>1</v>
      </c>
    </row>
    <row r="2328" spans="1:6">
      <c r="A2328" t="s">
        <v>208</v>
      </c>
      <c r="B2328" t="s">
        <v>35</v>
      </c>
      <c r="C2328" s="3">
        <v>6.6497</v>
      </c>
      <c r="D2328">
        <v>1</v>
      </c>
      <c r="E2328">
        <v>1</v>
      </c>
      <c r="F2328">
        <v>1</v>
      </c>
    </row>
    <row r="2329" spans="1:6">
      <c r="A2329" t="s">
        <v>208</v>
      </c>
      <c r="B2329" t="s">
        <v>36</v>
      </c>
      <c r="C2329" s="3">
        <v>608.115065</v>
      </c>
      <c r="D2329">
        <v>1</v>
      </c>
      <c r="E2329">
        <v>1</v>
      </c>
      <c r="F2329">
        <v>1</v>
      </c>
    </row>
    <row r="2330" spans="1:6">
      <c r="A2330" t="s">
        <v>208</v>
      </c>
      <c r="B2330" t="s">
        <v>40</v>
      </c>
      <c r="C2330" s="3">
        <v>109.1</v>
      </c>
      <c r="D2330">
        <v>1</v>
      </c>
      <c r="E2330">
        <v>1</v>
      </c>
      <c r="F2330">
        <v>1</v>
      </c>
    </row>
    <row r="2331" spans="1:6">
      <c r="A2331" t="s">
        <v>208</v>
      </c>
      <c r="B2331" t="s">
        <v>41</v>
      </c>
      <c r="C2331" s="3">
        <v>105.9</v>
      </c>
      <c r="D2331">
        <v>1</v>
      </c>
      <c r="E2331">
        <v>1</v>
      </c>
      <c r="F2331">
        <v>1</v>
      </c>
    </row>
    <row r="2332" spans="1:6">
      <c r="A2332" t="s">
        <v>208</v>
      </c>
      <c r="B2332" t="s">
        <v>42</v>
      </c>
      <c r="C2332" s="3">
        <v>104.6</v>
      </c>
      <c r="D2332">
        <v>1</v>
      </c>
      <c r="E2332">
        <v>1</v>
      </c>
      <c r="F2332">
        <v>1</v>
      </c>
    </row>
    <row r="2333" spans="1:6">
      <c r="A2333" t="s">
        <v>208</v>
      </c>
      <c r="B2333" t="s">
        <v>46</v>
      </c>
      <c r="C2333" s="3">
        <v>109.5</v>
      </c>
      <c r="D2333">
        <v>1</v>
      </c>
      <c r="E2333">
        <v>1</v>
      </c>
      <c r="F2333">
        <v>1</v>
      </c>
    </row>
    <row r="2334" spans="1:6">
      <c r="A2334" t="s">
        <v>208</v>
      </c>
      <c r="B2334" t="s">
        <v>392</v>
      </c>
      <c r="C2334" s="3"/>
      <c r="D2334">
        <v>0</v>
      </c>
      <c r="E2334">
        <v>1</v>
      </c>
      <c r="F2334">
        <v>1</v>
      </c>
    </row>
    <row r="2335" spans="1:6">
      <c r="A2335" t="s">
        <v>208</v>
      </c>
      <c r="B2335" t="s">
        <v>393</v>
      </c>
      <c r="C2335" s="3"/>
      <c r="D2335">
        <v>0</v>
      </c>
      <c r="E2335">
        <v>1</v>
      </c>
      <c r="F2335">
        <v>1</v>
      </c>
    </row>
    <row r="2336" spans="1:6">
      <c r="A2336" t="s">
        <v>208</v>
      </c>
      <c r="B2336" t="s">
        <v>394</v>
      </c>
      <c r="C2336" s="3"/>
      <c r="D2336">
        <v>0</v>
      </c>
      <c r="E2336">
        <v>1</v>
      </c>
      <c r="F2336">
        <v>1</v>
      </c>
    </row>
    <row r="2337" spans="1:6">
      <c r="A2337" t="s">
        <v>208</v>
      </c>
      <c r="B2337" t="s">
        <v>39</v>
      </c>
      <c r="C2337" s="3">
        <v>6.92360352514814</v>
      </c>
      <c r="D2337">
        <v>1</v>
      </c>
      <c r="E2337">
        <v>1</v>
      </c>
      <c r="F2337">
        <v>1</v>
      </c>
    </row>
    <row r="2338" spans="1:6">
      <c r="A2338" t="s">
        <v>208</v>
      </c>
      <c r="B2338" t="s">
        <v>43</v>
      </c>
      <c r="C2338" s="3">
        <v>-0.700000000000003</v>
      </c>
      <c r="D2338">
        <v>1</v>
      </c>
      <c r="E2338">
        <v>1</v>
      </c>
      <c r="F2338">
        <v>1</v>
      </c>
    </row>
    <row r="2339" spans="1:6">
      <c r="A2339" t="s">
        <v>208</v>
      </c>
      <c r="B2339" t="s">
        <v>44</v>
      </c>
      <c r="C2339" s="3">
        <v>-0.199999999999989</v>
      </c>
      <c r="D2339">
        <v>1</v>
      </c>
      <c r="E2339">
        <v>1</v>
      </c>
      <c r="F2339">
        <v>1</v>
      </c>
    </row>
    <row r="2340" spans="1:6">
      <c r="A2340" t="s">
        <v>208</v>
      </c>
      <c r="B2340" t="s">
        <v>45</v>
      </c>
      <c r="C2340" s="3">
        <v>-0.5</v>
      </c>
      <c r="D2340">
        <v>1</v>
      </c>
      <c r="E2340">
        <v>1</v>
      </c>
      <c r="F2340">
        <v>1</v>
      </c>
    </row>
    <row r="2341" spans="1:6">
      <c r="A2341" t="s">
        <v>208</v>
      </c>
      <c r="B2341" t="s">
        <v>396</v>
      </c>
      <c r="C2341" s="3"/>
      <c r="D2341">
        <v>0</v>
      </c>
      <c r="E2341">
        <v>1</v>
      </c>
      <c r="F2341">
        <v>1</v>
      </c>
    </row>
    <row r="2342" spans="1:6">
      <c r="A2342" t="s">
        <v>209</v>
      </c>
      <c r="B2342" t="s">
        <v>34</v>
      </c>
      <c r="C2342" s="3">
        <v>96.52</v>
      </c>
      <c r="D2342">
        <v>1</v>
      </c>
      <c r="E2342">
        <v>1</v>
      </c>
      <c r="F2342">
        <v>1</v>
      </c>
    </row>
    <row r="2343" spans="1:6">
      <c r="A2343" t="s">
        <v>209</v>
      </c>
      <c r="B2343" t="s">
        <v>35</v>
      </c>
      <c r="C2343" s="3">
        <v>6.5964</v>
      </c>
      <c r="D2343">
        <v>1</v>
      </c>
      <c r="E2343">
        <v>1</v>
      </c>
      <c r="F2343">
        <v>1</v>
      </c>
    </row>
    <row r="2344" spans="1:6">
      <c r="A2344" t="s">
        <v>209</v>
      </c>
      <c r="B2344" t="s">
        <v>36</v>
      </c>
      <c r="C2344" s="3">
        <v>636.684528</v>
      </c>
      <c r="D2344">
        <v>1</v>
      </c>
      <c r="E2344">
        <v>1</v>
      </c>
      <c r="F2344">
        <v>1</v>
      </c>
    </row>
    <row r="2345" spans="1:6">
      <c r="A2345" t="s">
        <v>209</v>
      </c>
      <c r="B2345" t="s">
        <v>40</v>
      </c>
      <c r="C2345" s="3">
        <v>108.7</v>
      </c>
      <c r="D2345">
        <v>1</v>
      </c>
      <c r="E2345">
        <v>1</v>
      </c>
      <c r="F2345">
        <v>1</v>
      </c>
    </row>
    <row r="2346" spans="1:6">
      <c r="A2346" t="s">
        <v>209</v>
      </c>
      <c r="B2346" t="s">
        <v>41</v>
      </c>
      <c r="C2346" s="3">
        <v>106.6</v>
      </c>
      <c r="D2346">
        <v>1</v>
      </c>
      <c r="E2346">
        <v>1</v>
      </c>
      <c r="F2346">
        <v>1</v>
      </c>
    </row>
    <row r="2347" spans="1:6">
      <c r="A2347" t="s">
        <v>209</v>
      </c>
      <c r="B2347" t="s">
        <v>42</v>
      </c>
      <c r="C2347" s="3">
        <v>104.9</v>
      </c>
      <c r="D2347">
        <v>1</v>
      </c>
      <c r="E2347">
        <v>1</v>
      </c>
      <c r="F2347">
        <v>1</v>
      </c>
    </row>
    <row r="2348" spans="1:6">
      <c r="A2348" t="s">
        <v>209</v>
      </c>
      <c r="B2348" t="s">
        <v>46</v>
      </c>
      <c r="C2348" s="3">
        <v>109.7</v>
      </c>
      <c r="D2348">
        <v>1</v>
      </c>
      <c r="E2348">
        <v>1</v>
      </c>
      <c r="F2348">
        <v>1</v>
      </c>
    </row>
    <row r="2349" spans="1:6">
      <c r="A2349" t="s">
        <v>209</v>
      </c>
      <c r="B2349" t="s">
        <v>392</v>
      </c>
      <c r="C2349" s="3"/>
      <c r="D2349">
        <v>0</v>
      </c>
      <c r="E2349">
        <v>1</v>
      </c>
      <c r="F2349">
        <v>1</v>
      </c>
    </row>
    <row r="2350" spans="1:6">
      <c r="A2350" t="s">
        <v>209</v>
      </c>
      <c r="B2350" t="s">
        <v>393</v>
      </c>
      <c r="C2350" s="3"/>
      <c r="D2350">
        <v>0</v>
      </c>
      <c r="E2350">
        <v>1</v>
      </c>
      <c r="F2350">
        <v>1</v>
      </c>
    </row>
    <row r="2351" spans="1:6">
      <c r="A2351" t="s">
        <v>209</v>
      </c>
      <c r="B2351" t="s">
        <v>394</v>
      </c>
      <c r="C2351" s="3"/>
      <c r="D2351">
        <v>0</v>
      </c>
      <c r="E2351">
        <v>1</v>
      </c>
      <c r="F2351">
        <v>1</v>
      </c>
    </row>
    <row r="2352" spans="1:6">
      <c r="A2352" t="s">
        <v>209</v>
      </c>
      <c r="B2352" t="s">
        <v>39</v>
      </c>
      <c r="C2352" s="3">
        <v>4.59101707242383</v>
      </c>
      <c r="D2352">
        <v>1</v>
      </c>
      <c r="E2352">
        <v>1</v>
      </c>
      <c r="F2352">
        <v>1</v>
      </c>
    </row>
    <row r="2353" spans="1:6">
      <c r="A2353" t="s">
        <v>209</v>
      </c>
      <c r="B2353" t="s">
        <v>43</v>
      </c>
      <c r="C2353" s="3">
        <v>-0.399999999999991</v>
      </c>
      <c r="D2353">
        <v>1</v>
      </c>
      <c r="E2353">
        <v>1</v>
      </c>
      <c r="F2353">
        <v>1</v>
      </c>
    </row>
    <row r="2354" spans="1:6">
      <c r="A2354" t="s">
        <v>209</v>
      </c>
      <c r="B2354" t="s">
        <v>44</v>
      </c>
      <c r="C2354" s="3">
        <v>0.699999999999989</v>
      </c>
      <c r="D2354">
        <v>1</v>
      </c>
      <c r="E2354">
        <v>1</v>
      </c>
      <c r="F2354">
        <v>1</v>
      </c>
    </row>
    <row r="2355" spans="1:6">
      <c r="A2355" t="s">
        <v>209</v>
      </c>
      <c r="B2355" t="s">
        <v>45</v>
      </c>
      <c r="C2355" s="3">
        <v>0.300000000000011</v>
      </c>
      <c r="D2355">
        <v>1</v>
      </c>
      <c r="E2355">
        <v>1</v>
      </c>
      <c r="F2355">
        <v>1</v>
      </c>
    </row>
    <row r="2356" spans="1:6">
      <c r="A2356" t="s">
        <v>209</v>
      </c>
      <c r="B2356" t="s">
        <v>396</v>
      </c>
      <c r="C2356" s="3"/>
      <c r="D2356">
        <v>0</v>
      </c>
      <c r="E2356">
        <v>1</v>
      </c>
      <c r="F2356">
        <v>1</v>
      </c>
    </row>
    <row r="2357" spans="1:6">
      <c r="A2357" t="s">
        <v>210</v>
      </c>
      <c r="B2357" t="s">
        <v>34</v>
      </c>
      <c r="C2357" s="3">
        <v>103.72</v>
      </c>
      <c r="D2357">
        <v>1</v>
      </c>
      <c r="E2357">
        <v>1</v>
      </c>
      <c r="F2357">
        <v>1</v>
      </c>
    </row>
    <row r="2358" spans="1:6">
      <c r="A2358" t="s">
        <v>210</v>
      </c>
      <c r="B2358" t="s">
        <v>35</v>
      </c>
      <c r="C2358" s="3">
        <v>6.5761</v>
      </c>
      <c r="D2358">
        <v>1</v>
      </c>
      <c r="E2358">
        <v>1</v>
      </c>
      <c r="F2358">
        <v>1</v>
      </c>
    </row>
    <row r="2359" spans="1:6">
      <c r="A2359" t="s">
        <v>210</v>
      </c>
      <c r="B2359" t="s">
        <v>36</v>
      </c>
      <c r="C2359" s="3">
        <v>682.073092</v>
      </c>
      <c r="D2359">
        <v>1</v>
      </c>
      <c r="E2359">
        <v>1</v>
      </c>
      <c r="F2359">
        <v>1</v>
      </c>
    </row>
    <row r="2360" spans="1:6">
      <c r="A2360" t="s">
        <v>210</v>
      </c>
      <c r="B2360" t="s">
        <v>40</v>
      </c>
      <c r="C2360" s="3">
        <v>108.9</v>
      </c>
      <c r="D2360">
        <v>1</v>
      </c>
      <c r="E2360">
        <v>1</v>
      </c>
      <c r="F2360">
        <v>1</v>
      </c>
    </row>
    <row r="2361" spans="1:6">
      <c r="A2361" t="s">
        <v>210</v>
      </c>
      <c r="B2361" t="s">
        <v>41</v>
      </c>
      <c r="C2361" s="3">
        <v>107.2</v>
      </c>
      <c r="D2361">
        <v>1</v>
      </c>
      <c r="E2361">
        <v>1</v>
      </c>
      <c r="F2361">
        <v>1</v>
      </c>
    </row>
    <row r="2362" spans="1:6">
      <c r="A2362" t="s">
        <v>210</v>
      </c>
      <c r="B2362" t="s">
        <v>42</v>
      </c>
      <c r="C2362" s="3">
        <v>104.9</v>
      </c>
      <c r="D2362">
        <v>1</v>
      </c>
      <c r="E2362">
        <v>1</v>
      </c>
      <c r="F2362">
        <v>1</v>
      </c>
    </row>
    <row r="2363" spans="1:6">
      <c r="A2363" t="s">
        <v>210</v>
      </c>
      <c r="B2363" t="s">
        <v>46</v>
      </c>
      <c r="C2363" s="3">
        <v>110.4</v>
      </c>
      <c r="D2363">
        <v>1</v>
      </c>
      <c r="E2363">
        <v>1</v>
      </c>
      <c r="F2363">
        <v>1</v>
      </c>
    </row>
    <row r="2364" spans="1:6">
      <c r="A2364" t="s">
        <v>210</v>
      </c>
      <c r="B2364" t="s">
        <v>392</v>
      </c>
      <c r="C2364" s="3"/>
      <c r="D2364">
        <v>0</v>
      </c>
      <c r="E2364">
        <v>1</v>
      </c>
      <c r="F2364">
        <v>1</v>
      </c>
    </row>
    <row r="2365" spans="1:6">
      <c r="A2365" t="s">
        <v>210</v>
      </c>
      <c r="B2365" t="s">
        <v>393</v>
      </c>
      <c r="C2365" s="3"/>
      <c r="D2365">
        <v>0</v>
      </c>
      <c r="E2365">
        <v>1</v>
      </c>
      <c r="F2365">
        <v>1</v>
      </c>
    </row>
    <row r="2366" spans="1:6">
      <c r="A2366" t="s">
        <v>210</v>
      </c>
      <c r="B2366" t="s">
        <v>394</v>
      </c>
      <c r="C2366" s="3"/>
      <c r="D2366">
        <v>0</v>
      </c>
      <c r="E2366">
        <v>1</v>
      </c>
      <c r="F2366">
        <v>1</v>
      </c>
    </row>
    <row r="2367" spans="1:6">
      <c r="A2367" t="s">
        <v>210</v>
      </c>
      <c r="B2367" t="s">
        <v>39</v>
      </c>
      <c r="C2367" s="3">
        <v>6.88625386920631</v>
      </c>
      <c r="D2367">
        <v>1</v>
      </c>
      <c r="E2367">
        <v>1</v>
      </c>
      <c r="F2367">
        <v>1</v>
      </c>
    </row>
    <row r="2368" spans="1:6">
      <c r="A2368" t="s">
        <v>210</v>
      </c>
      <c r="B2368" t="s">
        <v>43</v>
      </c>
      <c r="C2368" s="3">
        <v>0.200000000000003</v>
      </c>
      <c r="D2368">
        <v>1</v>
      </c>
      <c r="E2368">
        <v>1</v>
      </c>
      <c r="F2368">
        <v>1</v>
      </c>
    </row>
    <row r="2369" spans="1:6">
      <c r="A2369" t="s">
        <v>210</v>
      </c>
      <c r="B2369" t="s">
        <v>44</v>
      </c>
      <c r="C2369" s="3">
        <v>0.600000000000009</v>
      </c>
      <c r="D2369">
        <v>1</v>
      </c>
      <c r="E2369">
        <v>1</v>
      </c>
      <c r="F2369">
        <v>1</v>
      </c>
    </row>
    <row r="2370" spans="1:6">
      <c r="A2370" t="s">
        <v>210</v>
      </c>
      <c r="B2370" t="s">
        <v>45</v>
      </c>
      <c r="C2370" s="3">
        <v>0</v>
      </c>
      <c r="D2370">
        <v>1</v>
      </c>
      <c r="E2370">
        <v>1</v>
      </c>
      <c r="F2370">
        <v>1</v>
      </c>
    </row>
    <row r="2371" spans="1:6">
      <c r="A2371" t="s">
        <v>210</v>
      </c>
      <c r="B2371" t="s">
        <v>396</v>
      </c>
      <c r="C2371" s="3"/>
      <c r="D2371">
        <v>0</v>
      </c>
      <c r="E2371">
        <v>1</v>
      </c>
      <c r="F2371">
        <v>1</v>
      </c>
    </row>
    <row r="2372" spans="1:6">
      <c r="A2372" t="s">
        <v>211</v>
      </c>
      <c r="B2372" t="s">
        <v>34</v>
      </c>
      <c r="C2372" s="3">
        <v>114.64</v>
      </c>
      <c r="D2372">
        <v>1</v>
      </c>
      <c r="E2372">
        <v>1</v>
      </c>
      <c r="F2372">
        <v>1</v>
      </c>
    </row>
    <row r="2373" spans="1:6">
      <c r="A2373" t="s">
        <v>211</v>
      </c>
      <c r="B2373" t="s">
        <v>35</v>
      </c>
      <c r="C2373" s="3">
        <v>6.5645</v>
      </c>
      <c r="D2373">
        <v>1</v>
      </c>
      <c r="E2373">
        <v>1</v>
      </c>
      <c r="F2373">
        <v>1</v>
      </c>
    </row>
    <row r="2374" spans="1:6">
      <c r="A2374" t="s">
        <v>211</v>
      </c>
      <c r="B2374" t="s">
        <v>36</v>
      </c>
      <c r="C2374" s="3">
        <v>752.55428</v>
      </c>
      <c r="D2374">
        <v>1</v>
      </c>
      <c r="E2374">
        <v>1</v>
      </c>
      <c r="F2374">
        <v>1</v>
      </c>
    </row>
    <row r="2375" spans="1:6">
      <c r="A2375" t="s">
        <v>211</v>
      </c>
      <c r="B2375" t="s">
        <v>40</v>
      </c>
      <c r="C2375" s="3">
        <v>109.9</v>
      </c>
      <c r="D2375">
        <v>1</v>
      </c>
      <c r="E2375">
        <v>1</v>
      </c>
      <c r="F2375">
        <v>1</v>
      </c>
    </row>
    <row r="2376" spans="1:6">
      <c r="A2376" t="s">
        <v>211</v>
      </c>
      <c r="B2376" t="s">
        <v>41</v>
      </c>
      <c r="C2376" s="3">
        <v>107.3</v>
      </c>
      <c r="D2376">
        <v>1</v>
      </c>
      <c r="E2376">
        <v>1</v>
      </c>
      <c r="F2376">
        <v>1</v>
      </c>
    </row>
    <row r="2377" spans="1:6">
      <c r="A2377" t="s">
        <v>211</v>
      </c>
      <c r="B2377" t="s">
        <v>42</v>
      </c>
      <c r="C2377" s="3">
        <v>105.4</v>
      </c>
      <c r="D2377">
        <v>1</v>
      </c>
      <c r="E2377">
        <v>1</v>
      </c>
      <c r="F2377">
        <v>1</v>
      </c>
    </row>
    <row r="2378" spans="1:6">
      <c r="A2378" t="s">
        <v>211</v>
      </c>
      <c r="B2378" t="s">
        <v>46</v>
      </c>
      <c r="C2378" s="3">
        <v>110.5</v>
      </c>
      <c r="D2378">
        <v>1</v>
      </c>
      <c r="E2378">
        <v>1</v>
      </c>
      <c r="F2378">
        <v>1</v>
      </c>
    </row>
    <row r="2379" spans="1:6">
      <c r="A2379" t="s">
        <v>211</v>
      </c>
      <c r="B2379" t="s">
        <v>392</v>
      </c>
      <c r="C2379" s="3"/>
      <c r="D2379">
        <v>0</v>
      </c>
      <c r="E2379">
        <v>1</v>
      </c>
      <c r="F2379">
        <v>1</v>
      </c>
    </row>
    <row r="2380" spans="1:6">
      <c r="A2380" t="s">
        <v>211</v>
      </c>
      <c r="B2380" t="s">
        <v>393</v>
      </c>
      <c r="C2380" s="3"/>
      <c r="D2380">
        <v>0</v>
      </c>
      <c r="E2380">
        <v>1</v>
      </c>
      <c r="F2380">
        <v>1</v>
      </c>
    </row>
    <row r="2381" spans="1:6">
      <c r="A2381" t="s">
        <v>211</v>
      </c>
      <c r="B2381" t="s">
        <v>394</v>
      </c>
      <c r="C2381" s="3"/>
      <c r="D2381">
        <v>0</v>
      </c>
      <c r="E2381">
        <v>1</v>
      </c>
      <c r="F2381">
        <v>1</v>
      </c>
    </row>
    <row r="2382" spans="1:6">
      <c r="A2382" t="s">
        <v>211</v>
      </c>
      <c r="B2382" t="s">
        <v>39</v>
      </c>
      <c r="C2382" s="3">
        <v>9.83363017905722</v>
      </c>
      <c r="D2382">
        <v>1</v>
      </c>
      <c r="E2382">
        <v>1</v>
      </c>
      <c r="F2382">
        <v>1</v>
      </c>
    </row>
    <row r="2383" spans="1:6">
      <c r="A2383" t="s">
        <v>211</v>
      </c>
      <c r="B2383" t="s">
        <v>43</v>
      </c>
      <c r="C2383" s="3">
        <v>1</v>
      </c>
      <c r="D2383">
        <v>1</v>
      </c>
      <c r="E2383">
        <v>1</v>
      </c>
      <c r="F2383">
        <v>1</v>
      </c>
    </row>
    <row r="2384" spans="1:6">
      <c r="A2384" t="s">
        <v>211</v>
      </c>
      <c r="B2384" t="s">
        <v>44</v>
      </c>
      <c r="C2384" s="3">
        <v>0.0999999999999943</v>
      </c>
      <c r="D2384">
        <v>1</v>
      </c>
      <c r="E2384">
        <v>1</v>
      </c>
      <c r="F2384">
        <v>1</v>
      </c>
    </row>
    <row r="2385" spans="1:6">
      <c r="A2385" t="s">
        <v>211</v>
      </c>
      <c r="B2385" t="s">
        <v>45</v>
      </c>
      <c r="C2385" s="3">
        <v>0.5</v>
      </c>
      <c r="D2385">
        <v>1</v>
      </c>
      <c r="E2385">
        <v>1</v>
      </c>
      <c r="F2385">
        <v>1</v>
      </c>
    </row>
    <row r="2386" spans="1:6">
      <c r="A2386" t="s">
        <v>211</v>
      </c>
      <c r="B2386" t="s">
        <v>396</v>
      </c>
      <c r="C2386" s="3"/>
      <c r="D2386">
        <v>0</v>
      </c>
      <c r="E2386">
        <v>1</v>
      </c>
      <c r="F2386">
        <v>1</v>
      </c>
    </row>
    <row r="2387" spans="1:6">
      <c r="A2387" t="s">
        <v>212</v>
      </c>
      <c r="B2387" t="s">
        <v>34</v>
      </c>
      <c r="C2387" s="3">
        <v>123.26</v>
      </c>
      <c r="D2387">
        <v>1</v>
      </c>
      <c r="E2387">
        <v>1</v>
      </c>
      <c r="F2387">
        <v>1</v>
      </c>
    </row>
    <row r="2388" spans="1:6">
      <c r="A2388" t="s">
        <v>212</v>
      </c>
      <c r="B2388" t="s">
        <v>35</v>
      </c>
      <c r="C2388" s="3">
        <v>6.5267</v>
      </c>
      <c r="D2388">
        <v>1</v>
      </c>
      <c r="E2388">
        <v>1</v>
      </c>
      <c r="F2388">
        <v>1</v>
      </c>
    </row>
    <row r="2389" spans="1:6">
      <c r="A2389" t="s">
        <v>212</v>
      </c>
      <c r="B2389" t="s">
        <v>36</v>
      </c>
      <c r="C2389" s="3">
        <v>804.481042</v>
      </c>
      <c r="D2389">
        <v>1</v>
      </c>
      <c r="E2389">
        <v>1</v>
      </c>
      <c r="F2389">
        <v>1</v>
      </c>
    </row>
    <row r="2390" spans="1:6">
      <c r="A2390" t="s">
        <v>212</v>
      </c>
      <c r="B2390" t="s">
        <v>40</v>
      </c>
      <c r="C2390" s="3">
        <v>111.6</v>
      </c>
      <c r="D2390">
        <v>1</v>
      </c>
      <c r="E2390">
        <v>1</v>
      </c>
      <c r="F2390">
        <v>1</v>
      </c>
    </row>
    <row r="2391" spans="1:6">
      <c r="A2391" t="s">
        <v>212</v>
      </c>
      <c r="B2391" t="s">
        <v>41</v>
      </c>
      <c r="C2391" s="3">
        <v>106.8</v>
      </c>
      <c r="D2391">
        <v>1</v>
      </c>
      <c r="E2391">
        <v>1</v>
      </c>
      <c r="F2391">
        <v>1</v>
      </c>
    </row>
    <row r="2392" spans="1:6">
      <c r="A2392" t="s">
        <v>212</v>
      </c>
      <c r="B2392" t="s">
        <v>42</v>
      </c>
      <c r="C2392" s="3">
        <v>105.3</v>
      </c>
      <c r="D2392">
        <v>1</v>
      </c>
      <c r="E2392">
        <v>1</v>
      </c>
      <c r="F2392">
        <v>1</v>
      </c>
    </row>
    <row r="2393" spans="1:6">
      <c r="A2393" t="s">
        <v>212</v>
      </c>
      <c r="B2393" t="s">
        <v>46</v>
      </c>
      <c r="C2393" s="3">
        <v>110.4</v>
      </c>
      <c r="D2393">
        <v>1</v>
      </c>
      <c r="E2393">
        <v>1</v>
      </c>
      <c r="F2393">
        <v>1</v>
      </c>
    </row>
    <row r="2394" spans="1:6">
      <c r="A2394" t="s">
        <v>212</v>
      </c>
      <c r="B2394" t="s">
        <v>392</v>
      </c>
      <c r="C2394" s="3"/>
      <c r="D2394">
        <v>0</v>
      </c>
      <c r="E2394">
        <v>1</v>
      </c>
      <c r="F2394">
        <v>1</v>
      </c>
    </row>
    <row r="2395" spans="1:6">
      <c r="A2395" t="s">
        <v>212</v>
      </c>
      <c r="B2395" t="s">
        <v>393</v>
      </c>
      <c r="C2395" s="3"/>
      <c r="D2395">
        <v>0</v>
      </c>
      <c r="E2395">
        <v>1</v>
      </c>
      <c r="F2395">
        <v>1</v>
      </c>
    </row>
    <row r="2396" spans="1:6">
      <c r="A2396" t="s">
        <v>212</v>
      </c>
      <c r="B2396" t="s">
        <v>394</v>
      </c>
      <c r="C2396" s="3"/>
      <c r="D2396">
        <v>0</v>
      </c>
      <c r="E2396">
        <v>1</v>
      </c>
      <c r="F2396">
        <v>1</v>
      </c>
    </row>
    <row r="2397" spans="1:6">
      <c r="A2397" t="s">
        <v>212</v>
      </c>
      <c r="B2397" t="s">
        <v>39</v>
      </c>
      <c r="C2397" s="3">
        <v>6.67242742956636</v>
      </c>
      <c r="D2397">
        <v>1</v>
      </c>
      <c r="E2397">
        <v>1</v>
      </c>
      <c r="F2397">
        <v>1</v>
      </c>
    </row>
    <row r="2398" spans="1:6">
      <c r="A2398" t="s">
        <v>212</v>
      </c>
      <c r="B2398" t="s">
        <v>43</v>
      </c>
      <c r="C2398" s="3">
        <v>1.69999999999999</v>
      </c>
      <c r="D2398">
        <v>1</v>
      </c>
      <c r="E2398">
        <v>1</v>
      </c>
      <c r="F2398">
        <v>1</v>
      </c>
    </row>
    <row r="2399" spans="1:6">
      <c r="A2399" t="s">
        <v>212</v>
      </c>
      <c r="B2399" t="s">
        <v>44</v>
      </c>
      <c r="C2399" s="3">
        <v>-0.5</v>
      </c>
      <c r="D2399">
        <v>1</v>
      </c>
      <c r="E2399">
        <v>1</v>
      </c>
      <c r="F2399">
        <v>1</v>
      </c>
    </row>
    <row r="2400" spans="1:6">
      <c r="A2400" t="s">
        <v>212</v>
      </c>
      <c r="B2400" t="s">
        <v>45</v>
      </c>
      <c r="C2400" s="3">
        <v>-0.100000000000009</v>
      </c>
      <c r="D2400">
        <v>1</v>
      </c>
      <c r="E2400">
        <v>1</v>
      </c>
      <c r="F2400">
        <v>1</v>
      </c>
    </row>
    <row r="2401" spans="1:6">
      <c r="A2401" t="s">
        <v>212</v>
      </c>
      <c r="B2401" t="s">
        <v>396</v>
      </c>
      <c r="C2401" s="3"/>
      <c r="D2401">
        <v>0</v>
      </c>
      <c r="E2401">
        <v>1</v>
      </c>
      <c r="F2401">
        <v>1</v>
      </c>
    </row>
    <row r="2402" spans="1:6">
      <c r="A2402" t="s">
        <v>213</v>
      </c>
      <c r="B2402" t="s">
        <v>34</v>
      </c>
      <c r="C2402" s="3">
        <v>114.99</v>
      </c>
      <c r="D2402">
        <v>1</v>
      </c>
      <c r="E2402">
        <v>1</v>
      </c>
      <c r="F2402">
        <v>1</v>
      </c>
    </row>
    <row r="2403" spans="1:6">
      <c r="A2403" t="s">
        <v>213</v>
      </c>
      <c r="B2403" t="s">
        <v>35</v>
      </c>
      <c r="C2403" s="3">
        <v>6.4957</v>
      </c>
      <c r="D2403">
        <v>1</v>
      </c>
      <c r="E2403">
        <v>1</v>
      </c>
      <c r="F2403">
        <v>1</v>
      </c>
    </row>
    <row r="2404" spans="1:6">
      <c r="A2404" t="s">
        <v>213</v>
      </c>
      <c r="B2404" t="s">
        <v>36</v>
      </c>
      <c r="C2404" s="3">
        <v>746.940543</v>
      </c>
      <c r="D2404">
        <v>1</v>
      </c>
      <c r="E2404">
        <v>1</v>
      </c>
      <c r="F2404">
        <v>1</v>
      </c>
    </row>
    <row r="2405" spans="1:6">
      <c r="A2405" t="s">
        <v>213</v>
      </c>
      <c r="B2405" t="s">
        <v>40</v>
      </c>
      <c r="C2405" s="3">
        <v>111.7</v>
      </c>
      <c r="D2405">
        <v>1</v>
      </c>
      <c r="E2405">
        <v>1</v>
      </c>
      <c r="F2405">
        <v>1</v>
      </c>
    </row>
    <row r="2406" spans="1:6">
      <c r="A2406" t="s">
        <v>213</v>
      </c>
      <c r="B2406" t="s">
        <v>41</v>
      </c>
      <c r="C2406" s="3">
        <v>106.8</v>
      </c>
      <c r="D2406">
        <v>1</v>
      </c>
      <c r="E2406">
        <v>1</v>
      </c>
      <c r="F2406">
        <v>1</v>
      </c>
    </row>
    <row r="2407" spans="1:6">
      <c r="A2407" t="s">
        <v>213</v>
      </c>
      <c r="B2407" t="s">
        <v>42</v>
      </c>
      <c r="C2407" s="3">
        <v>105.5</v>
      </c>
      <c r="D2407">
        <v>1</v>
      </c>
      <c r="E2407">
        <v>1</v>
      </c>
      <c r="F2407">
        <v>1</v>
      </c>
    </row>
    <row r="2408" spans="1:6">
      <c r="A2408" t="s">
        <v>213</v>
      </c>
      <c r="B2408" t="s">
        <v>46</v>
      </c>
      <c r="C2408" s="3">
        <v>110.2</v>
      </c>
      <c r="D2408">
        <v>1</v>
      </c>
      <c r="E2408">
        <v>1</v>
      </c>
      <c r="F2408">
        <v>1</v>
      </c>
    </row>
    <row r="2409" spans="1:6">
      <c r="A2409" t="s">
        <v>213</v>
      </c>
      <c r="B2409" t="s">
        <v>392</v>
      </c>
      <c r="C2409" s="3"/>
      <c r="D2409">
        <v>0</v>
      </c>
      <c r="E2409">
        <v>1</v>
      </c>
      <c r="F2409">
        <v>1</v>
      </c>
    </row>
    <row r="2410" spans="1:6">
      <c r="A2410" t="s">
        <v>213</v>
      </c>
      <c r="B2410" t="s">
        <v>393</v>
      </c>
      <c r="C2410" s="3"/>
      <c r="D2410">
        <v>0</v>
      </c>
      <c r="E2410">
        <v>1</v>
      </c>
      <c r="F2410">
        <v>1</v>
      </c>
    </row>
    <row r="2411" spans="1:6">
      <c r="A2411" t="s">
        <v>213</v>
      </c>
      <c r="B2411" t="s">
        <v>394</v>
      </c>
      <c r="C2411" s="3"/>
      <c r="D2411">
        <v>0</v>
      </c>
      <c r="E2411">
        <v>1</v>
      </c>
      <c r="F2411">
        <v>1</v>
      </c>
    </row>
    <row r="2412" spans="1:6">
      <c r="A2412" t="s">
        <v>213</v>
      </c>
      <c r="B2412" t="s">
        <v>39</v>
      </c>
      <c r="C2412" s="3">
        <v>-7.42118136201012</v>
      </c>
      <c r="D2412">
        <v>1</v>
      </c>
      <c r="E2412">
        <v>1</v>
      </c>
      <c r="F2412">
        <v>1</v>
      </c>
    </row>
    <row r="2413" spans="1:6">
      <c r="A2413" t="s">
        <v>213</v>
      </c>
      <c r="B2413" t="s">
        <v>43</v>
      </c>
      <c r="C2413" s="3">
        <v>0.100000000000009</v>
      </c>
      <c r="D2413">
        <v>1</v>
      </c>
      <c r="E2413">
        <v>1</v>
      </c>
      <c r="F2413">
        <v>1</v>
      </c>
    </row>
    <row r="2414" spans="1:6">
      <c r="A2414" t="s">
        <v>213</v>
      </c>
      <c r="B2414" t="s">
        <v>44</v>
      </c>
      <c r="C2414" s="3">
        <v>0</v>
      </c>
      <c r="D2414">
        <v>1</v>
      </c>
      <c r="E2414">
        <v>1</v>
      </c>
      <c r="F2414">
        <v>1</v>
      </c>
    </row>
    <row r="2415" spans="1:6">
      <c r="A2415" t="s">
        <v>213</v>
      </c>
      <c r="B2415" t="s">
        <v>45</v>
      </c>
      <c r="C2415" s="3">
        <v>0.200000000000003</v>
      </c>
      <c r="D2415">
        <v>1</v>
      </c>
      <c r="E2415">
        <v>1</v>
      </c>
      <c r="F2415">
        <v>1</v>
      </c>
    </row>
    <row r="2416" spans="1:6">
      <c r="A2416" t="s">
        <v>213</v>
      </c>
      <c r="B2416" t="s">
        <v>396</v>
      </c>
      <c r="C2416" s="3"/>
      <c r="D2416">
        <v>0</v>
      </c>
      <c r="E2416">
        <v>1</v>
      </c>
      <c r="F2416">
        <v>1</v>
      </c>
    </row>
    <row r="2417" spans="1:6">
      <c r="A2417" t="s">
        <v>214</v>
      </c>
      <c r="B2417" t="s">
        <v>34</v>
      </c>
      <c r="C2417" s="3">
        <v>113.83</v>
      </c>
      <c r="D2417">
        <v>1</v>
      </c>
      <c r="E2417">
        <v>1</v>
      </c>
      <c r="F2417">
        <v>1</v>
      </c>
    </row>
    <row r="2418" spans="1:6">
      <c r="A2418" t="s">
        <v>214</v>
      </c>
      <c r="B2418" t="s">
        <v>35</v>
      </c>
      <c r="C2418" s="3">
        <v>6.4746</v>
      </c>
      <c r="D2418">
        <v>1</v>
      </c>
      <c r="E2418">
        <v>1</v>
      </c>
      <c r="F2418">
        <v>1</v>
      </c>
    </row>
    <row r="2419" spans="1:6">
      <c r="A2419" t="s">
        <v>214</v>
      </c>
      <c r="B2419" t="s">
        <v>36</v>
      </c>
      <c r="C2419" s="3">
        <v>737.003718</v>
      </c>
      <c r="D2419">
        <v>1</v>
      </c>
      <c r="E2419">
        <v>1</v>
      </c>
      <c r="F2419">
        <v>1</v>
      </c>
    </row>
    <row r="2420" spans="1:6">
      <c r="A2420" t="s">
        <v>214</v>
      </c>
      <c r="B2420" t="s">
        <v>40</v>
      </c>
      <c r="C2420" s="3">
        <v>112</v>
      </c>
      <c r="D2420">
        <v>1</v>
      </c>
      <c r="E2420">
        <v>1</v>
      </c>
      <c r="F2420">
        <v>1</v>
      </c>
    </row>
    <row r="2421" spans="1:6">
      <c r="A2421" t="s">
        <v>214</v>
      </c>
      <c r="B2421" t="s">
        <v>41</v>
      </c>
      <c r="C2421" s="3">
        <v>107.1</v>
      </c>
      <c r="D2421">
        <v>1</v>
      </c>
      <c r="E2421">
        <v>1</v>
      </c>
      <c r="F2421">
        <v>1</v>
      </c>
    </row>
    <row r="2422" spans="1:6">
      <c r="A2422" t="s">
        <v>214</v>
      </c>
      <c r="B2422" t="s">
        <v>42</v>
      </c>
      <c r="C2422" s="3">
        <v>106.4</v>
      </c>
      <c r="D2422">
        <v>1</v>
      </c>
      <c r="E2422">
        <v>1</v>
      </c>
      <c r="F2422">
        <v>1</v>
      </c>
    </row>
    <row r="2423" spans="1:6">
      <c r="A2423" t="s">
        <v>214</v>
      </c>
      <c r="B2423" t="s">
        <v>46</v>
      </c>
      <c r="C2423" s="3">
        <v>110.5</v>
      </c>
      <c r="D2423">
        <v>1</v>
      </c>
      <c r="E2423">
        <v>1</v>
      </c>
      <c r="F2423">
        <v>1</v>
      </c>
    </row>
    <row r="2424" spans="1:6">
      <c r="A2424" t="s">
        <v>214</v>
      </c>
      <c r="B2424" t="s">
        <v>392</v>
      </c>
      <c r="C2424" s="3"/>
      <c r="D2424">
        <v>0</v>
      </c>
      <c r="E2424">
        <v>1</v>
      </c>
      <c r="F2424">
        <v>1</v>
      </c>
    </row>
    <row r="2425" spans="1:6">
      <c r="A2425" t="s">
        <v>214</v>
      </c>
      <c r="B2425" t="s">
        <v>393</v>
      </c>
      <c r="C2425" s="3"/>
      <c r="D2425">
        <v>0</v>
      </c>
      <c r="E2425">
        <v>1</v>
      </c>
      <c r="F2425">
        <v>1</v>
      </c>
    </row>
    <row r="2426" spans="1:6">
      <c r="A2426" t="s">
        <v>214</v>
      </c>
      <c r="B2426" t="s">
        <v>394</v>
      </c>
      <c r="C2426" s="3"/>
      <c r="D2426">
        <v>0</v>
      </c>
      <c r="E2426">
        <v>1</v>
      </c>
      <c r="F2426">
        <v>1</v>
      </c>
    </row>
    <row r="2427" spans="1:6">
      <c r="A2427" t="s">
        <v>214</v>
      </c>
      <c r="B2427" t="s">
        <v>39</v>
      </c>
      <c r="C2427" s="3">
        <v>-1.33926506347757</v>
      </c>
      <c r="D2427">
        <v>1</v>
      </c>
      <c r="E2427">
        <v>1</v>
      </c>
      <c r="F2427">
        <v>1</v>
      </c>
    </row>
    <row r="2428" spans="1:6">
      <c r="A2428" t="s">
        <v>214</v>
      </c>
      <c r="B2428" t="s">
        <v>43</v>
      </c>
      <c r="C2428" s="3">
        <v>0.299999999999997</v>
      </c>
      <c r="D2428">
        <v>1</v>
      </c>
      <c r="E2428">
        <v>1</v>
      </c>
      <c r="F2428">
        <v>1</v>
      </c>
    </row>
    <row r="2429" spans="1:6">
      <c r="A2429" t="s">
        <v>214</v>
      </c>
      <c r="B2429" t="s">
        <v>44</v>
      </c>
      <c r="C2429" s="3">
        <v>0.299999999999997</v>
      </c>
      <c r="D2429">
        <v>1</v>
      </c>
      <c r="E2429">
        <v>1</v>
      </c>
      <c r="F2429">
        <v>1</v>
      </c>
    </row>
    <row r="2430" spans="1:6">
      <c r="A2430" t="s">
        <v>214</v>
      </c>
      <c r="B2430" t="s">
        <v>45</v>
      </c>
      <c r="C2430" s="3">
        <v>0.900000000000006</v>
      </c>
      <c r="D2430">
        <v>1</v>
      </c>
      <c r="E2430">
        <v>1</v>
      </c>
      <c r="F2430">
        <v>1</v>
      </c>
    </row>
    <row r="2431" spans="1:6">
      <c r="A2431" t="s">
        <v>214</v>
      </c>
      <c r="B2431" t="s">
        <v>396</v>
      </c>
      <c r="C2431" s="3"/>
      <c r="D2431">
        <v>0</v>
      </c>
      <c r="E2431">
        <v>1</v>
      </c>
      <c r="F2431">
        <v>1</v>
      </c>
    </row>
    <row r="2432" spans="1:6">
      <c r="A2432" t="s">
        <v>215</v>
      </c>
      <c r="B2432" t="s">
        <v>34</v>
      </c>
      <c r="C2432" s="3">
        <v>116.97</v>
      </c>
      <c r="D2432">
        <v>1</v>
      </c>
      <c r="E2432">
        <v>1</v>
      </c>
      <c r="F2432">
        <v>1</v>
      </c>
    </row>
    <row r="2433" spans="1:6">
      <c r="A2433" t="s">
        <v>215</v>
      </c>
      <c r="B2433" t="s">
        <v>35</v>
      </c>
      <c r="C2433" s="3">
        <v>6.4575</v>
      </c>
      <c r="D2433">
        <v>1</v>
      </c>
      <c r="E2433">
        <v>1</v>
      </c>
      <c r="F2433">
        <v>1</v>
      </c>
    </row>
    <row r="2434" spans="1:6">
      <c r="A2434" t="s">
        <v>215</v>
      </c>
      <c r="B2434" t="s">
        <v>36</v>
      </c>
      <c r="C2434" s="3">
        <v>755.333775</v>
      </c>
      <c r="D2434">
        <v>1</v>
      </c>
      <c r="E2434">
        <v>1</v>
      </c>
      <c r="F2434">
        <v>1</v>
      </c>
    </row>
    <row r="2435" spans="1:6">
      <c r="A2435" t="s">
        <v>215</v>
      </c>
      <c r="B2435" t="s">
        <v>40</v>
      </c>
      <c r="C2435" s="3">
        <v>112.6</v>
      </c>
      <c r="D2435">
        <v>1</v>
      </c>
      <c r="E2435">
        <v>1</v>
      </c>
      <c r="F2435">
        <v>1</v>
      </c>
    </row>
    <row r="2436" spans="1:6">
      <c r="A2436" t="s">
        <v>215</v>
      </c>
      <c r="B2436" t="s">
        <v>41</v>
      </c>
      <c r="C2436" s="3">
        <v>107.5</v>
      </c>
      <c r="D2436">
        <v>1</v>
      </c>
      <c r="E2436">
        <v>1</v>
      </c>
      <c r="F2436">
        <v>1</v>
      </c>
    </row>
    <row r="2437" spans="1:6">
      <c r="A2437" t="s">
        <v>215</v>
      </c>
      <c r="B2437" t="s">
        <v>42</v>
      </c>
      <c r="C2437" s="3">
        <v>106.5</v>
      </c>
      <c r="D2437">
        <v>1</v>
      </c>
      <c r="E2437">
        <v>1</v>
      </c>
      <c r="F2437">
        <v>1</v>
      </c>
    </row>
    <row r="2438" spans="1:6">
      <c r="A2438" t="s">
        <v>215</v>
      </c>
      <c r="B2438" t="s">
        <v>46</v>
      </c>
      <c r="C2438" s="3">
        <v>111</v>
      </c>
      <c r="D2438">
        <v>1</v>
      </c>
      <c r="E2438">
        <v>1</v>
      </c>
      <c r="F2438">
        <v>1</v>
      </c>
    </row>
    <row r="2439" spans="1:6">
      <c r="A2439" t="s">
        <v>215</v>
      </c>
      <c r="B2439" t="s">
        <v>392</v>
      </c>
      <c r="C2439" s="3"/>
      <c r="D2439">
        <v>0</v>
      </c>
      <c r="E2439">
        <v>1</v>
      </c>
      <c r="F2439">
        <v>1</v>
      </c>
    </row>
    <row r="2440" spans="1:6">
      <c r="A2440" t="s">
        <v>215</v>
      </c>
      <c r="B2440" t="s">
        <v>393</v>
      </c>
      <c r="C2440" s="3"/>
      <c r="D2440">
        <v>0</v>
      </c>
      <c r="E2440">
        <v>1</v>
      </c>
      <c r="F2440">
        <v>1</v>
      </c>
    </row>
    <row r="2441" spans="1:6">
      <c r="A2441" t="s">
        <v>215</v>
      </c>
      <c r="B2441" t="s">
        <v>394</v>
      </c>
      <c r="C2441" s="3"/>
      <c r="D2441">
        <v>0</v>
      </c>
      <c r="E2441">
        <v>1</v>
      </c>
      <c r="F2441">
        <v>1</v>
      </c>
    </row>
    <row r="2442" spans="1:6">
      <c r="A2442" t="s">
        <v>215</v>
      </c>
      <c r="B2442" t="s">
        <v>39</v>
      </c>
      <c r="C2442" s="3">
        <v>2.4566800697743</v>
      </c>
      <c r="D2442">
        <v>1</v>
      </c>
      <c r="E2442">
        <v>1</v>
      </c>
      <c r="F2442">
        <v>1</v>
      </c>
    </row>
    <row r="2443" spans="1:6">
      <c r="A2443" t="s">
        <v>215</v>
      </c>
      <c r="B2443" t="s">
        <v>43</v>
      </c>
      <c r="C2443" s="3">
        <v>0.599999999999994</v>
      </c>
      <c r="D2443">
        <v>1</v>
      </c>
      <c r="E2443">
        <v>1</v>
      </c>
      <c r="F2443">
        <v>1</v>
      </c>
    </row>
    <row r="2444" spans="1:6">
      <c r="A2444" t="s">
        <v>215</v>
      </c>
      <c r="B2444" t="s">
        <v>44</v>
      </c>
      <c r="C2444" s="3">
        <v>0.400000000000006</v>
      </c>
      <c r="D2444">
        <v>1</v>
      </c>
      <c r="E2444">
        <v>1</v>
      </c>
      <c r="F2444">
        <v>1</v>
      </c>
    </row>
    <row r="2445" spans="1:6">
      <c r="A2445" t="s">
        <v>215</v>
      </c>
      <c r="B2445" t="s">
        <v>45</v>
      </c>
      <c r="C2445" s="3">
        <v>0.0999999999999943</v>
      </c>
      <c r="D2445">
        <v>1</v>
      </c>
      <c r="E2445">
        <v>1</v>
      </c>
      <c r="F2445">
        <v>1</v>
      </c>
    </row>
    <row r="2446" spans="1:6">
      <c r="A2446" t="s">
        <v>215</v>
      </c>
      <c r="B2446" t="s">
        <v>396</v>
      </c>
      <c r="C2446" s="3"/>
      <c r="D2446">
        <v>0</v>
      </c>
      <c r="E2446">
        <v>1</v>
      </c>
      <c r="F2446">
        <v>1</v>
      </c>
    </row>
    <row r="2447" spans="1:6">
      <c r="A2447" t="s">
        <v>216</v>
      </c>
      <c r="B2447" t="s">
        <v>34</v>
      </c>
      <c r="C2447" s="3">
        <v>110.22</v>
      </c>
      <c r="D2447">
        <v>1</v>
      </c>
      <c r="E2447">
        <v>1</v>
      </c>
      <c r="F2447">
        <v>1</v>
      </c>
    </row>
    <row r="2448" spans="1:6">
      <c r="A2448" t="s">
        <v>216</v>
      </c>
      <c r="B2448" t="s">
        <v>35</v>
      </c>
      <c r="C2448" s="3">
        <v>6.4036</v>
      </c>
      <c r="D2448">
        <v>1</v>
      </c>
      <c r="E2448">
        <v>1</v>
      </c>
      <c r="F2448">
        <v>1</v>
      </c>
    </row>
    <row r="2449" spans="1:6">
      <c r="A2449" t="s">
        <v>216</v>
      </c>
      <c r="B2449" t="s">
        <v>36</v>
      </c>
      <c r="C2449" s="3">
        <v>705.804792</v>
      </c>
      <c r="D2449">
        <v>1</v>
      </c>
      <c r="E2449">
        <v>1</v>
      </c>
      <c r="F2449">
        <v>1</v>
      </c>
    </row>
    <row r="2450" spans="1:6">
      <c r="A2450" t="s">
        <v>216</v>
      </c>
      <c r="B2450" t="s">
        <v>40</v>
      </c>
      <c r="C2450" s="3">
        <v>112.7</v>
      </c>
      <c r="D2450">
        <v>1</v>
      </c>
      <c r="E2450">
        <v>1</v>
      </c>
      <c r="F2450">
        <v>1</v>
      </c>
    </row>
    <row r="2451" spans="1:6">
      <c r="A2451" t="s">
        <v>216</v>
      </c>
      <c r="B2451" t="s">
        <v>41</v>
      </c>
      <c r="C2451" s="3">
        <v>107.3</v>
      </c>
      <c r="D2451">
        <v>1</v>
      </c>
      <c r="E2451">
        <v>1</v>
      </c>
      <c r="F2451">
        <v>1</v>
      </c>
    </row>
    <row r="2452" spans="1:6">
      <c r="A2452" t="s">
        <v>216</v>
      </c>
      <c r="B2452" t="s">
        <v>42</v>
      </c>
      <c r="C2452" s="3">
        <v>106.2</v>
      </c>
      <c r="D2452">
        <v>1</v>
      </c>
      <c r="E2452">
        <v>1</v>
      </c>
      <c r="F2452">
        <v>1</v>
      </c>
    </row>
    <row r="2453" spans="1:6">
      <c r="A2453" t="s">
        <v>216</v>
      </c>
      <c r="B2453" t="s">
        <v>46</v>
      </c>
      <c r="C2453" s="3">
        <v>110.6</v>
      </c>
      <c r="D2453">
        <v>1</v>
      </c>
      <c r="E2453">
        <v>1</v>
      </c>
      <c r="F2453">
        <v>1</v>
      </c>
    </row>
    <row r="2454" spans="1:6">
      <c r="A2454" t="s">
        <v>216</v>
      </c>
      <c r="B2454" t="s">
        <v>392</v>
      </c>
      <c r="C2454" s="3"/>
      <c r="D2454">
        <v>0</v>
      </c>
      <c r="E2454">
        <v>1</v>
      </c>
      <c r="F2454">
        <v>1</v>
      </c>
    </row>
    <row r="2455" spans="1:6">
      <c r="A2455" t="s">
        <v>216</v>
      </c>
      <c r="B2455" t="s">
        <v>393</v>
      </c>
      <c r="C2455" s="3"/>
      <c r="D2455">
        <v>0</v>
      </c>
      <c r="E2455">
        <v>1</v>
      </c>
      <c r="F2455">
        <v>1</v>
      </c>
    </row>
    <row r="2456" spans="1:6">
      <c r="A2456" t="s">
        <v>216</v>
      </c>
      <c r="B2456" t="s">
        <v>394</v>
      </c>
      <c r="C2456" s="3"/>
      <c r="D2456">
        <v>0</v>
      </c>
      <c r="E2456">
        <v>1</v>
      </c>
      <c r="F2456">
        <v>1</v>
      </c>
    </row>
    <row r="2457" spans="1:6">
      <c r="A2457" t="s">
        <v>216</v>
      </c>
      <c r="B2457" t="s">
        <v>39</v>
      </c>
      <c r="C2457" s="3">
        <v>-6.78210369735824</v>
      </c>
      <c r="D2457">
        <v>1</v>
      </c>
      <c r="E2457">
        <v>1</v>
      </c>
      <c r="F2457">
        <v>1</v>
      </c>
    </row>
    <row r="2458" spans="1:6">
      <c r="A2458" t="s">
        <v>216</v>
      </c>
      <c r="B2458" t="s">
        <v>43</v>
      </c>
      <c r="C2458" s="3">
        <v>0.100000000000009</v>
      </c>
      <c r="D2458">
        <v>1</v>
      </c>
      <c r="E2458">
        <v>1</v>
      </c>
      <c r="F2458">
        <v>1</v>
      </c>
    </row>
    <row r="2459" spans="1:6">
      <c r="A2459" t="s">
        <v>216</v>
      </c>
      <c r="B2459" t="s">
        <v>44</v>
      </c>
      <c r="C2459" s="3">
        <v>-0.200000000000003</v>
      </c>
      <c r="D2459">
        <v>1</v>
      </c>
      <c r="E2459">
        <v>1</v>
      </c>
      <c r="F2459">
        <v>1</v>
      </c>
    </row>
    <row r="2460" spans="1:6">
      <c r="A2460" t="s">
        <v>216</v>
      </c>
      <c r="B2460" t="s">
        <v>45</v>
      </c>
      <c r="C2460" s="3">
        <v>-0.299999999999997</v>
      </c>
      <c r="D2460">
        <v>1</v>
      </c>
      <c r="E2460">
        <v>1</v>
      </c>
      <c r="F2460">
        <v>1</v>
      </c>
    </row>
    <row r="2461" spans="1:6">
      <c r="A2461" t="s">
        <v>216</v>
      </c>
      <c r="B2461" t="s">
        <v>396</v>
      </c>
      <c r="C2461" s="3"/>
      <c r="D2461">
        <v>0</v>
      </c>
      <c r="E2461">
        <v>1</v>
      </c>
      <c r="F2461">
        <v>1</v>
      </c>
    </row>
    <row r="2462" spans="1:6">
      <c r="A2462" t="s">
        <v>217</v>
      </c>
      <c r="B2462" t="s">
        <v>34</v>
      </c>
      <c r="C2462" s="3">
        <v>112.83</v>
      </c>
      <c r="D2462">
        <v>1</v>
      </c>
      <c r="E2462">
        <v>1</v>
      </c>
      <c r="F2462">
        <v>1</v>
      </c>
    </row>
    <row r="2463" spans="1:6">
      <c r="A2463" t="s">
        <v>217</v>
      </c>
      <c r="B2463" t="s">
        <v>35</v>
      </c>
      <c r="C2463" s="3">
        <v>6.3885</v>
      </c>
      <c r="D2463">
        <v>1</v>
      </c>
      <c r="E2463">
        <v>1</v>
      </c>
      <c r="F2463">
        <v>1</v>
      </c>
    </row>
    <row r="2464" spans="1:6">
      <c r="A2464" t="s">
        <v>217</v>
      </c>
      <c r="B2464" t="s">
        <v>36</v>
      </c>
      <c r="C2464" s="3">
        <v>720.814455</v>
      </c>
      <c r="D2464">
        <v>1</v>
      </c>
      <c r="E2464">
        <v>1</v>
      </c>
      <c r="F2464">
        <v>1</v>
      </c>
    </row>
    <row r="2465" spans="1:6">
      <c r="A2465" t="s">
        <v>217</v>
      </c>
      <c r="B2465" t="s">
        <v>40</v>
      </c>
      <c r="C2465" s="3">
        <v>112.3</v>
      </c>
      <c r="D2465">
        <v>1</v>
      </c>
      <c r="E2465">
        <v>1</v>
      </c>
      <c r="F2465">
        <v>1</v>
      </c>
    </row>
    <row r="2466" spans="1:6">
      <c r="A2466" t="s">
        <v>217</v>
      </c>
      <c r="B2466" t="s">
        <v>41</v>
      </c>
      <c r="C2466" s="3">
        <v>106.5</v>
      </c>
      <c r="D2466">
        <v>1</v>
      </c>
      <c r="E2466">
        <v>1</v>
      </c>
      <c r="F2466">
        <v>1</v>
      </c>
    </row>
    <row r="2467" spans="1:6">
      <c r="A2467" t="s">
        <v>217</v>
      </c>
      <c r="B2467" t="s">
        <v>42</v>
      </c>
      <c r="C2467" s="3">
        <v>106.1</v>
      </c>
      <c r="D2467">
        <v>1</v>
      </c>
      <c r="E2467">
        <v>1</v>
      </c>
      <c r="F2467">
        <v>1</v>
      </c>
    </row>
    <row r="2468" spans="1:6">
      <c r="A2468" t="s">
        <v>217</v>
      </c>
      <c r="B2468" t="s">
        <v>46</v>
      </c>
      <c r="C2468" s="3">
        <v>110</v>
      </c>
      <c r="D2468">
        <v>1</v>
      </c>
      <c r="E2468">
        <v>1</v>
      </c>
      <c r="F2468">
        <v>1</v>
      </c>
    </row>
    <row r="2469" spans="1:6">
      <c r="A2469" t="s">
        <v>217</v>
      </c>
      <c r="B2469" t="s">
        <v>392</v>
      </c>
      <c r="C2469" s="3"/>
      <c r="D2469">
        <v>0</v>
      </c>
      <c r="E2469">
        <v>1</v>
      </c>
      <c r="F2469">
        <v>1</v>
      </c>
    </row>
    <row r="2470" spans="1:6">
      <c r="A2470" t="s">
        <v>217</v>
      </c>
      <c r="B2470" t="s">
        <v>393</v>
      </c>
      <c r="C2470" s="3"/>
      <c r="D2470">
        <v>0</v>
      </c>
      <c r="E2470">
        <v>1</v>
      </c>
      <c r="F2470">
        <v>1</v>
      </c>
    </row>
    <row r="2471" spans="1:6">
      <c r="A2471" t="s">
        <v>217</v>
      </c>
      <c r="B2471" t="s">
        <v>394</v>
      </c>
      <c r="C2471" s="3"/>
      <c r="D2471">
        <v>0</v>
      </c>
      <c r="E2471">
        <v>1</v>
      </c>
      <c r="F2471">
        <v>1</v>
      </c>
    </row>
    <row r="2472" spans="1:6">
      <c r="A2472" t="s">
        <v>217</v>
      </c>
      <c r="B2472" t="s">
        <v>39</v>
      </c>
      <c r="C2472" s="3">
        <v>2.10430595227037</v>
      </c>
      <c r="D2472">
        <v>1</v>
      </c>
      <c r="E2472">
        <v>1</v>
      </c>
      <c r="F2472">
        <v>1</v>
      </c>
    </row>
    <row r="2473" spans="1:6">
      <c r="A2473" t="s">
        <v>217</v>
      </c>
      <c r="B2473" t="s">
        <v>43</v>
      </c>
      <c r="C2473" s="3">
        <v>-0.400000000000006</v>
      </c>
      <c r="D2473">
        <v>1</v>
      </c>
      <c r="E2473">
        <v>1</v>
      </c>
      <c r="F2473">
        <v>1</v>
      </c>
    </row>
    <row r="2474" spans="1:6">
      <c r="A2474" t="s">
        <v>217</v>
      </c>
      <c r="B2474" t="s">
        <v>44</v>
      </c>
      <c r="C2474" s="3">
        <v>-0.799999999999997</v>
      </c>
      <c r="D2474">
        <v>1</v>
      </c>
      <c r="E2474">
        <v>1</v>
      </c>
      <c r="F2474">
        <v>1</v>
      </c>
    </row>
    <row r="2475" spans="1:6">
      <c r="A2475" t="s">
        <v>217</v>
      </c>
      <c r="B2475" t="s">
        <v>45</v>
      </c>
      <c r="C2475" s="3">
        <v>-0.100000000000009</v>
      </c>
      <c r="D2475">
        <v>1</v>
      </c>
      <c r="E2475">
        <v>1</v>
      </c>
      <c r="F2475">
        <v>1</v>
      </c>
    </row>
    <row r="2476" spans="1:6">
      <c r="A2476" t="s">
        <v>217</v>
      </c>
      <c r="B2476" t="s">
        <v>396</v>
      </c>
      <c r="C2476" s="3"/>
      <c r="D2476">
        <v>0</v>
      </c>
      <c r="E2476">
        <v>1</v>
      </c>
      <c r="F2476">
        <v>1</v>
      </c>
    </row>
    <row r="2477" spans="1:6">
      <c r="A2477" t="s">
        <v>218</v>
      </c>
      <c r="B2477" t="s">
        <v>34</v>
      </c>
      <c r="C2477" s="3">
        <v>109.55</v>
      </c>
      <c r="D2477">
        <v>1</v>
      </c>
      <c r="E2477">
        <v>1</v>
      </c>
      <c r="F2477">
        <v>1</v>
      </c>
    </row>
    <row r="2478" spans="1:6">
      <c r="A2478" t="s">
        <v>218</v>
      </c>
      <c r="B2478" t="s">
        <v>35</v>
      </c>
      <c r="C2478" s="3">
        <v>6.371</v>
      </c>
      <c r="D2478">
        <v>1</v>
      </c>
      <c r="E2478">
        <v>1</v>
      </c>
      <c r="F2478">
        <v>1</v>
      </c>
    </row>
    <row r="2479" spans="1:6">
      <c r="A2479" t="s">
        <v>218</v>
      </c>
      <c r="B2479" t="s">
        <v>36</v>
      </c>
      <c r="C2479" s="3">
        <v>697.94305</v>
      </c>
      <c r="D2479">
        <v>1</v>
      </c>
      <c r="E2479">
        <v>1</v>
      </c>
      <c r="F2479">
        <v>1</v>
      </c>
    </row>
    <row r="2480" spans="1:6">
      <c r="A2480" t="s">
        <v>218</v>
      </c>
      <c r="B2480" t="s">
        <v>40</v>
      </c>
      <c r="C2480" s="3">
        <v>111.3</v>
      </c>
      <c r="D2480">
        <v>1</v>
      </c>
      <c r="E2480">
        <v>1</v>
      </c>
      <c r="F2480">
        <v>1</v>
      </c>
    </row>
    <row r="2481" spans="1:6">
      <c r="A2481" t="s">
        <v>218</v>
      </c>
      <c r="B2481" t="s">
        <v>41</v>
      </c>
      <c r="C2481" s="3">
        <v>105</v>
      </c>
      <c r="D2481">
        <v>1</v>
      </c>
      <c r="E2481">
        <v>1</v>
      </c>
      <c r="F2481">
        <v>1</v>
      </c>
    </row>
    <row r="2482" spans="1:6">
      <c r="A2482" t="s">
        <v>218</v>
      </c>
      <c r="B2482" t="s">
        <v>42</v>
      </c>
      <c r="C2482" s="3">
        <v>105.5</v>
      </c>
      <c r="D2482">
        <v>1</v>
      </c>
      <c r="E2482">
        <v>1</v>
      </c>
      <c r="F2482">
        <v>1</v>
      </c>
    </row>
    <row r="2483" spans="1:6">
      <c r="A2483" t="s">
        <v>218</v>
      </c>
      <c r="B2483" t="s">
        <v>46</v>
      </c>
      <c r="C2483" s="3">
        <v>108</v>
      </c>
      <c r="D2483">
        <v>1</v>
      </c>
      <c r="E2483">
        <v>1</v>
      </c>
      <c r="F2483">
        <v>1</v>
      </c>
    </row>
    <row r="2484" spans="1:6">
      <c r="A2484" t="s">
        <v>218</v>
      </c>
      <c r="B2484" t="s">
        <v>392</v>
      </c>
      <c r="C2484" s="3"/>
      <c r="D2484">
        <v>0</v>
      </c>
      <c r="E2484">
        <v>1</v>
      </c>
      <c r="F2484">
        <v>1</v>
      </c>
    </row>
    <row r="2485" spans="1:6">
      <c r="A2485" t="s">
        <v>218</v>
      </c>
      <c r="B2485" t="s">
        <v>393</v>
      </c>
      <c r="C2485" s="3"/>
      <c r="D2485">
        <v>0</v>
      </c>
      <c r="E2485">
        <v>1</v>
      </c>
      <c r="F2485">
        <v>1</v>
      </c>
    </row>
    <row r="2486" spans="1:6">
      <c r="A2486" t="s">
        <v>218</v>
      </c>
      <c r="B2486" t="s">
        <v>394</v>
      </c>
      <c r="C2486" s="3"/>
      <c r="D2486">
        <v>0</v>
      </c>
      <c r="E2486">
        <v>1</v>
      </c>
      <c r="F2486">
        <v>1</v>
      </c>
    </row>
    <row r="2487" spans="1:6">
      <c r="A2487" t="s">
        <v>218</v>
      </c>
      <c r="B2487" t="s">
        <v>39</v>
      </c>
      <c r="C2487" s="3">
        <v>-3.22442510237687</v>
      </c>
      <c r="D2487">
        <v>1</v>
      </c>
      <c r="E2487">
        <v>1</v>
      </c>
      <c r="F2487">
        <v>1</v>
      </c>
    </row>
    <row r="2488" spans="1:6">
      <c r="A2488" t="s">
        <v>218</v>
      </c>
      <c r="B2488" t="s">
        <v>43</v>
      </c>
      <c r="C2488" s="3">
        <v>-1</v>
      </c>
      <c r="D2488">
        <v>1</v>
      </c>
      <c r="E2488">
        <v>1</v>
      </c>
      <c r="F2488">
        <v>1</v>
      </c>
    </row>
    <row r="2489" spans="1:6">
      <c r="A2489" t="s">
        <v>218</v>
      </c>
      <c r="B2489" t="s">
        <v>44</v>
      </c>
      <c r="C2489" s="3">
        <v>-1.5</v>
      </c>
      <c r="D2489">
        <v>1</v>
      </c>
      <c r="E2489">
        <v>1</v>
      </c>
      <c r="F2489">
        <v>1</v>
      </c>
    </row>
    <row r="2490" spans="1:6">
      <c r="A2490" t="s">
        <v>218</v>
      </c>
      <c r="B2490" t="s">
        <v>45</v>
      </c>
      <c r="C2490" s="3">
        <v>-0.599999999999994</v>
      </c>
      <c r="D2490">
        <v>1</v>
      </c>
      <c r="E2490">
        <v>1</v>
      </c>
      <c r="F2490">
        <v>1</v>
      </c>
    </row>
    <row r="2491" spans="1:6">
      <c r="A2491" t="s">
        <v>218</v>
      </c>
      <c r="B2491" t="s">
        <v>396</v>
      </c>
      <c r="C2491" s="3"/>
      <c r="D2491">
        <v>0</v>
      </c>
      <c r="E2491">
        <v>1</v>
      </c>
      <c r="F2491">
        <v>1</v>
      </c>
    </row>
    <row r="2492" spans="1:6">
      <c r="A2492" t="s">
        <v>219</v>
      </c>
      <c r="B2492" t="s">
        <v>34</v>
      </c>
      <c r="C2492" s="3">
        <v>110.77</v>
      </c>
      <c r="D2492">
        <v>1</v>
      </c>
      <c r="E2492">
        <v>1</v>
      </c>
      <c r="F2492">
        <v>1</v>
      </c>
    </row>
    <row r="2493" spans="1:6">
      <c r="A2493" t="s">
        <v>219</v>
      </c>
      <c r="B2493" t="s">
        <v>35</v>
      </c>
      <c r="C2493" s="3">
        <v>6.3564</v>
      </c>
      <c r="D2493">
        <v>1</v>
      </c>
      <c r="E2493">
        <v>1</v>
      </c>
      <c r="F2493">
        <v>1</v>
      </c>
    </row>
    <row r="2494" spans="1:6">
      <c r="A2494" t="s">
        <v>219</v>
      </c>
      <c r="B2494" t="s">
        <v>36</v>
      </c>
      <c r="C2494" s="3">
        <v>704.098428</v>
      </c>
      <c r="D2494">
        <v>1</v>
      </c>
      <c r="E2494">
        <v>1</v>
      </c>
      <c r="F2494">
        <v>1</v>
      </c>
    </row>
    <row r="2495" spans="1:6">
      <c r="A2495" t="s">
        <v>219</v>
      </c>
      <c r="B2495" t="s">
        <v>40</v>
      </c>
      <c r="C2495" s="3">
        <v>109.3</v>
      </c>
      <c r="D2495">
        <v>1</v>
      </c>
      <c r="E2495">
        <v>1</v>
      </c>
      <c r="F2495">
        <v>1</v>
      </c>
    </row>
    <row r="2496" spans="1:6">
      <c r="A2496" t="s">
        <v>219</v>
      </c>
      <c r="B2496" t="s">
        <v>41</v>
      </c>
      <c r="C2496" s="3">
        <v>102.7</v>
      </c>
      <c r="D2496">
        <v>1</v>
      </c>
      <c r="E2496">
        <v>1</v>
      </c>
      <c r="F2496">
        <v>1</v>
      </c>
    </row>
    <row r="2497" spans="1:6">
      <c r="A2497" t="s">
        <v>219</v>
      </c>
      <c r="B2497" t="s">
        <v>42</v>
      </c>
      <c r="C2497" s="3">
        <v>104.2</v>
      </c>
      <c r="D2497">
        <v>1</v>
      </c>
      <c r="E2497">
        <v>1</v>
      </c>
      <c r="F2497">
        <v>1</v>
      </c>
    </row>
    <row r="2498" spans="1:6">
      <c r="A2498" t="s">
        <v>219</v>
      </c>
      <c r="B2498" t="s">
        <v>46</v>
      </c>
      <c r="C2498" s="3">
        <v>105.1</v>
      </c>
      <c r="D2498">
        <v>1</v>
      </c>
      <c r="E2498">
        <v>1</v>
      </c>
      <c r="F2498">
        <v>1</v>
      </c>
    </row>
    <row r="2499" spans="1:6">
      <c r="A2499" t="s">
        <v>219</v>
      </c>
      <c r="B2499" t="s">
        <v>392</v>
      </c>
      <c r="C2499" s="3"/>
      <c r="D2499">
        <v>0</v>
      </c>
      <c r="E2499">
        <v>1</v>
      </c>
      <c r="F2499">
        <v>1</v>
      </c>
    </row>
    <row r="2500" spans="1:6">
      <c r="A2500" t="s">
        <v>219</v>
      </c>
      <c r="B2500" t="s">
        <v>393</v>
      </c>
      <c r="C2500" s="3"/>
      <c r="D2500">
        <v>0</v>
      </c>
      <c r="E2500">
        <v>1</v>
      </c>
      <c r="F2500">
        <v>1</v>
      </c>
    </row>
    <row r="2501" spans="1:6">
      <c r="A2501" t="s">
        <v>219</v>
      </c>
      <c r="B2501" t="s">
        <v>394</v>
      </c>
      <c r="C2501" s="3"/>
      <c r="D2501">
        <v>0</v>
      </c>
      <c r="E2501">
        <v>1</v>
      </c>
      <c r="F2501">
        <v>1</v>
      </c>
    </row>
    <row r="2502" spans="1:6">
      <c r="A2502" t="s">
        <v>219</v>
      </c>
      <c r="B2502" t="s">
        <v>39</v>
      </c>
      <c r="C2502" s="3">
        <v>0.878064970935884</v>
      </c>
      <c r="D2502">
        <v>1</v>
      </c>
      <c r="E2502">
        <v>1</v>
      </c>
      <c r="F2502">
        <v>1</v>
      </c>
    </row>
    <row r="2503" spans="1:6">
      <c r="A2503" t="s">
        <v>219</v>
      </c>
      <c r="B2503" t="s">
        <v>43</v>
      </c>
      <c r="C2503" s="3">
        <v>-2</v>
      </c>
      <c r="D2503">
        <v>1</v>
      </c>
      <c r="E2503">
        <v>1</v>
      </c>
      <c r="F2503">
        <v>1</v>
      </c>
    </row>
    <row r="2504" spans="1:6">
      <c r="A2504" t="s">
        <v>219</v>
      </c>
      <c r="B2504" t="s">
        <v>44</v>
      </c>
      <c r="C2504" s="3">
        <v>-2.3</v>
      </c>
      <c r="D2504">
        <v>1</v>
      </c>
      <c r="E2504">
        <v>1</v>
      </c>
      <c r="F2504">
        <v>1</v>
      </c>
    </row>
    <row r="2505" spans="1:6">
      <c r="A2505" t="s">
        <v>219</v>
      </c>
      <c r="B2505" t="s">
        <v>45</v>
      </c>
      <c r="C2505" s="3">
        <v>-1.3</v>
      </c>
      <c r="D2505">
        <v>1</v>
      </c>
      <c r="E2505">
        <v>1</v>
      </c>
      <c r="F2505">
        <v>1</v>
      </c>
    </row>
    <row r="2506" spans="1:6">
      <c r="A2506" t="s">
        <v>219</v>
      </c>
      <c r="B2506" t="s">
        <v>396</v>
      </c>
      <c r="C2506" s="3"/>
      <c r="D2506">
        <v>0</v>
      </c>
      <c r="E2506">
        <v>1</v>
      </c>
      <c r="F2506">
        <v>1</v>
      </c>
    </row>
    <row r="2507" spans="1:6">
      <c r="A2507" t="s">
        <v>220</v>
      </c>
      <c r="B2507" t="s">
        <v>34</v>
      </c>
      <c r="C2507" s="3">
        <v>107.87</v>
      </c>
      <c r="D2507">
        <v>1</v>
      </c>
      <c r="E2507">
        <v>1</v>
      </c>
      <c r="F2507">
        <v>1</v>
      </c>
    </row>
    <row r="2508" spans="1:6">
      <c r="A2508" t="s">
        <v>220</v>
      </c>
      <c r="B2508" t="s">
        <v>35</v>
      </c>
      <c r="C2508" s="3">
        <v>6.3482</v>
      </c>
      <c r="D2508">
        <v>1</v>
      </c>
      <c r="E2508">
        <v>1</v>
      </c>
      <c r="F2508">
        <v>1</v>
      </c>
    </row>
    <row r="2509" spans="1:6">
      <c r="A2509" t="s">
        <v>220</v>
      </c>
      <c r="B2509" t="s">
        <v>36</v>
      </c>
      <c r="C2509" s="3">
        <v>684.780334</v>
      </c>
      <c r="D2509">
        <v>1</v>
      </c>
      <c r="E2509">
        <v>1</v>
      </c>
      <c r="F2509">
        <v>1</v>
      </c>
    </row>
    <row r="2510" spans="1:6">
      <c r="A2510" t="s">
        <v>220</v>
      </c>
      <c r="B2510" t="s">
        <v>40</v>
      </c>
      <c r="C2510" s="3">
        <v>108.4</v>
      </c>
      <c r="D2510">
        <v>1</v>
      </c>
      <c r="E2510">
        <v>1</v>
      </c>
      <c r="F2510">
        <v>1</v>
      </c>
    </row>
    <row r="2511" spans="1:6">
      <c r="A2511" t="s">
        <v>220</v>
      </c>
      <c r="B2511" t="s">
        <v>41</v>
      </c>
      <c r="C2511" s="3">
        <v>101.7</v>
      </c>
      <c r="D2511">
        <v>1</v>
      </c>
      <c r="E2511">
        <v>1</v>
      </c>
      <c r="F2511">
        <v>1</v>
      </c>
    </row>
    <row r="2512" spans="1:6">
      <c r="A2512" t="s">
        <v>220</v>
      </c>
      <c r="B2512" t="s">
        <v>42</v>
      </c>
      <c r="C2512" s="3">
        <v>104.1</v>
      </c>
      <c r="D2512">
        <v>1</v>
      </c>
      <c r="E2512">
        <v>1</v>
      </c>
      <c r="F2512">
        <v>1</v>
      </c>
    </row>
    <row r="2513" spans="1:6">
      <c r="A2513" t="s">
        <v>220</v>
      </c>
      <c r="B2513" t="s">
        <v>46</v>
      </c>
      <c r="C2513" s="3">
        <v>103.5</v>
      </c>
      <c r="D2513">
        <v>1</v>
      </c>
      <c r="E2513">
        <v>1</v>
      </c>
      <c r="F2513">
        <v>1</v>
      </c>
    </row>
    <row r="2514" spans="1:6">
      <c r="A2514" t="s">
        <v>220</v>
      </c>
      <c r="B2514" t="s">
        <v>392</v>
      </c>
      <c r="C2514" s="3"/>
      <c r="D2514">
        <v>0</v>
      </c>
      <c r="E2514">
        <v>1</v>
      </c>
      <c r="F2514">
        <v>1</v>
      </c>
    </row>
    <row r="2515" spans="1:6">
      <c r="A2515" t="s">
        <v>220</v>
      </c>
      <c r="B2515" t="s">
        <v>393</v>
      </c>
      <c r="C2515" s="3"/>
      <c r="D2515">
        <v>0</v>
      </c>
      <c r="E2515">
        <v>1</v>
      </c>
      <c r="F2515">
        <v>1</v>
      </c>
    </row>
    <row r="2516" spans="1:6">
      <c r="A2516" t="s">
        <v>220</v>
      </c>
      <c r="B2516" t="s">
        <v>394</v>
      </c>
      <c r="C2516" s="3"/>
      <c r="D2516">
        <v>0</v>
      </c>
      <c r="E2516">
        <v>1</v>
      </c>
      <c r="F2516">
        <v>1</v>
      </c>
    </row>
    <row r="2517" spans="1:6">
      <c r="A2517" t="s">
        <v>220</v>
      </c>
      <c r="B2517" t="s">
        <v>39</v>
      </c>
      <c r="C2517" s="3">
        <v>-2.78200523438509</v>
      </c>
      <c r="D2517">
        <v>1</v>
      </c>
      <c r="E2517">
        <v>1</v>
      </c>
      <c r="F2517">
        <v>1</v>
      </c>
    </row>
    <row r="2518" spans="1:6">
      <c r="A2518" t="s">
        <v>220</v>
      </c>
      <c r="B2518" t="s">
        <v>43</v>
      </c>
      <c r="C2518" s="3">
        <v>-0.899999999999991</v>
      </c>
      <c r="D2518">
        <v>1</v>
      </c>
      <c r="E2518">
        <v>1</v>
      </c>
      <c r="F2518">
        <v>1</v>
      </c>
    </row>
    <row r="2519" spans="1:6">
      <c r="A2519" t="s">
        <v>220</v>
      </c>
      <c r="B2519" t="s">
        <v>44</v>
      </c>
      <c r="C2519" s="3">
        <v>-1</v>
      </c>
      <c r="D2519">
        <v>1</v>
      </c>
      <c r="E2519">
        <v>1</v>
      </c>
      <c r="F2519">
        <v>1</v>
      </c>
    </row>
    <row r="2520" spans="1:6">
      <c r="A2520" t="s">
        <v>220</v>
      </c>
      <c r="B2520" t="s">
        <v>45</v>
      </c>
      <c r="C2520" s="3">
        <v>-0.100000000000009</v>
      </c>
      <c r="D2520">
        <v>1</v>
      </c>
      <c r="E2520">
        <v>1</v>
      </c>
      <c r="F2520">
        <v>1</v>
      </c>
    </row>
    <row r="2521" spans="1:6">
      <c r="A2521" t="s">
        <v>220</v>
      </c>
      <c r="B2521" t="s">
        <v>396</v>
      </c>
      <c r="C2521" s="3"/>
      <c r="D2521">
        <v>0</v>
      </c>
      <c r="E2521">
        <v>1</v>
      </c>
      <c r="F2521">
        <v>1</v>
      </c>
    </row>
    <row r="2522" spans="1:6">
      <c r="A2522" t="s">
        <v>221</v>
      </c>
      <c r="B2522" t="s">
        <v>34</v>
      </c>
      <c r="C2522" s="3">
        <v>110.69</v>
      </c>
      <c r="D2522">
        <v>1</v>
      </c>
      <c r="E2522">
        <v>1</v>
      </c>
      <c r="F2522">
        <v>1</v>
      </c>
    </row>
    <row r="2523" spans="1:6">
      <c r="A2523" t="s">
        <v>221</v>
      </c>
      <c r="B2523" t="s">
        <v>35</v>
      </c>
      <c r="C2523" s="3">
        <v>6.3172</v>
      </c>
      <c r="D2523">
        <v>1</v>
      </c>
      <c r="E2523">
        <v>1</v>
      </c>
      <c r="F2523">
        <v>1</v>
      </c>
    </row>
    <row r="2524" spans="1:6">
      <c r="A2524" t="s">
        <v>221</v>
      </c>
      <c r="B2524" t="s">
        <v>36</v>
      </c>
      <c r="C2524" s="3">
        <v>699.250868</v>
      </c>
      <c r="D2524">
        <v>1</v>
      </c>
      <c r="E2524">
        <v>1</v>
      </c>
      <c r="F2524">
        <v>1</v>
      </c>
    </row>
    <row r="2525" spans="1:6">
      <c r="A2525" t="s">
        <v>221</v>
      </c>
      <c r="B2525" t="s">
        <v>40</v>
      </c>
      <c r="C2525" s="3">
        <v>106.6</v>
      </c>
      <c r="D2525">
        <v>1</v>
      </c>
      <c r="E2525">
        <v>1</v>
      </c>
      <c r="F2525">
        <v>1</v>
      </c>
    </row>
    <row r="2526" spans="1:6">
      <c r="A2526" t="s">
        <v>221</v>
      </c>
      <c r="B2526" t="s">
        <v>41</v>
      </c>
      <c r="C2526" s="3">
        <v>100.7</v>
      </c>
      <c r="D2526">
        <v>1</v>
      </c>
      <c r="E2526">
        <v>1</v>
      </c>
      <c r="F2526">
        <v>1</v>
      </c>
    </row>
    <row r="2527" spans="1:6">
      <c r="A2527" t="s">
        <v>221</v>
      </c>
      <c r="B2527" t="s">
        <v>42</v>
      </c>
      <c r="C2527" s="3">
        <v>104.5</v>
      </c>
      <c r="D2527">
        <v>1</v>
      </c>
      <c r="E2527">
        <v>1</v>
      </c>
      <c r="F2527">
        <v>1</v>
      </c>
    </row>
    <row r="2528" spans="1:6">
      <c r="A2528" t="s">
        <v>221</v>
      </c>
      <c r="B2528" t="s">
        <v>46</v>
      </c>
      <c r="C2528" s="3">
        <v>102</v>
      </c>
      <c r="D2528">
        <v>1</v>
      </c>
      <c r="E2528">
        <v>1</v>
      </c>
      <c r="F2528">
        <v>1</v>
      </c>
    </row>
    <row r="2529" spans="1:6">
      <c r="A2529" t="s">
        <v>221</v>
      </c>
      <c r="B2529" t="s">
        <v>392</v>
      </c>
      <c r="C2529" s="3"/>
      <c r="D2529">
        <v>0</v>
      </c>
      <c r="E2529">
        <v>1</v>
      </c>
      <c r="F2529">
        <v>1</v>
      </c>
    </row>
    <row r="2530" spans="1:6">
      <c r="A2530" t="s">
        <v>221</v>
      </c>
      <c r="B2530" t="s">
        <v>393</v>
      </c>
      <c r="C2530" s="3"/>
      <c r="D2530">
        <v>0</v>
      </c>
      <c r="E2530">
        <v>1</v>
      </c>
      <c r="F2530">
        <v>1</v>
      </c>
    </row>
    <row r="2531" spans="1:6">
      <c r="A2531" t="s">
        <v>221</v>
      </c>
      <c r="B2531" t="s">
        <v>394</v>
      </c>
      <c r="C2531" s="3"/>
      <c r="D2531">
        <v>0</v>
      </c>
      <c r="E2531">
        <v>1</v>
      </c>
      <c r="F2531">
        <v>1</v>
      </c>
    </row>
    <row r="2532" spans="1:6">
      <c r="A2532" t="s">
        <v>221</v>
      </c>
      <c r="B2532" t="s">
        <v>39</v>
      </c>
      <c r="C2532" s="3">
        <v>2.09114668699604</v>
      </c>
      <c r="D2532">
        <v>1</v>
      </c>
      <c r="E2532">
        <v>1</v>
      </c>
      <c r="F2532">
        <v>1</v>
      </c>
    </row>
    <row r="2533" spans="1:6">
      <c r="A2533" t="s">
        <v>221</v>
      </c>
      <c r="B2533" t="s">
        <v>43</v>
      </c>
      <c r="C2533" s="3">
        <v>-1.80000000000001</v>
      </c>
      <c r="D2533">
        <v>1</v>
      </c>
      <c r="E2533">
        <v>1</v>
      </c>
      <c r="F2533">
        <v>1</v>
      </c>
    </row>
    <row r="2534" spans="1:6">
      <c r="A2534" t="s">
        <v>221</v>
      </c>
      <c r="B2534" t="s">
        <v>44</v>
      </c>
      <c r="C2534" s="3">
        <v>-1</v>
      </c>
      <c r="D2534">
        <v>1</v>
      </c>
      <c r="E2534">
        <v>1</v>
      </c>
      <c r="F2534">
        <v>1</v>
      </c>
    </row>
    <row r="2535" spans="1:6">
      <c r="A2535" t="s">
        <v>221</v>
      </c>
      <c r="B2535" t="s">
        <v>45</v>
      </c>
      <c r="C2535" s="3">
        <v>0.400000000000006</v>
      </c>
      <c r="D2535">
        <v>1</v>
      </c>
      <c r="E2535">
        <v>1</v>
      </c>
      <c r="F2535">
        <v>1</v>
      </c>
    </row>
    <row r="2536" spans="1:6">
      <c r="A2536" t="s">
        <v>221</v>
      </c>
      <c r="B2536" t="s">
        <v>396</v>
      </c>
      <c r="C2536" s="3"/>
      <c r="D2536">
        <v>0</v>
      </c>
      <c r="E2536">
        <v>1</v>
      </c>
      <c r="F2536">
        <v>1</v>
      </c>
    </row>
    <row r="2537" spans="1:6">
      <c r="A2537" t="s">
        <v>222</v>
      </c>
      <c r="B2537" t="s">
        <v>34</v>
      </c>
      <c r="C2537" s="3">
        <v>119.33</v>
      </c>
      <c r="D2537">
        <v>1</v>
      </c>
      <c r="E2537">
        <v>1</v>
      </c>
      <c r="F2537">
        <v>1</v>
      </c>
    </row>
    <row r="2538" spans="1:6">
      <c r="A2538" t="s">
        <v>222</v>
      </c>
      <c r="B2538" t="s">
        <v>35</v>
      </c>
      <c r="C2538" s="3">
        <v>6.2997</v>
      </c>
      <c r="D2538">
        <v>1</v>
      </c>
      <c r="E2538">
        <v>1</v>
      </c>
      <c r="F2538">
        <v>1</v>
      </c>
    </row>
    <row r="2539" spans="1:6">
      <c r="A2539" t="s">
        <v>222</v>
      </c>
      <c r="B2539" t="s">
        <v>36</v>
      </c>
      <c r="C2539" s="3">
        <v>751.743201</v>
      </c>
      <c r="D2539">
        <v>1</v>
      </c>
      <c r="E2539">
        <v>1</v>
      </c>
      <c r="F2539">
        <v>1</v>
      </c>
    </row>
    <row r="2540" spans="1:6">
      <c r="A2540" t="s">
        <v>222</v>
      </c>
      <c r="B2540" t="s">
        <v>40</v>
      </c>
      <c r="C2540" s="3">
        <v>106</v>
      </c>
      <c r="D2540">
        <v>1</v>
      </c>
      <c r="E2540">
        <v>1</v>
      </c>
      <c r="F2540">
        <v>1</v>
      </c>
    </row>
    <row r="2541" spans="1:6">
      <c r="A2541" t="s">
        <v>222</v>
      </c>
      <c r="B2541" t="s">
        <v>41</v>
      </c>
      <c r="C2541" s="3">
        <v>100</v>
      </c>
      <c r="D2541">
        <v>1</v>
      </c>
      <c r="E2541">
        <v>1</v>
      </c>
      <c r="F2541">
        <v>1</v>
      </c>
    </row>
    <row r="2542" spans="1:6">
      <c r="A2542" t="s">
        <v>222</v>
      </c>
      <c r="B2542" t="s">
        <v>42</v>
      </c>
      <c r="C2542" s="3">
        <v>103.2</v>
      </c>
      <c r="D2542">
        <v>1</v>
      </c>
      <c r="E2542">
        <v>1</v>
      </c>
      <c r="F2542">
        <v>1</v>
      </c>
    </row>
    <row r="2543" spans="1:6">
      <c r="A2543" t="s">
        <v>222</v>
      </c>
      <c r="B2543" t="s">
        <v>46</v>
      </c>
      <c r="C2543" s="3">
        <v>101</v>
      </c>
      <c r="D2543">
        <v>1</v>
      </c>
      <c r="E2543">
        <v>1</v>
      </c>
      <c r="F2543">
        <v>1</v>
      </c>
    </row>
    <row r="2544" spans="1:6">
      <c r="A2544" t="s">
        <v>222</v>
      </c>
      <c r="B2544" t="s">
        <v>392</v>
      </c>
      <c r="C2544" s="3"/>
      <c r="D2544">
        <v>0</v>
      </c>
      <c r="E2544">
        <v>1</v>
      </c>
      <c r="F2544">
        <v>1</v>
      </c>
    </row>
    <row r="2545" spans="1:6">
      <c r="A2545" t="s">
        <v>222</v>
      </c>
      <c r="B2545" t="s">
        <v>393</v>
      </c>
      <c r="C2545" s="3"/>
      <c r="D2545">
        <v>0</v>
      </c>
      <c r="E2545">
        <v>1</v>
      </c>
      <c r="F2545">
        <v>1</v>
      </c>
    </row>
    <row r="2546" spans="1:6">
      <c r="A2546" t="s">
        <v>222</v>
      </c>
      <c r="B2546" t="s">
        <v>394</v>
      </c>
      <c r="C2546" s="3"/>
      <c r="D2546">
        <v>0</v>
      </c>
      <c r="E2546">
        <v>1</v>
      </c>
      <c r="F2546">
        <v>1</v>
      </c>
    </row>
    <row r="2547" spans="1:6">
      <c r="A2547" t="s">
        <v>222</v>
      </c>
      <c r="B2547" t="s">
        <v>39</v>
      </c>
      <c r="C2547" s="3">
        <v>7.23852041863143</v>
      </c>
      <c r="D2547">
        <v>1</v>
      </c>
      <c r="E2547">
        <v>1</v>
      </c>
      <c r="F2547">
        <v>1</v>
      </c>
    </row>
    <row r="2548" spans="1:6">
      <c r="A2548" t="s">
        <v>222</v>
      </c>
      <c r="B2548" t="s">
        <v>43</v>
      </c>
      <c r="C2548" s="3">
        <v>-0.599999999999994</v>
      </c>
      <c r="D2548">
        <v>1</v>
      </c>
      <c r="E2548">
        <v>1</v>
      </c>
      <c r="F2548">
        <v>1</v>
      </c>
    </row>
    <row r="2549" spans="1:6">
      <c r="A2549" t="s">
        <v>222</v>
      </c>
      <c r="B2549" t="s">
        <v>44</v>
      </c>
      <c r="C2549" s="3">
        <v>-0.700000000000003</v>
      </c>
      <c r="D2549">
        <v>1</v>
      </c>
      <c r="E2549">
        <v>1</v>
      </c>
      <c r="F2549">
        <v>1</v>
      </c>
    </row>
    <row r="2550" spans="1:6">
      <c r="A2550" t="s">
        <v>222</v>
      </c>
      <c r="B2550" t="s">
        <v>45</v>
      </c>
      <c r="C2550" s="3">
        <v>-1.3</v>
      </c>
      <c r="D2550">
        <v>1</v>
      </c>
      <c r="E2550">
        <v>1</v>
      </c>
      <c r="F2550">
        <v>1</v>
      </c>
    </row>
    <row r="2551" spans="1:6">
      <c r="A2551" t="s">
        <v>222</v>
      </c>
      <c r="B2551" t="s">
        <v>396</v>
      </c>
      <c r="C2551" s="3"/>
      <c r="D2551">
        <v>0</v>
      </c>
      <c r="E2551">
        <v>1</v>
      </c>
      <c r="F2551">
        <v>1</v>
      </c>
    </row>
    <row r="2552" spans="1:6">
      <c r="A2552" t="s">
        <v>223</v>
      </c>
      <c r="B2552" t="s">
        <v>34</v>
      </c>
      <c r="C2552" s="3">
        <v>125.45</v>
      </c>
      <c r="D2552">
        <v>1</v>
      </c>
      <c r="E2552">
        <v>1</v>
      </c>
      <c r="F2552">
        <v>1</v>
      </c>
    </row>
    <row r="2553" spans="1:6">
      <c r="A2553" t="s">
        <v>223</v>
      </c>
      <c r="B2553" t="s">
        <v>35</v>
      </c>
      <c r="C2553" s="3">
        <v>6.3125</v>
      </c>
      <c r="D2553">
        <v>1</v>
      </c>
      <c r="E2553">
        <v>1</v>
      </c>
      <c r="F2553">
        <v>1</v>
      </c>
    </row>
    <row r="2554" spans="1:6">
      <c r="A2554" t="s">
        <v>223</v>
      </c>
      <c r="B2554" t="s">
        <v>36</v>
      </c>
      <c r="C2554" s="3">
        <v>791.903125</v>
      </c>
      <c r="D2554">
        <v>1</v>
      </c>
      <c r="E2554">
        <v>1</v>
      </c>
      <c r="F2554">
        <v>1</v>
      </c>
    </row>
    <row r="2555" spans="1:6">
      <c r="A2555" t="s">
        <v>223</v>
      </c>
      <c r="B2555" t="s">
        <v>40</v>
      </c>
      <c r="C2555" s="3">
        <v>105.1</v>
      </c>
      <c r="D2555">
        <v>1</v>
      </c>
      <c r="E2555">
        <v>1</v>
      </c>
      <c r="F2555">
        <v>1</v>
      </c>
    </row>
    <row r="2556" spans="1:6">
      <c r="A2556" t="s">
        <v>223</v>
      </c>
      <c r="B2556" t="s">
        <v>41</v>
      </c>
      <c r="C2556" s="3">
        <v>99.7</v>
      </c>
      <c r="D2556">
        <v>1</v>
      </c>
      <c r="E2556">
        <v>1</v>
      </c>
      <c r="F2556">
        <v>1</v>
      </c>
    </row>
    <row r="2557" spans="1:6">
      <c r="A2557" t="s">
        <v>223</v>
      </c>
      <c r="B2557" t="s">
        <v>42</v>
      </c>
      <c r="C2557" s="3">
        <v>103.6</v>
      </c>
      <c r="D2557">
        <v>1</v>
      </c>
      <c r="E2557">
        <v>1</v>
      </c>
      <c r="F2557">
        <v>1</v>
      </c>
    </row>
    <row r="2558" spans="1:6">
      <c r="A2558" t="s">
        <v>223</v>
      </c>
      <c r="B2558" t="s">
        <v>46</v>
      </c>
      <c r="C2558" s="3">
        <v>100.1</v>
      </c>
      <c r="D2558">
        <v>1</v>
      </c>
      <c r="E2558">
        <v>1</v>
      </c>
      <c r="F2558">
        <v>1</v>
      </c>
    </row>
    <row r="2559" spans="1:6">
      <c r="A2559" t="s">
        <v>223</v>
      </c>
      <c r="B2559" t="s">
        <v>392</v>
      </c>
      <c r="C2559" s="3"/>
      <c r="D2559">
        <v>0</v>
      </c>
      <c r="E2559">
        <v>1</v>
      </c>
      <c r="F2559">
        <v>1</v>
      </c>
    </row>
    <row r="2560" spans="1:6">
      <c r="A2560" t="s">
        <v>223</v>
      </c>
      <c r="B2560" t="s">
        <v>393</v>
      </c>
      <c r="C2560" s="3"/>
      <c r="D2560">
        <v>0</v>
      </c>
      <c r="E2560">
        <v>1</v>
      </c>
      <c r="F2560">
        <v>1</v>
      </c>
    </row>
    <row r="2561" spans="1:6">
      <c r="A2561" t="s">
        <v>223</v>
      </c>
      <c r="B2561" t="s">
        <v>394</v>
      </c>
      <c r="C2561" s="3"/>
      <c r="D2561">
        <v>0</v>
      </c>
      <c r="E2561">
        <v>1</v>
      </c>
      <c r="F2561">
        <v>1</v>
      </c>
    </row>
    <row r="2562" spans="1:6">
      <c r="A2562" t="s">
        <v>223</v>
      </c>
      <c r="B2562" t="s">
        <v>39</v>
      </c>
      <c r="C2562" s="3">
        <v>5.20442898163001</v>
      </c>
      <c r="D2562">
        <v>1</v>
      </c>
      <c r="E2562">
        <v>1</v>
      </c>
      <c r="F2562">
        <v>1</v>
      </c>
    </row>
    <row r="2563" spans="1:6">
      <c r="A2563" t="s">
        <v>223</v>
      </c>
      <c r="B2563" t="s">
        <v>43</v>
      </c>
      <c r="C2563" s="3">
        <v>-0.900000000000006</v>
      </c>
      <c r="D2563">
        <v>1</v>
      </c>
      <c r="E2563">
        <v>1</v>
      </c>
      <c r="F2563">
        <v>1</v>
      </c>
    </row>
    <row r="2564" spans="1:6">
      <c r="A2564" t="s">
        <v>223</v>
      </c>
      <c r="B2564" t="s">
        <v>44</v>
      </c>
      <c r="C2564" s="3">
        <v>-0.299999999999997</v>
      </c>
      <c r="D2564">
        <v>1</v>
      </c>
      <c r="E2564">
        <v>1</v>
      </c>
      <c r="F2564">
        <v>1</v>
      </c>
    </row>
    <row r="2565" spans="1:6">
      <c r="A2565" t="s">
        <v>223</v>
      </c>
      <c r="B2565" t="s">
        <v>45</v>
      </c>
      <c r="C2565" s="3">
        <v>0.399999999999991</v>
      </c>
      <c r="D2565">
        <v>1</v>
      </c>
      <c r="E2565">
        <v>1</v>
      </c>
      <c r="F2565">
        <v>1</v>
      </c>
    </row>
    <row r="2566" spans="1:6">
      <c r="A2566" t="s">
        <v>223</v>
      </c>
      <c r="B2566" t="s">
        <v>396</v>
      </c>
      <c r="C2566" s="3"/>
      <c r="D2566">
        <v>0</v>
      </c>
      <c r="E2566">
        <v>1</v>
      </c>
      <c r="F2566">
        <v>1</v>
      </c>
    </row>
    <row r="2567" spans="1:6">
      <c r="A2567" t="s">
        <v>224</v>
      </c>
      <c r="B2567" t="s">
        <v>34</v>
      </c>
      <c r="C2567" s="3">
        <v>119.75</v>
      </c>
      <c r="D2567">
        <v>1</v>
      </c>
      <c r="E2567">
        <v>1</v>
      </c>
      <c r="F2567">
        <v>1</v>
      </c>
    </row>
    <row r="2568" spans="1:6">
      <c r="A2568" t="s">
        <v>224</v>
      </c>
      <c r="B2568" t="s">
        <v>35</v>
      </c>
      <c r="C2568" s="3">
        <v>6.3043</v>
      </c>
      <c r="D2568">
        <v>1</v>
      </c>
      <c r="E2568">
        <v>1</v>
      </c>
      <c r="F2568">
        <v>1</v>
      </c>
    </row>
    <row r="2569" spans="1:6">
      <c r="A2569" t="s">
        <v>224</v>
      </c>
      <c r="B2569" t="s">
        <v>36</v>
      </c>
      <c r="C2569" s="3">
        <v>754.939925</v>
      </c>
      <c r="D2569">
        <v>1</v>
      </c>
      <c r="E2569">
        <v>1</v>
      </c>
      <c r="F2569">
        <v>1</v>
      </c>
    </row>
    <row r="2570" spans="1:6">
      <c r="A2570" t="s">
        <v>224</v>
      </c>
      <c r="B2570" t="s">
        <v>40</v>
      </c>
      <c r="C2570" s="3">
        <v>103.4</v>
      </c>
      <c r="D2570">
        <v>1</v>
      </c>
      <c r="E2570">
        <v>1</v>
      </c>
      <c r="F2570">
        <v>1</v>
      </c>
    </row>
    <row r="2571" spans="1:6">
      <c r="A2571" t="s">
        <v>224</v>
      </c>
      <c r="B2571" t="s">
        <v>41</v>
      </c>
      <c r="C2571" s="3">
        <v>99.3</v>
      </c>
      <c r="D2571">
        <v>1</v>
      </c>
      <c r="E2571">
        <v>1</v>
      </c>
      <c r="F2571">
        <v>1</v>
      </c>
    </row>
    <row r="2572" spans="1:6">
      <c r="A2572" t="s">
        <v>224</v>
      </c>
      <c r="B2572" t="s">
        <v>42</v>
      </c>
      <c r="C2572" s="3">
        <v>103.4</v>
      </c>
      <c r="D2572">
        <v>1</v>
      </c>
      <c r="E2572">
        <v>1</v>
      </c>
      <c r="F2572">
        <v>1</v>
      </c>
    </row>
    <row r="2573" spans="1:6">
      <c r="A2573" t="s">
        <v>224</v>
      </c>
      <c r="B2573" t="s">
        <v>46</v>
      </c>
      <c r="C2573" s="3">
        <v>99.2</v>
      </c>
      <c r="D2573">
        <v>1</v>
      </c>
      <c r="E2573">
        <v>1</v>
      </c>
      <c r="F2573">
        <v>1</v>
      </c>
    </row>
    <row r="2574" spans="1:6">
      <c r="A2574" t="s">
        <v>224</v>
      </c>
      <c r="B2574" t="s">
        <v>392</v>
      </c>
      <c r="C2574" s="3"/>
      <c r="D2574">
        <v>0</v>
      </c>
      <c r="E2574">
        <v>1</v>
      </c>
      <c r="F2574">
        <v>1</v>
      </c>
    </row>
    <row r="2575" spans="1:6">
      <c r="A2575" t="s">
        <v>224</v>
      </c>
      <c r="B2575" t="s">
        <v>393</v>
      </c>
      <c r="C2575" s="3"/>
      <c r="D2575">
        <v>0</v>
      </c>
      <c r="E2575">
        <v>1</v>
      </c>
      <c r="F2575">
        <v>1</v>
      </c>
    </row>
    <row r="2576" spans="1:6">
      <c r="A2576" t="s">
        <v>224</v>
      </c>
      <c r="B2576" t="s">
        <v>394</v>
      </c>
      <c r="C2576" s="3"/>
      <c r="D2576">
        <v>0</v>
      </c>
      <c r="E2576">
        <v>1</v>
      </c>
      <c r="F2576">
        <v>1</v>
      </c>
    </row>
    <row r="2577" spans="1:6">
      <c r="A2577" t="s">
        <v>224</v>
      </c>
      <c r="B2577" t="s">
        <v>39</v>
      </c>
      <c r="C2577" s="3">
        <v>-4.78008908671323</v>
      </c>
      <c r="D2577">
        <v>1</v>
      </c>
      <c r="E2577">
        <v>1</v>
      </c>
      <c r="F2577">
        <v>1</v>
      </c>
    </row>
    <row r="2578" spans="1:6">
      <c r="A2578" t="s">
        <v>224</v>
      </c>
      <c r="B2578" t="s">
        <v>43</v>
      </c>
      <c r="C2578" s="3">
        <v>-1.69999999999999</v>
      </c>
      <c r="D2578">
        <v>1</v>
      </c>
      <c r="E2578">
        <v>1</v>
      </c>
      <c r="F2578">
        <v>1</v>
      </c>
    </row>
    <row r="2579" spans="1:6">
      <c r="A2579" t="s">
        <v>224</v>
      </c>
      <c r="B2579" t="s">
        <v>44</v>
      </c>
      <c r="C2579" s="3">
        <v>-0.400000000000006</v>
      </c>
      <c r="D2579">
        <v>1</v>
      </c>
      <c r="E2579">
        <v>1</v>
      </c>
      <c r="F2579">
        <v>1</v>
      </c>
    </row>
    <row r="2580" spans="1:6">
      <c r="A2580" t="s">
        <v>224</v>
      </c>
      <c r="B2580" t="s">
        <v>45</v>
      </c>
      <c r="C2580" s="3">
        <v>-0.199999999999989</v>
      </c>
      <c r="D2580">
        <v>1</v>
      </c>
      <c r="E2580">
        <v>1</v>
      </c>
      <c r="F2580">
        <v>1</v>
      </c>
    </row>
    <row r="2581" spans="1:6">
      <c r="A2581" t="s">
        <v>224</v>
      </c>
      <c r="B2581" t="s">
        <v>396</v>
      </c>
      <c r="C2581" s="3"/>
      <c r="D2581">
        <v>0</v>
      </c>
      <c r="E2581">
        <v>1</v>
      </c>
      <c r="F2581">
        <v>1</v>
      </c>
    </row>
    <row r="2582" spans="1:6">
      <c r="A2582" t="s">
        <v>225</v>
      </c>
      <c r="B2582" t="s">
        <v>34</v>
      </c>
      <c r="C2582" s="3">
        <v>110.34</v>
      </c>
      <c r="D2582">
        <v>1</v>
      </c>
      <c r="E2582">
        <v>1</v>
      </c>
      <c r="F2582">
        <v>1</v>
      </c>
    </row>
    <row r="2583" spans="1:6">
      <c r="A2583" t="s">
        <v>225</v>
      </c>
      <c r="B2583" t="s">
        <v>35</v>
      </c>
      <c r="C2583" s="3">
        <v>6.3242</v>
      </c>
      <c r="D2583">
        <v>1</v>
      </c>
      <c r="E2583">
        <v>1</v>
      </c>
      <c r="F2583">
        <v>1</v>
      </c>
    </row>
    <row r="2584" spans="1:6">
      <c r="A2584" t="s">
        <v>225</v>
      </c>
      <c r="B2584" t="s">
        <v>36</v>
      </c>
      <c r="C2584" s="3">
        <v>697.812228</v>
      </c>
      <c r="D2584">
        <v>1</v>
      </c>
      <c r="E2584">
        <v>1</v>
      </c>
      <c r="F2584">
        <v>1</v>
      </c>
    </row>
    <row r="2585" spans="1:6">
      <c r="A2585" t="s">
        <v>225</v>
      </c>
      <c r="B2585" t="s">
        <v>40</v>
      </c>
      <c r="C2585" s="3">
        <v>101.6</v>
      </c>
      <c r="D2585">
        <v>1</v>
      </c>
      <c r="E2585">
        <v>1</v>
      </c>
      <c r="F2585">
        <v>1</v>
      </c>
    </row>
    <row r="2586" spans="1:6">
      <c r="A2586" t="s">
        <v>225</v>
      </c>
      <c r="B2586" t="s">
        <v>41</v>
      </c>
      <c r="C2586" s="3">
        <v>98.6</v>
      </c>
      <c r="D2586">
        <v>1</v>
      </c>
      <c r="E2586">
        <v>1</v>
      </c>
      <c r="F2586">
        <v>1</v>
      </c>
    </row>
    <row r="2587" spans="1:6">
      <c r="A2587" t="s">
        <v>225</v>
      </c>
      <c r="B2587" t="s">
        <v>42</v>
      </c>
      <c r="C2587" s="3">
        <v>103</v>
      </c>
      <c r="D2587">
        <v>1</v>
      </c>
      <c r="E2587">
        <v>1</v>
      </c>
      <c r="F2587">
        <v>1</v>
      </c>
    </row>
    <row r="2588" spans="1:6">
      <c r="A2588" t="s">
        <v>225</v>
      </c>
      <c r="B2588" t="s">
        <v>46</v>
      </c>
      <c r="C2588" s="3">
        <v>98.4</v>
      </c>
      <c r="D2588">
        <v>1</v>
      </c>
      <c r="E2588">
        <v>1</v>
      </c>
      <c r="F2588">
        <v>1</v>
      </c>
    </row>
    <row r="2589" spans="1:6">
      <c r="A2589" t="s">
        <v>225</v>
      </c>
      <c r="B2589" t="s">
        <v>392</v>
      </c>
      <c r="C2589" s="3"/>
      <c r="D2589">
        <v>0</v>
      </c>
      <c r="E2589">
        <v>1</v>
      </c>
      <c r="F2589">
        <v>1</v>
      </c>
    </row>
    <row r="2590" spans="1:6">
      <c r="A2590" t="s">
        <v>225</v>
      </c>
      <c r="B2590" t="s">
        <v>393</v>
      </c>
      <c r="C2590" s="3"/>
      <c r="D2590">
        <v>0</v>
      </c>
      <c r="E2590">
        <v>1</v>
      </c>
      <c r="F2590">
        <v>1</v>
      </c>
    </row>
    <row r="2591" spans="1:6">
      <c r="A2591" t="s">
        <v>225</v>
      </c>
      <c r="B2591" t="s">
        <v>394</v>
      </c>
      <c r="C2591" s="3"/>
      <c r="D2591">
        <v>0</v>
      </c>
      <c r="E2591">
        <v>1</v>
      </c>
      <c r="F2591">
        <v>1</v>
      </c>
    </row>
    <row r="2592" spans="1:6">
      <c r="A2592" t="s">
        <v>225</v>
      </c>
      <c r="B2592" t="s">
        <v>39</v>
      </c>
      <c r="C2592" s="3">
        <v>-7.8688124301897</v>
      </c>
      <c r="D2592">
        <v>1</v>
      </c>
      <c r="E2592">
        <v>1</v>
      </c>
      <c r="F2592">
        <v>1</v>
      </c>
    </row>
    <row r="2593" spans="1:6">
      <c r="A2593" t="s">
        <v>225</v>
      </c>
      <c r="B2593" t="s">
        <v>43</v>
      </c>
      <c r="C2593" s="3">
        <v>-1.80000000000001</v>
      </c>
      <c r="D2593">
        <v>1</v>
      </c>
      <c r="E2593">
        <v>1</v>
      </c>
      <c r="F2593">
        <v>1</v>
      </c>
    </row>
    <row r="2594" spans="1:6">
      <c r="A2594" t="s">
        <v>225</v>
      </c>
      <c r="B2594" t="s">
        <v>44</v>
      </c>
      <c r="C2594" s="3">
        <v>-0.700000000000003</v>
      </c>
      <c r="D2594">
        <v>1</v>
      </c>
      <c r="E2594">
        <v>1</v>
      </c>
      <c r="F2594">
        <v>1</v>
      </c>
    </row>
    <row r="2595" spans="1:6">
      <c r="A2595" t="s">
        <v>225</v>
      </c>
      <c r="B2595" t="s">
        <v>45</v>
      </c>
      <c r="C2595" s="3">
        <v>-0.400000000000006</v>
      </c>
      <c r="D2595">
        <v>1</v>
      </c>
      <c r="E2595">
        <v>1</v>
      </c>
      <c r="F2595">
        <v>1</v>
      </c>
    </row>
    <row r="2596" spans="1:6">
      <c r="A2596" t="s">
        <v>225</v>
      </c>
      <c r="B2596" t="s">
        <v>396</v>
      </c>
      <c r="C2596" s="3"/>
      <c r="D2596">
        <v>0</v>
      </c>
      <c r="E2596">
        <v>1</v>
      </c>
      <c r="F2596">
        <v>1</v>
      </c>
    </row>
    <row r="2597" spans="1:6">
      <c r="A2597" t="s">
        <v>226</v>
      </c>
      <c r="B2597" t="s">
        <v>34</v>
      </c>
      <c r="C2597" s="3">
        <v>95.16</v>
      </c>
      <c r="D2597">
        <v>1</v>
      </c>
      <c r="E2597">
        <v>1</v>
      </c>
      <c r="F2597">
        <v>1</v>
      </c>
    </row>
    <row r="2598" spans="1:6">
      <c r="A2598" t="s">
        <v>226</v>
      </c>
      <c r="B2598" t="s">
        <v>35</v>
      </c>
      <c r="C2598" s="3">
        <v>6.3633</v>
      </c>
      <c r="D2598">
        <v>1</v>
      </c>
      <c r="E2598">
        <v>1</v>
      </c>
      <c r="F2598">
        <v>1</v>
      </c>
    </row>
    <row r="2599" spans="1:6">
      <c r="A2599" t="s">
        <v>226</v>
      </c>
      <c r="B2599" t="s">
        <v>36</v>
      </c>
      <c r="C2599" s="3">
        <v>605.531628</v>
      </c>
      <c r="D2599">
        <v>1</v>
      </c>
      <c r="E2599">
        <v>1</v>
      </c>
      <c r="F2599">
        <v>1</v>
      </c>
    </row>
    <row r="2600" spans="1:6">
      <c r="A2600" t="s">
        <v>226</v>
      </c>
      <c r="B2600" t="s">
        <v>40</v>
      </c>
      <c r="C2600" s="3">
        <v>100</v>
      </c>
      <c r="D2600">
        <v>1</v>
      </c>
      <c r="E2600">
        <v>1</v>
      </c>
      <c r="F2600">
        <v>1</v>
      </c>
    </row>
    <row r="2601" spans="1:6">
      <c r="A2601" t="s">
        <v>226</v>
      </c>
      <c r="B2601" t="s">
        <v>41</v>
      </c>
      <c r="C2601" s="3">
        <v>97.9</v>
      </c>
      <c r="D2601">
        <v>1</v>
      </c>
      <c r="E2601">
        <v>1</v>
      </c>
      <c r="F2601">
        <v>1</v>
      </c>
    </row>
    <row r="2602" spans="1:6">
      <c r="A2602" t="s">
        <v>226</v>
      </c>
      <c r="B2602" t="s">
        <v>42</v>
      </c>
      <c r="C2602" s="3">
        <v>102.2</v>
      </c>
      <c r="D2602">
        <v>1</v>
      </c>
      <c r="E2602">
        <v>1</v>
      </c>
      <c r="F2602">
        <v>1</v>
      </c>
    </row>
    <row r="2603" spans="1:6">
      <c r="A2603" t="s">
        <v>226</v>
      </c>
      <c r="B2603" t="s">
        <v>46</v>
      </c>
      <c r="C2603" s="3">
        <v>97.5</v>
      </c>
      <c r="D2603">
        <v>1</v>
      </c>
      <c r="E2603">
        <v>1</v>
      </c>
      <c r="F2603">
        <v>1</v>
      </c>
    </row>
    <row r="2604" spans="1:6">
      <c r="A2604" t="s">
        <v>226</v>
      </c>
      <c r="B2604" t="s">
        <v>392</v>
      </c>
      <c r="C2604" s="3"/>
      <c r="D2604">
        <v>0</v>
      </c>
      <c r="E2604">
        <v>1</v>
      </c>
      <c r="F2604">
        <v>1</v>
      </c>
    </row>
    <row r="2605" spans="1:6">
      <c r="A2605" t="s">
        <v>226</v>
      </c>
      <c r="B2605" t="s">
        <v>393</v>
      </c>
      <c r="C2605" s="3"/>
      <c r="D2605">
        <v>0</v>
      </c>
      <c r="E2605">
        <v>1</v>
      </c>
      <c r="F2605">
        <v>1</v>
      </c>
    </row>
    <row r="2606" spans="1:6">
      <c r="A2606" t="s">
        <v>226</v>
      </c>
      <c r="B2606" t="s">
        <v>394</v>
      </c>
      <c r="C2606" s="3"/>
      <c r="D2606">
        <v>0</v>
      </c>
      <c r="E2606">
        <v>1</v>
      </c>
      <c r="F2606">
        <v>1</v>
      </c>
    </row>
    <row r="2607" spans="1:6">
      <c r="A2607" t="s">
        <v>226</v>
      </c>
      <c r="B2607" t="s">
        <v>39</v>
      </c>
      <c r="C2607" s="3">
        <v>-14.184325609898</v>
      </c>
      <c r="D2607">
        <v>1</v>
      </c>
      <c r="E2607">
        <v>1</v>
      </c>
      <c r="F2607">
        <v>1</v>
      </c>
    </row>
    <row r="2608" spans="1:6">
      <c r="A2608" t="s">
        <v>226</v>
      </c>
      <c r="B2608" t="s">
        <v>43</v>
      </c>
      <c r="C2608" s="3">
        <v>-1.59999999999999</v>
      </c>
      <c r="D2608">
        <v>1</v>
      </c>
      <c r="E2608">
        <v>1</v>
      </c>
      <c r="F2608">
        <v>1</v>
      </c>
    </row>
    <row r="2609" spans="1:6">
      <c r="A2609" t="s">
        <v>226</v>
      </c>
      <c r="B2609" t="s">
        <v>44</v>
      </c>
      <c r="C2609" s="3">
        <v>-0.699999999999989</v>
      </c>
      <c r="D2609">
        <v>1</v>
      </c>
      <c r="E2609">
        <v>1</v>
      </c>
      <c r="F2609">
        <v>1</v>
      </c>
    </row>
    <row r="2610" spans="1:6">
      <c r="A2610" t="s">
        <v>226</v>
      </c>
      <c r="B2610" t="s">
        <v>45</v>
      </c>
      <c r="C2610" s="3">
        <v>-0.799999999999997</v>
      </c>
      <c r="D2610">
        <v>1</v>
      </c>
      <c r="E2610">
        <v>1</v>
      </c>
      <c r="F2610">
        <v>1</v>
      </c>
    </row>
    <row r="2611" spans="1:6">
      <c r="A2611" t="s">
        <v>226</v>
      </c>
      <c r="B2611" t="s">
        <v>396</v>
      </c>
      <c r="C2611" s="3"/>
      <c r="D2611">
        <v>0</v>
      </c>
      <c r="E2611">
        <v>1</v>
      </c>
      <c r="F2611">
        <v>1</v>
      </c>
    </row>
    <row r="2612" spans="1:6">
      <c r="A2612" t="s">
        <v>227</v>
      </c>
      <c r="B2612" t="s">
        <v>34</v>
      </c>
      <c r="C2612" s="3">
        <v>102.62</v>
      </c>
      <c r="D2612">
        <v>1</v>
      </c>
      <c r="E2612">
        <v>1</v>
      </c>
      <c r="F2612">
        <v>1</v>
      </c>
    </row>
    <row r="2613" spans="1:6">
      <c r="A2613" t="s">
        <v>227</v>
      </c>
      <c r="B2613" t="s">
        <v>35</v>
      </c>
      <c r="C2613" s="3">
        <v>6.3717</v>
      </c>
      <c r="D2613">
        <v>1</v>
      </c>
      <c r="E2613">
        <v>1</v>
      </c>
      <c r="F2613">
        <v>1</v>
      </c>
    </row>
    <row r="2614" spans="1:6">
      <c r="A2614" t="s">
        <v>227</v>
      </c>
      <c r="B2614" t="s">
        <v>36</v>
      </c>
      <c r="C2614" s="3">
        <v>653.863854</v>
      </c>
      <c r="D2614">
        <v>1</v>
      </c>
      <c r="E2614">
        <v>1</v>
      </c>
      <c r="F2614">
        <v>1</v>
      </c>
    </row>
    <row r="2615" spans="1:6">
      <c r="A2615" t="s">
        <v>227</v>
      </c>
      <c r="B2615" t="s">
        <v>40</v>
      </c>
      <c r="C2615" s="3">
        <v>98.3</v>
      </c>
      <c r="D2615">
        <v>1</v>
      </c>
      <c r="E2615">
        <v>1</v>
      </c>
      <c r="F2615">
        <v>1</v>
      </c>
    </row>
    <row r="2616" spans="1:6">
      <c r="A2616" t="s">
        <v>227</v>
      </c>
      <c r="B2616" t="s">
        <v>41</v>
      </c>
      <c r="C2616" s="3">
        <v>97.1</v>
      </c>
      <c r="D2616">
        <v>1</v>
      </c>
      <c r="E2616">
        <v>1</v>
      </c>
      <c r="F2616">
        <v>1</v>
      </c>
    </row>
    <row r="2617" spans="1:6">
      <c r="A2617" t="s">
        <v>227</v>
      </c>
      <c r="B2617" t="s">
        <v>42</v>
      </c>
      <c r="C2617" s="3">
        <v>101.8</v>
      </c>
      <c r="D2617">
        <v>1</v>
      </c>
      <c r="E2617">
        <v>1</v>
      </c>
      <c r="F2617">
        <v>1</v>
      </c>
    </row>
    <row r="2618" spans="1:6">
      <c r="A2618" t="s">
        <v>227</v>
      </c>
      <c r="B2618" t="s">
        <v>46</v>
      </c>
      <c r="C2618" s="3">
        <v>96.6</v>
      </c>
      <c r="D2618">
        <v>1</v>
      </c>
      <c r="E2618">
        <v>1</v>
      </c>
      <c r="F2618">
        <v>1</v>
      </c>
    </row>
    <row r="2619" spans="1:6">
      <c r="A2619" t="s">
        <v>227</v>
      </c>
      <c r="B2619" t="s">
        <v>392</v>
      </c>
      <c r="C2619" s="3"/>
      <c r="D2619">
        <v>0</v>
      </c>
      <c r="E2619">
        <v>1</v>
      </c>
      <c r="F2619">
        <v>1</v>
      </c>
    </row>
    <row r="2620" spans="1:6">
      <c r="A2620" t="s">
        <v>227</v>
      </c>
      <c r="B2620" t="s">
        <v>393</v>
      </c>
      <c r="C2620" s="3"/>
      <c r="D2620">
        <v>0</v>
      </c>
      <c r="E2620">
        <v>1</v>
      </c>
      <c r="F2620">
        <v>1</v>
      </c>
    </row>
    <row r="2621" spans="1:6">
      <c r="A2621" t="s">
        <v>227</v>
      </c>
      <c r="B2621" t="s">
        <v>394</v>
      </c>
      <c r="C2621" s="3"/>
      <c r="D2621">
        <v>0</v>
      </c>
      <c r="E2621">
        <v>1</v>
      </c>
      <c r="F2621">
        <v>1</v>
      </c>
    </row>
    <row r="2622" spans="1:6">
      <c r="A2622" t="s">
        <v>227</v>
      </c>
      <c r="B2622" t="s">
        <v>39</v>
      </c>
      <c r="C2622" s="3">
        <v>7.67923593280921</v>
      </c>
      <c r="D2622">
        <v>1</v>
      </c>
      <c r="E2622">
        <v>1</v>
      </c>
      <c r="F2622">
        <v>1</v>
      </c>
    </row>
    <row r="2623" spans="1:6">
      <c r="A2623" t="s">
        <v>227</v>
      </c>
      <c r="B2623" t="s">
        <v>43</v>
      </c>
      <c r="C2623" s="3">
        <v>-1.7</v>
      </c>
      <c r="D2623">
        <v>1</v>
      </c>
      <c r="E2623">
        <v>1</v>
      </c>
      <c r="F2623">
        <v>1</v>
      </c>
    </row>
    <row r="2624" spans="1:6">
      <c r="A2624" t="s">
        <v>227</v>
      </c>
      <c r="B2624" t="s">
        <v>44</v>
      </c>
      <c r="C2624" s="3">
        <v>-0.800000000000011</v>
      </c>
      <c r="D2624">
        <v>1</v>
      </c>
      <c r="E2624">
        <v>1</v>
      </c>
      <c r="F2624">
        <v>1</v>
      </c>
    </row>
    <row r="2625" spans="1:6">
      <c r="A2625" t="s">
        <v>227</v>
      </c>
      <c r="B2625" t="s">
        <v>45</v>
      </c>
      <c r="C2625" s="3">
        <v>-0.400000000000006</v>
      </c>
      <c r="D2625">
        <v>1</v>
      </c>
      <c r="E2625">
        <v>1</v>
      </c>
      <c r="F2625">
        <v>1</v>
      </c>
    </row>
    <row r="2626" spans="1:6">
      <c r="A2626" t="s">
        <v>227</v>
      </c>
      <c r="B2626" t="s">
        <v>396</v>
      </c>
      <c r="C2626" s="3"/>
      <c r="D2626">
        <v>0</v>
      </c>
      <c r="E2626">
        <v>1</v>
      </c>
      <c r="F2626">
        <v>1</v>
      </c>
    </row>
    <row r="2627" spans="1:6">
      <c r="A2627" t="s">
        <v>228</v>
      </c>
      <c r="B2627" t="s">
        <v>34</v>
      </c>
      <c r="C2627" s="3">
        <v>113.36</v>
      </c>
      <c r="D2627">
        <v>1</v>
      </c>
      <c r="E2627">
        <v>1</v>
      </c>
      <c r="F2627">
        <v>1</v>
      </c>
    </row>
    <row r="2628" spans="1:6">
      <c r="A2628" t="s">
        <v>228</v>
      </c>
      <c r="B2628" t="s">
        <v>35</v>
      </c>
      <c r="C2628" s="3">
        <v>6.3593</v>
      </c>
      <c r="D2628">
        <v>1</v>
      </c>
      <c r="E2628">
        <v>1</v>
      </c>
      <c r="F2628">
        <v>1</v>
      </c>
    </row>
    <row r="2629" spans="1:6">
      <c r="A2629" t="s">
        <v>228</v>
      </c>
      <c r="B2629" t="s">
        <v>36</v>
      </c>
      <c r="C2629" s="3">
        <v>720.890248</v>
      </c>
      <c r="D2629">
        <v>1</v>
      </c>
      <c r="E2629">
        <v>1</v>
      </c>
      <c r="F2629">
        <v>1</v>
      </c>
    </row>
    <row r="2630" spans="1:6">
      <c r="A2630" t="s">
        <v>228</v>
      </c>
      <c r="B2630" t="s">
        <v>40</v>
      </c>
      <c r="C2630" s="3">
        <v>97.4</v>
      </c>
      <c r="D2630">
        <v>1</v>
      </c>
      <c r="E2630">
        <v>1</v>
      </c>
      <c r="F2630">
        <v>1</v>
      </c>
    </row>
    <row r="2631" spans="1:6">
      <c r="A2631" t="s">
        <v>228</v>
      </c>
      <c r="B2631" t="s">
        <v>41</v>
      </c>
      <c r="C2631" s="3">
        <v>96.5</v>
      </c>
      <c r="D2631">
        <v>1</v>
      </c>
      <c r="E2631">
        <v>1</v>
      </c>
      <c r="F2631">
        <v>1</v>
      </c>
    </row>
    <row r="2632" spans="1:6">
      <c r="A2632" t="s">
        <v>228</v>
      </c>
      <c r="B2632" t="s">
        <v>42</v>
      </c>
      <c r="C2632" s="3">
        <v>102</v>
      </c>
      <c r="D2632">
        <v>1</v>
      </c>
      <c r="E2632">
        <v>1</v>
      </c>
      <c r="F2632">
        <v>1</v>
      </c>
    </row>
    <row r="2633" spans="1:6">
      <c r="A2633" t="s">
        <v>228</v>
      </c>
      <c r="B2633" t="s">
        <v>46</v>
      </c>
      <c r="C2633" s="3">
        <v>95.9</v>
      </c>
      <c r="D2633">
        <v>1</v>
      </c>
      <c r="E2633">
        <v>1</v>
      </c>
      <c r="F2633">
        <v>1</v>
      </c>
    </row>
    <row r="2634" spans="1:6">
      <c r="A2634" t="s">
        <v>228</v>
      </c>
      <c r="B2634" t="s">
        <v>392</v>
      </c>
      <c r="C2634" s="3"/>
      <c r="D2634">
        <v>0</v>
      </c>
      <c r="E2634">
        <v>1</v>
      </c>
      <c r="F2634">
        <v>1</v>
      </c>
    </row>
    <row r="2635" spans="1:6">
      <c r="A2635" t="s">
        <v>228</v>
      </c>
      <c r="B2635" t="s">
        <v>393</v>
      </c>
      <c r="C2635" s="3"/>
      <c r="D2635">
        <v>0</v>
      </c>
      <c r="E2635">
        <v>1</v>
      </c>
      <c r="F2635">
        <v>1</v>
      </c>
    </row>
    <row r="2636" spans="1:6">
      <c r="A2636" t="s">
        <v>228</v>
      </c>
      <c r="B2636" t="s">
        <v>394</v>
      </c>
      <c r="C2636" s="3"/>
      <c r="D2636">
        <v>0</v>
      </c>
      <c r="E2636">
        <v>1</v>
      </c>
      <c r="F2636">
        <v>1</v>
      </c>
    </row>
    <row r="2637" spans="1:6">
      <c r="A2637" t="s">
        <v>228</v>
      </c>
      <c r="B2637" t="s">
        <v>39</v>
      </c>
      <c r="C2637" s="3">
        <v>9.75877483100171</v>
      </c>
      <c r="D2637">
        <v>1</v>
      </c>
      <c r="E2637">
        <v>1</v>
      </c>
      <c r="F2637">
        <v>1</v>
      </c>
    </row>
    <row r="2638" spans="1:6">
      <c r="A2638" t="s">
        <v>228</v>
      </c>
      <c r="B2638" t="s">
        <v>43</v>
      </c>
      <c r="C2638" s="3">
        <v>-0.899999999999991</v>
      </c>
      <c r="D2638">
        <v>1</v>
      </c>
      <c r="E2638">
        <v>1</v>
      </c>
      <c r="F2638">
        <v>1</v>
      </c>
    </row>
    <row r="2639" spans="1:6">
      <c r="A2639" t="s">
        <v>228</v>
      </c>
      <c r="B2639" t="s">
        <v>44</v>
      </c>
      <c r="C2639" s="3">
        <v>-0.599999999999994</v>
      </c>
      <c r="D2639">
        <v>1</v>
      </c>
      <c r="E2639">
        <v>1</v>
      </c>
      <c r="F2639">
        <v>1</v>
      </c>
    </row>
    <row r="2640" spans="1:6">
      <c r="A2640" t="s">
        <v>228</v>
      </c>
      <c r="B2640" t="s">
        <v>45</v>
      </c>
      <c r="C2640" s="3">
        <v>0.200000000000003</v>
      </c>
      <c r="D2640">
        <v>1</v>
      </c>
      <c r="E2640">
        <v>1</v>
      </c>
      <c r="F2640">
        <v>1</v>
      </c>
    </row>
    <row r="2641" spans="1:6">
      <c r="A2641" t="s">
        <v>228</v>
      </c>
      <c r="B2641" t="s">
        <v>396</v>
      </c>
      <c r="C2641" s="3"/>
      <c r="D2641">
        <v>0</v>
      </c>
      <c r="E2641">
        <v>1</v>
      </c>
      <c r="F2641">
        <v>1</v>
      </c>
    </row>
    <row r="2642" spans="1:6">
      <c r="A2642" t="s">
        <v>229</v>
      </c>
      <c r="B2642" t="s">
        <v>34</v>
      </c>
      <c r="C2642" s="3">
        <v>112.86</v>
      </c>
      <c r="D2642">
        <v>1</v>
      </c>
      <c r="E2642">
        <v>1</v>
      </c>
      <c r="F2642">
        <v>1</v>
      </c>
    </row>
    <row r="2643" spans="1:6">
      <c r="A2643" t="s">
        <v>229</v>
      </c>
      <c r="B2643" t="s">
        <v>35</v>
      </c>
      <c r="C2643" s="3">
        <v>6.32</v>
      </c>
      <c r="D2643">
        <v>1</v>
      </c>
      <c r="E2643">
        <v>1</v>
      </c>
      <c r="F2643">
        <v>1</v>
      </c>
    </row>
    <row r="2644" spans="1:6">
      <c r="A2644" t="s">
        <v>229</v>
      </c>
      <c r="B2644" t="s">
        <v>36</v>
      </c>
      <c r="C2644" s="3">
        <v>713.2752</v>
      </c>
      <c r="D2644">
        <v>1</v>
      </c>
      <c r="E2644">
        <v>1</v>
      </c>
      <c r="F2644">
        <v>1</v>
      </c>
    </row>
    <row r="2645" spans="1:6">
      <c r="A2645" t="s">
        <v>229</v>
      </c>
      <c r="B2645" t="s">
        <v>40</v>
      </c>
      <c r="C2645" s="3">
        <v>98.2</v>
      </c>
      <c r="D2645">
        <v>1</v>
      </c>
      <c r="E2645">
        <v>1</v>
      </c>
      <c r="F2645">
        <v>1</v>
      </c>
    </row>
    <row r="2646" spans="1:6">
      <c r="A2646" t="s">
        <v>229</v>
      </c>
      <c r="B2646" t="s">
        <v>41</v>
      </c>
      <c r="C2646" s="3">
        <v>96.4</v>
      </c>
      <c r="D2646">
        <v>1</v>
      </c>
      <c r="E2646">
        <v>1</v>
      </c>
      <c r="F2646">
        <v>1</v>
      </c>
    </row>
    <row r="2647" spans="1:6">
      <c r="A2647" t="s">
        <v>229</v>
      </c>
      <c r="B2647" t="s">
        <v>42</v>
      </c>
      <c r="C2647" s="3">
        <v>101.9</v>
      </c>
      <c r="D2647">
        <v>1</v>
      </c>
      <c r="E2647">
        <v>1</v>
      </c>
      <c r="F2647">
        <v>1</v>
      </c>
    </row>
    <row r="2648" spans="1:6">
      <c r="A2648" t="s">
        <v>229</v>
      </c>
      <c r="B2648" t="s">
        <v>46</v>
      </c>
      <c r="C2648" s="3">
        <v>95.9</v>
      </c>
      <c r="D2648">
        <v>1</v>
      </c>
      <c r="E2648">
        <v>1</v>
      </c>
      <c r="F2648">
        <v>1</v>
      </c>
    </row>
    <row r="2649" spans="1:6">
      <c r="A2649" t="s">
        <v>229</v>
      </c>
      <c r="B2649" t="s">
        <v>392</v>
      </c>
      <c r="C2649" s="3"/>
      <c r="D2649">
        <v>0</v>
      </c>
      <c r="E2649">
        <v>1</v>
      </c>
      <c r="F2649">
        <v>1</v>
      </c>
    </row>
    <row r="2650" spans="1:6">
      <c r="A2650" t="s">
        <v>229</v>
      </c>
      <c r="B2650" t="s">
        <v>393</v>
      </c>
      <c r="C2650" s="3"/>
      <c r="D2650">
        <v>0</v>
      </c>
      <c r="E2650">
        <v>1</v>
      </c>
      <c r="F2650">
        <v>1</v>
      </c>
    </row>
    <row r="2651" spans="1:6">
      <c r="A2651" t="s">
        <v>229</v>
      </c>
      <c r="B2651" t="s">
        <v>394</v>
      </c>
      <c r="C2651" s="3"/>
      <c r="D2651">
        <v>0</v>
      </c>
      <c r="E2651">
        <v>1</v>
      </c>
      <c r="F2651">
        <v>1</v>
      </c>
    </row>
    <row r="2652" spans="1:6">
      <c r="A2652" t="s">
        <v>229</v>
      </c>
      <c r="B2652" t="s">
        <v>39</v>
      </c>
      <c r="C2652" s="3">
        <v>-1.06195830842492</v>
      </c>
      <c r="D2652">
        <v>1</v>
      </c>
      <c r="E2652">
        <v>1</v>
      </c>
      <c r="F2652">
        <v>1</v>
      </c>
    </row>
    <row r="2653" spans="1:6">
      <c r="A2653" t="s">
        <v>229</v>
      </c>
      <c r="B2653" t="s">
        <v>43</v>
      </c>
      <c r="C2653" s="3">
        <v>0.799999999999997</v>
      </c>
      <c r="D2653">
        <v>1</v>
      </c>
      <c r="E2653">
        <v>1</v>
      </c>
      <c r="F2653">
        <v>1</v>
      </c>
    </row>
    <row r="2654" spans="1:6">
      <c r="A2654" t="s">
        <v>229</v>
      </c>
      <c r="B2654" t="s">
        <v>44</v>
      </c>
      <c r="C2654" s="3">
        <v>-0.0999999999999943</v>
      </c>
      <c r="D2654">
        <v>1</v>
      </c>
      <c r="E2654">
        <v>1</v>
      </c>
      <c r="F2654">
        <v>1</v>
      </c>
    </row>
    <row r="2655" spans="1:6">
      <c r="A2655" t="s">
        <v>229</v>
      </c>
      <c r="B2655" t="s">
        <v>45</v>
      </c>
      <c r="C2655" s="3">
        <v>-0.0999999999999943</v>
      </c>
      <c r="D2655">
        <v>1</v>
      </c>
      <c r="E2655">
        <v>1</v>
      </c>
      <c r="F2655">
        <v>1</v>
      </c>
    </row>
    <row r="2656" spans="1:6">
      <c r="A2656" t="s">
        <v>229</v>
      </c>
      <c r="B2656" t="s">
        <v>396</v>
      </c>
      <c r="C2656" s="3"/>
      <c r="D2656">
        <v>0</v>
      </c>
      <c r="E2656">
        <v>1</v>
      </c>
      <c r="F2656">
        <v>1</v>
      </c>
    </row>
    <row r="2657" spans="1:6">
      <c r="A2657" t="s">
        <v>230</v>
      </c>
      <c r="B2657" t="s">
        <v>34</v>
      </c>
      <c r="C2657" s="3">
        <v>111.71</v>
      </c>
      <c r="D2657">
        <v>1</v>
      </c>
      <c r="E2657">
        <v>1</v>
      </c>
      <c r="F2657">
        <v>1</v>
      </c>
    </row>
    <row r="2658" spans="1:6">
      <c r="A2658" t="s">
        <v>230</v>
      </c>
      <c r="B2658" t="s">
        <v>35</v>
      </c>
      <c r="C2658" s="3">
        <v>6.2627</v>
      </c>
      <c r="D2658">
        <v>1</v>
      </c>
      <c r="E2658">
        <v>1</v>
      </c>
      <c r="F2658">
        <v>1</v>
      </c>
    </row>
    <row r="2659" spans="1:6">
      <c r="A2659" t="s">
        <v>230</v>
      </c>
      <c r="B2659" t="s">
        <v>36</v>
      </c>
      <c r="C2659" s="3">
        <v>699.606217</v>
      </c>
      <c r="D2659">
        <v>1</v>
      </c>
      <c r="E2659">
        <v>1</v>
      </c>
      <c r="F2659">
        <v>1</v>
      </c>
    </row>
    <row r="2660" spans="1:6">
      <c r="A2660" t="s">
        <v>230</v>
      </c>
      <c r="B2660" t="s">
        <v>40</v>
      </c>
      <c r="C2660" s="3">
        <v>98.5</v>
      </c>
      <c r="D2660">
        <v>1</v>
      </c>
      <c r="E2660">
        <v>1</v>
      </c>
      <c r="F2660">
        <v>1</v>
      </c>
    </row>
    <row r="2661" spans="1:6">
      <c r="A2661" t="s">
        <v>230</v>
      </c>
      <c r="B2661" t="s">
        <v>41</v>
      </c>
      <c r="C2661" s="3">
        <v>97.2</v>
      </c>
      <c r="D2661">
        <v>1</v>
      </c>
      <c r="E2661">
        <v>1</v>
      </c>
      <c r="F2661">
        <v>1</v>
      </c>
    </row>
    <row r="2662" spans="1:6">
      <c r="A2662" t="s">
        <v>230</v>
      </c>
      <c r="B2662" t="s">
        <v>42</v>
      </c>
      <c r="C2662" s="3">
        <v>101.7</v>
      </c>
      <c r="D2662">
        <v>1</v>
      </c>
      <c r="E2662">
        <v>1</v>
      </c>
      <c r="F2662">
        <v>1</v>
      </c>
    </row>
    <row r="2663" spans="1:6">
      <c r="A2663" t="s">
        <v>230</v>
      </c>
      <c r="B2663" t="s">
        <v>46</v>
      </c>
      <c r="C2663" s="3">
        <v>96.7</v>
      </c>
      <c r="D2663">
        <v>1</v>
      </c>
      <c r="E2663">
        <v>1</v>
      </c>
      <c r="F2663">
        <v>1</v>
      </c>
    </row>
    <row r="2664" spans="1:6">
      <c r="A2664" t="s">
        <v>230</v>
      </c>
      <c r="B2664" t="s">
        <v>392</v>
      </c>
      <c r="C2664" s="3"/>
      <c r="D2664">
        <v>0</v>
      </c>
      <c r="E2664">
        <v>1</v>
      </c>
      <c r="F2664">
        <v>1</v>
      </c>
    </row>
    <row r="2665" spans="1:6">
      <c r="A2665" t="s">
        <v>230</v>
      </c>
      <c r="B2665" t="s">
        <v>393</v>
      </c>
      <c r="C2665" s="3"/>
      <c r="D2665">
        <v>0</v>
      </c>
      <c r="E2665">
        <v>1</v>
      </c>
      <c r="F2665">
        <v>1</v>
      </c>
    </row>
    <row r="2666" spans="1:6">
      <c r="A2666" t="s">
        <v>230</v>
      </c>
      <c r="B2666" t="s">
        <v>394</v>
      </c>
      <c r="C2666" s="3"/>
      <c r="D2666">
        <v>0</v>
      </c>
      <c r="E2666">
        <v>1</v>
      </c>
      <c r="F2666">
        <v>1</v>
      </c>
    </row>
    <row r="2667" spans="1:6">
      <c r="A2667" t="s">
        <v>230</v>
      </c>
      <c r="B2667" t="s">
        <v>39</v>
      </c>
      <c r="C2667" s="3">
        <v>-1.93496910882229</v>
      </c>
      <c r="D2667">
        <v>1</v>
      </c>
      <c r="E2667">
        <v>1</v>
      </c>
      <c r="F2667">
        <v>1</v>
      </c>
    </row>
    <row r="2668" spans="1:6">
      <c r="A2668" t="s">
        <v>230</v>
      </c>
      <c r="B2668" t="s">
        <v>43</v>
      </c>
      <c r="C2668" s="3">
        <v>0.299999999999997</v>
      </c>
      <c r="D2668">
        <v>1</v>
      </c>
      <c r="E2668">
        <v>1</v>
      </c>
      <c r="F2668">
        <v>1</v>
      </c>
    </row>
    <row r="2669" spans="1:6">
      <c r="A2669" t="s">
        <v>230</v>
      </c>
      <c r="B2669" t="s">
        <v>44</v>
      </c>
      <c r="C2669" s="3">
        <v>0.799999999999997</v>
      </c>
      <c r="D2669">
        <v>1</v>
      </c>
      <c r="E2669">
        <v>1</v>
      </c>
      <c r="F2669">
        <v>1</v>
      </c>
    </row>
    <row r="2670" spans="1:6">
      <c r="A2670" t="s">
        <v>230</v>
      </c>
      <c r="B2670" t="s">
        <v>45</v>
      </c>
      <c r="C2670" s="3">
        <v>-0.200000000000003</v>
      </c>
      <c r="D2670">
        <v>1</v>
      </c>
      <c r="E2670">
        <v>1</v>
      </c>
      <c r="F2670">
        <v>1</v>
      </c>
    </row>
    <row r="2671" spans="1:6">
      <c r="A2671" t="s">
        <v>230</v>
      </c>
      <c r="B2671" t="s">
        <v>396</v>
      </c>
      <c r="C2671" s="3"/>
      <c r="D2671">
        <v>0</v>
      </c>
      <c r="E2671">
        <v>1</v>
      </c>
      <c r="F2671">
        <v>1</v>
      </c>
    </row>
    <row r="2672" spans="1:6">
      <c r="A2672" t="s">
        <v>231</v>
      </c>
      <c r="B2672" t="s">
        <v>34</v>
      </c>
      <c r="C2672" s="3">
        <v>109.06</v>
      </c>
      <c r="D2672">
        <v>1</v>
      </c>
      <c r="E2672">
        <v>1</v>
      </c>
      <c r="F2672">
        <v>1</v>
      </c>
    </row>
    <row r="2673" spans="1:6">
      <c r="A2673" t="s">
        <v>231</v>
      </c>
      <c r="B2673" t="s">
        <v>35</v>
      </c>
      <c r="C2673" s="3">
        <v>6.2338</v>
      </c>
      <c r="D2673">
        <v>1</v>
      </c>
      <c r="E2673">
        <v>1</v>
      </c>
      <c r="F2673">
        <v>1</v>
      </c>
    </row>
    <row r="2674" spans="1:6">
      <c r="A2674" t="s">
        <v>231</v>
      </c>
      <c r="B2674" t="s">
        <v>36</v>
      </c>
      <c r="C2674" s="3">
        <v>679.858228</v>
      </c>
      <c r="D2674">
        <v>1</v>
      </c>
      <c r="E2674">
        <v>1</v>
      </c>
      <c r="F2674">
        <v>1</v>
      </c>
    </row>
    <row r="2675" spans="1:6">
      <c r="A2675" t="s">
        <v>231</v>
      </c>
      <c r="B2675" t="s">
        <v>40</v>
      </c>
      <c r="C2675" s="3">
        <v>98.4</v>
      </c>
      <c r="D2675">
        <v>1</v>
      </c>
      <c r="E2675">
        <v>1</v>
      </c>
      <c r="F2675">
        <v>1</v>
      </c>
    </row>
    <row r="2676" spans="1:6">
      <c r="A2676" t="s">
        <v>231</v>
      </c>
      <c r="B2676" t="s">
        <v>41</v>
      </c>
      <c r="C2676" s="3">
        <v>97.8</v>
      </c>
      <c r="D2676">
        <v>1</v>
      </c>
      <c r="E2676">
        <v>1</v>
      </c>
      <c r="F2676">
        <v>1</v>
      </c>
    </row>
    <row r="2677" spans="1:6">
      <c r="A2677" t="s">
        <v>231</v>
      </c>
      <c r="B2677" t="s">
        <v>42</v>
      </c>
      <c r="C2677" s="3">
        <v>102</v>
      </c>
      <c r="D2677">
        <v>1</v>
      </c>
      <c r="E2677">
        <v>1</v>
      </c>
      <c r="F2677">
        <v>1</v>
      </c>
    </row>
    <row r="2678" spans="1:6">
      <c r="A2678" t="s">
        <v>231</v>
      </c>
      <c r="B2678" t="s">
        <v>46</v>
      </c>
      <c r="C2678" s="3">
        <v>97.2</v>
      </c>
      <c r="D2678">
        <v>1</v>
      </c>
      <c r="E2678">
        <v>1</v>
      </c>
      <c r="F2678">
        <v>1</v>
      </c>
    </row>
    <row r="2679" spans="1:6">
      <c r="A2679" t="s">
        <v>231</v>
      </c>
      <c r="B2679" t="s">
        <v>392</v>
      </c>
      <c r="C2679" s="3"/>
      <c r="D2679">
        <v>0</v>
      </c>
      <c r="E2679">
        <v>1</v>
      </c>
      <c r="F2679">
        <v>1</v>
      </c>
    </row>
    <row r="2680" spans="1:6">
      <c r="A2680" t="s">
        <v>231</v>
      </c>
      <c r="B2680" t="s">
        <v>393</v>
      </c>
      <c r="C2680" s="3"/>
      <c r="D2680">
        <v>0</v>
      </c>
      <c r="E2680">
        <v>1</v>
      </c>
      <c r="F2680">
        <v>1</v>
      </c>
    </row>
    <row r="2681" spans="1:6">
      <c r="A2681" t="s">
        <v>231</v>
      </c>
      <c r="B2681" t="s">
        <v>394</v>
      </c>
      <c r="C2681" s="3"/>
      <c r="D2681">
        <v>0</v>
      </c>
      <c r="E2681">
        <v>1</v>
      </c>
      <c r="F2681">
        <v>1</v>
      </c>
    </row>
    <row r="2682" spans="1:6">
      <c r="A2682" t="s">
        <v>231</v>
      </c>
      <c r="B2682" t="s">
        <v>39</v>
      </c>
      <c r="C2682" s="3">
        <v>-2.86333414133725</v>
      </c>
      <c r="D2682">
        <v>1</v>
      </c>
      <c r="E2682">
        <v>1</v>
      </c>
      <c r="F2682">
        <v>1</v>
      </c>
    </row>
    <row r="2683" spans="1:6">
      <c r="A2683" t="s">
        <v>231</v>
      </c>
      <c r="B2683" t="s">
        <v>43</v>
      </c>
      <c r="C2683" s="3">
        <v>-0.0999999999999943</v>
      </c>
      <c r="D2683">
        <v>1</v>
      </c>
      <c r="E2683">
        <v>1</v>
      </c>
      <c r="F2683">
        <v>1</v>
      </c>
    </row>
    <row r="2684" spans="1:6">
      <c r="A2684" t="s">
        <v>231</v>
      </c>
      <c r="B2684" t="s">
        <v>44</v>
      </c>
      <c r="C2684" s="3">
        <v>0.599999999999994</v>
      </c>
      <c r="D2684">
        <v>1</v>
      </c>
      <c r="E2684">
        <v>1</v>
      </c>
      <c r="F2684">
        <v>1</v>
      </c>
    </row>
    <row r="2685" spans="1:6">
      <c r="A2685" t="s">
        <v>231</v>
      </c>
      <c r="B2685" t="s">
        <v>45</v>
      </c>
      <c r="C2685" s="3">
        <v>0.299999999999997</v>
      </c>
      <c r="D2685">
        <v>1</v>
      </c>
      <c r="E2685">
        <v>1</v>
      </c>
      <c r="F2685">
        <v>1</v>
      </c>
    </row>
    <row r="2686" spans="1:6">
      <c r="A2686" t="s">
        <v>231</v>
      </c>
      <c r="B2686" t="s">
        <v>396</v>
      </c>
      <c r="C2686" s="3"/>
      <c r="D2686">
        <v>0</v>
      </c>
      <c r="E2686">
        <v>1</v>
      </c>
      <c r="F2686">
        <v>1</v>
      </c>
    </row>
    <row r="2687" spans="1:6">
      <c r="A2687" t="s">
        <v>232</v>
      </c>
      <c r="B2687" t="s">
        <v>34</v>
      </c>
      <c r="C2687" s="3">
        <v>109.49</v>
      </c>
      <c r="D2687">
        <v>1</v>
      </c>
      <c r="E2687">
        <v>1</v>
      </c>
      <c r="F2687">
        <v>1</v>
      </c>
    </row>
    <row r="2688" spans="1:6">
      <c r="A2688" t="s">
        <v>232</v>
      </c>
      <c r="B2688" t="s">
        <v>35</v>
      </c>
      <c r="C2688" s="3">
        <v>6.2328</v>
      </c>
      <c r="D2688">
        <v>1</v>
      </c>
      <c r="E2688">
        <v>1</v>
      </c>
      <c r="F2688">
        <v>1</v>
      </c>
    </row>
    <row r="2689" spans="1:6">
      <c r="A2689" t="s">
        <v>232</v>
      </c>
      <c r="B2689" t="s">
        <v>36</v>
      </c>
      <c r="C2689" s="3">
        <v>682.429272</v>
      </c>
      <c r="D2689">
        <v>1</v>
      </c>
      <c r="E2689">
        <v>1</v>
      </c>
      <c r="F2689">
        <v>1</v>
      </c>
    </row>
    <row r="2690" spans="1:6">
      <c r="A2690" t="s">
        <v>232</v>
      </c>
      <c r="B2690" t="s">
        <v>40</v>
      </c>
      <c r="C2690" s="3">
        <v>97.5</v>
      </c>
      <c r="D2690">
        <v>1</v>
      </c>
      <c r="E2690">
        <v>1</v>
      </c>
      <c r="F2690">
        <v>1</v>
      </c>
    </row>
    <row r="2691" spans="1:6">
      <c r="A2691" t="s">
        <v>232</v>
      </c>
      <c r="B2691" t="s">
        <v>41</v>
      </c>
      <c r="C2691" s="3">
        <v>98.1</v>
      </c>
      <c r="D2691">
        <v>1</v>
      </c>
      <c r="E2691">
        <v>1</v>
      </c>
      <c r="F2691">
        <v>1</v>
      </c>
    </row>
    <row r="2692" spans="1:6">
      <c r="A2692" t="s">
        <v>232</v>
      </c>
      <c r="B2692" t="s">
        <v>42</v>
      </c>
      <c r="C2692" s="3">
        <v>102.5</v>
      </c>
      <c r="D2692">
        <v>1</v>
      </c>
      <c r="E2692">
        <v>1</v>
      </c>
      <c r="F2692">
        <v>1</v>
      </c>
    </row>
    <row r="2693" spans="1:6">
      <c r="A2693" t="s">
        <v>232</v>
      </c>
      <c r="B2693" t="s">
        <v>46</v>
      </c>
      <c r="C2693" s="3">
        <v>97.6</v>
      </c>
      <c r="D2693">
        <v>1</v>
      </c>
      <c r="E2693">
        <v>1</v>
      </c>
      <c r="F2693">
        <v>1</v>
      </c>
    </row>
    <row r="2694" spans="1:6">
      <c r="A2694" t="s">
        <v>232</v>
      </c>
      <c r="B2694" t="s">
        <v>392</v>
      </c>
      <c r="C2694" s="3"/>
      <c r="D2694">
        <v>0</v>
      </c>
      <c r="E2694">
        <v>1</v>
      </c>
      <c r="F2694">
        <v>1</v>
      </c>
    </row>
    <row r="2695" spans="1:6">
      <c r="A2695" t="s">
        <v>232</v>
      </c>
      <c r="B2695" t="s">
        <v>393</v>
      </c>
      <c r="C2695" s="3"/>
      <c r="D2695">
        <v>0</v>
      </c>
      <c r="E2695">
        <v>1</v>
      </c>
      <c r="F2695">
        <v>1</v>
      </c>
    </row>
    <row r="2696" spans="1:6">
      <c r="A2696" t="s">
        <v>232</v>
      </c>
      <c r="B2696" t="s">
        <v>394</v>
      </c>
      <c r="C2696" s="3"/>
      <c r="D2696">
        <v>0</v>
      </c>
      <c r="E2696">
        <v>1</v>
      </c>
      <c r="F2696">
        <v>1</v>
      </c>
    </row>
    <row r="2697" spans="1:6">
      <c r="A2697" t="s">
        <v>232</v>
      </c>
      <c r="B2697" t="s">
        <v>39</v>
      </c>
      <c r="C2697" s="3">
        <v>0.377460272167999</v>
      </c>
      <c r="D2697">
        <v>1</v>
      </c>
      <c r="E2697">
        <v>1</v>
      </c>
      <c r="F2697">
        <v>1</v>
      </c>
    </row>
    <row r="2698" spans="1:6">
      <c r="A2698" t="s">
        <v>232</v>
      </c>
      <c r="B2698" t="s">
        <v>43</v>
      </c>
      <c r="C2698" s="3">
        <v>-0.900000000000006</v>
      </c>
      <c r="D2698">
        <v>1</v>
      </c>
      <c r="E2698">
        <v>1</v>
      </c>
      <c r="F2698">
        <v>1</v>
      </c>
    </row>
    <row r="2699" spans="1:6">
      <c r="A2699" t="s">
        <v>232</v>
      </c>
      <c r="B2699" t="s">
        <v>44</v>
      </c>
      <c r="C2699" s="3">
        <v>0.299999999999997</v>
      </c>
      <c r="D2699">
        <v>1</v>
      </c>
      <c r="E2699">
        <v>1</v>
      </c>
      <c r="F2699">
        <v>1</v>
      </c>
    </row>
    <row r="2700" spans="1:6">
      <c r="A2700" t="s">
        <v>232</v>
      </c>
      <c r="B2700" t="s">
        <v>45</v>
      </c>
      <c r="C2700" s="3">
        <v>0.5</v>
      </c>
      <c r="D2700">
        <v>1</v>
      </c>
      <c r="E2700">
        <v>1</v>
      </c>
      <c r="F2700">
        <v>1</v>
      </c>
    </row>
    <row r="2701" spans="1:6">
      <c r="A2701" t="s">
        <v>232</v>
      </c>
      <c r="B2701" t="s">
        <v>396</v>
      </c>
      <c r="C2701" s="3"/>
      <c r="D2701">
        <v>0</v>
      </c>
      <c r="E2701">
        <v>1</v>
      </c>
      <c r="F2701">
        <v>1</v>
      </c>
    </row>
    <row r="2702" spans="1:6">
      <c r="A2702" t="s">
        <v>233</v>
      </c>
      <c r="B2702" t="s">
        <v>34</v>
      </c>
      <c r="C2702" s="3">
        <v>112.96</v>
      </c>
      <c r="D2702">
        <v>1</v>
      </c>
      <c r="E2702">
        <v>1</v>
      </c>
      <c r="F2702">
        <v>1</v>
      </c>
    </row>
    <row r="2703" spans="1:6">
      <c r="A2703" t="s">
        <v>233</v>
      </c>
      <c r="B2703" t="s">
        <v>35</v>
      </c>
      <c r="C2703" s="3">
        <v>6.2215</v>
      </c>
      <c r="D2703">
        <v>1</v>
      </c>
      <c r="E2703">
        <v>1</v>
      </c>
      <c r="F2703">
        <v>1</v>
      </c>
    </row>
    <row r="2704" spans="1:6">
      <c r="A2704" t="s">
        <v>233</v>
      </c>
      <c r="B2704" t="s">
        <v>36</v>
      </c>
      <c r="C2704" s="3">
        <v>702.78064</v>
      </c>
      <c r="D2704">
        <v>1</v>
      </c>
      <c r="E2704">
        <v>1</v>
      </c>
      <c r="F2704">
        <v>1</v>
      </c>
    </row>
    <row r="2705" spans="1:6">
      <c r="A2705" t="s">
        <v>233</v>
      </c>
      <c r="B2705" t="s">
        <v>40</v>
      </c>
      <c r="C2705" s="3">
        <v>97.4</v>
      </c>
      <c r="D2705">
        <v>1</v>
      </c>
      <c r="E2705">
        <v>1</v>
      </c>
      <c r="F2705">
        <v>1</v>
      </c>
    </row>
    <row r="2706" spans="1:6">
      <c r="A2706" t="s">
        <v>233</v>
      </c>
      <c r="B2706" t="s">
        <v>41</v>
      </c>
      <c r="C2706" s="3">
        <v>98.4</v>
      </c>
      <c r="D2706">
        <v>1</v>
      </c>
      <c r="E2706">
        <v>1</v>
      </c>
      <c r="F2706">
        <v>1</v>
      </c>
    </row>
    <row r="2707" spans="1:6">
      <c r="A2707" t="s">
        <v>233</v>
      </c>
      <c r="B2707" t="s">
        <v>42</v>
      </c>
      <c r="C2707" s="3">
        <v>102</v>
      </c>
      <c r="D2707">
        <v>1</v>
      </c>
      <c r="E2707">
        <v>1</v>
      </c>
      <c r="F2707">
        <v>1</v>
      </c>
    </row>
    <row r="2708" spans="1:6">
      <c r="A2708" t="s">
        <v>233</v>
      </c>
      <c r="B2708" t="s">
        <v>46</v>
      </c>
      <c r="C2708" s="3">
        <v>98.1</v>
      </c>
      <c r="D2708">
        <v>1</v>
      </c>
      <c r="E2708">
        <v>1</v>
      </c>
      <c r="F2708">
        <v>1</v>
      </c>
    </row>
    <row r="2709" spans="1:6">
      <c r="A2709" t="s">
        <v>233</v>
      </c>
      <c r="B2709" t="s">
        <v>392</v>
      </c>
      <c r="C2709" s="3"/>
      <c r="D2709">
        <v>0</v>
      </c>
      <c r="E2709">
        <v>1</v>
      </c>
      <c r="F2709">
        <v>1</v>
      </c>
    </row>
    <row r="2710" spans="1:6">
      <c r="A2710" t="s">
        <v>233</v>
      </c>
      <c r="B2710" t="s">
        <v>393</v>
      </c>
      <c r="C2710" s="3"/>
      <c r="D2710">
        <v>0</v>
      </c>
      <c r="E2710">
        <v>1</v>
      </c>
      <c r="F2710">
        <v>1</v>
      </c>
    </row>
    <row r="2711" spans="1:6">
      <c r="A2711" t="s">
        <v>233</v>
      </c>
      <c r="B2711" t="s">
        <v>394</v>
      </c>
      <c r="C2711" s="3"/>
      <c r="D2711">
        <v>0</v>
      </c>
      <c r="E2711">
        <v>1</v>
      </c>
      <c r="F2711">
        <v>1</v>
      </c>
    </row>
    <row r="2712" spans="1:6">
      <c r="A2712" t="s">
        <v>233</v>
      </c>
      <c r="B2712" t="s">
        <v>39</v>
      </c>
      <c r="C2712" s="3">
        <v>2.93859180586359</v>
      </c>
      <c r="D2712">
        <v>1</v>
      </c>
      <c r="E2712">
        <v>1</v>
      </c>
      <c r="F2712">
        <v>1</v>
      </c>
    </row>
    <row r="2713" spans="1:6">
      <c r="A2713" t="s">
        <v>233</v>
      </c>
      <c r="B2713" t="s">
        <v>43</v>
      </c>
      <c r="C2713" s="3">
        <v>-0.0999999999999943</v>
      </c>
      <c r="D2713">
        <v>1</v>
      </c>
      <c r="E2713">
        <v>1</v>
      </c>
      <c r="F2713">
        <v>1</v>
      </c>
    </row>
    <row r="2714" spans="1:6">
      <c r="A2714" t="s">
        <v>233</v>
      </c>
      <c r="B2714" t="s">
        <v>44</v>
      </c>
      <c r="C2714" s="3">
        <v>0.300000000000011</v>
      </c>
      <c r="D2714">
        <v>1</v>
      </c>
      <c r="E2714">
        <v>1</v>
      </c>
      <c r="F2714">
        <v>1</v>
      </c>
    </row>
    <row r="2715" spans="1:6">
      <c r="A2715" t="s">
        <v>233</v>
      </c>
      <c r="B2715" t="s">
        <v>45</v>
      </c>
      <c r="C2715" s="3">
        <v>-0.5</v>
      </c>
      <c r="D2715">
        <v>1</v>
      </c>
      <c r="E2715">
        <v>1</v>
      </c>
      <c r="F2715">
        <v>1</v>
      </c>
    </row>
    <row r="2716" spans="1:6">
      <c r="A2716" t="s">
        <v>233</v>
      </c>
      <c r="B2716" t="s">
        <v>396</v>
      </c>
      <c r="C2716" s="3"/>
      <c r="D2716">
        <v>0</v>
      </c>
      <c r="E2716">
        <v>1</v>
      </c>
      <c r="F2716">
        <v>1</v>
      </c>
    </row>
    <row r="2717" spans="1:6">
      <c r="A2717" t="s">
        <v>234</v>
      </c>
      <c r="B2717" t="s">
        <v>34</v>
      </c>
      <c r="C2717" s="3">
        <v>116.05</v>
      </c>
      <c r="D2717">
        <v>1</v>
      </c>
      <c r="E2717">
        <v>1</v>
      </c>
      <c r="F2717">
        <v>1</v>
      </c>
    </row>
    <row r="2718" spans="1:6">
      <c r="A2718" t="s">
        <v>234</v>
      </c>
      <c r="B2718" t="s">
        <v>35</v>
      </c>
      <c r="C2718" s="3">
        <v>6.2323</v>
      </c>
      <c r="D2718">
        <v>1</v>
      </c>
      <c r="E2718">
        <v>1</v>
      </c>
      <c r="F2718">
        <v>1</v>
      </c>
    </row>
    <row r="2719" spans="1:6">
      <c r="A2719" t="s">
        <v>234</v>
      </c>
      <c r="B2719" t="s">
        <v>36</v>
      </c>
      <c r="C2719" s="3">
        <v>723.258415</v>
      </c>
      <c r="D2719">
        <v>1</v>
      </c>
      <c r="E2719">
        <v>1</v>
      </c>
      <c r="F2719">
        <v>1</v>
      </c>
    </row>
    <row r="2720" spans="1:6">
      <c r="A2720" t="s">
        <v>234</v>
      </c>
      <c r="B2720" t="s">
        <v>40</v>
      </c>
      <c r="C2720" s="3">
        <v>97.1</v>
      </c>
      <c r="D2720">
        <v>1</v>
      </c>
      <c r="E2720">
        <v>1</v>
      </c>
      <c r="F2720">
        <v>1</v>
      </c>
    </row>
    <row r="2721" spans="1:6">
      <c r="A2721" t="s">
        <v>234</v>
      </c>
      <c r="B2721" t="s">
        <v>41</v>
      </c>
      <c r="C2721" s="3">
        <v>98.4</v>
      </c>
      <c r="D2721">
        <v>1</v>
      </c>
      <c r="E2721">
        <v>1</v>
      </c>
      <c r="F2721">
        <v>1</v>
      </c>
    </row>
    <row r="2722" spans="1:6">
      <c r="A2722" t="s">
        <v>234</v>
      </c>
      <c r="B2722" t="s">
        <v>42</v>
      </c>
      <c r="C2722" s="3">
        <v>103.2</v>
      </c>
      <c r="D2722">
        <v>1</v>
      </c>
      <c r="E2722">
        <v>1</v>
      </c>
      <c r="F2722">
        <v>1</v>
      </c>
    </row>
    <row r="2723" spans="1:6">
      <c r="A2723" t="s">
        <v>234</v>
      </c>
      <c r="B2723" t="s">
        <v>46</v>
      </c>
      <c r="C2723" s="3">
        <v>98.1</v>
      </c>
      <c r="D2723">
        <v>1</v>
      </c>
      <c r="E2723">
        <v>1</v>
      </c>
      <c r="F2723">
        <v>1</v>
      </c>
    </row>
    <row r="2724" spans="1:6">
      <c r="A2724" t="s">
        <v>234</v>
      </c>
      <c r="B2724" t="s">
        <v>392</v>
      </c>
      <c r="C2724" s="3"/>
      <c r="D2724">
        <v>0</v>
      </c>
      <c r="E2724">
        <v>1</v>
      </c>
      <c r="F2724">
        <v>1</v>
      </c>
    </row>
    <row r="2725" spans="1:6">
      <c r="A2725" t="s">
        <v>234</v>
      </c>
      <c r="B2725" t="s">
        <v>393</v>
      </c>
      <c r="C2725" s="3"/>
      <c r="D2725">
        <v>0</v>
      </c>
      <c r="E2725">
        <v>1</v>
      </c>
      <c r="F2725">
        <v>1</v>
      </c>
    </row>
    <row r="2726" spans="1:6">
      <c r="A2726" t="s">
        <v>234</v>
      </c>
      <c r="B2726" t="s">
        <v>394</v>
      </c>
      <c r="C2726" s="3"/>
      <c r="D2726">
        <v>0</v>
      </c>
      <c r="E2726">
        <v>1</v>
      </c>
      <c r="F2726">
        <v>1</v>
      </c>
    </row>
    <row r="2727" spans="1:6">
      <c r="A2727" t="s">
        <v>234</v>
      </c>
      <c r="B2727" t="s">
        <v>39</v>
      </c>
      <c r="C2727" s="3">
        <v>2.87217697910664</v>
      </c>
      <c r="D2727">
        <v>1</v>
      </c>
      <c r="E2727">
        <v>1</v>
      </c>
      <c r="F2727">
        <v>1</v>
      </c>
    </row>
    <row r="2728" spans="1:6">
      <c r="A2728" t="s">
        <v>234</v>
      </c>
      <c r="B2728" t="s">
        <v>43</v>
      </c>
      <c r="C2728" s="3">
        <v>-0.300000000000011</v>
      </c>
      <c r="D2728">
        <v>1</v>
      </c>
      <c r="E2728">
        <v>1</v>
      </c>
      <c r="F2728">
        <v>1</v>
      </c>
    </row>
    <row r="2729" spans="1:6">
      <c r="A2729" t="s">
        <v>234</v>
      </c>
      <c r="B2729" t="s">
        <v>44</v>
      </c>
      <c r="C2729" s="3">
        <v>0</v>
      </c>
      <c r="D2729">
        <v>1</v>
      </c>
      <c r="E2729">
        <v>1</v>
      </c>
      <c r="F2729">
        <v>1</v>
      </c>
    </row>
    <row r="2730" spans="1:6">
      <c r="A2730" t="s">
        <v>234</v>
      </c>
      <c r="B2730" t="s">
        <v>45</v>
      </c>
      <c r="C2730" s="3">
        <v>1.2</v>
      </c>
      <c r="D2730">
        <v>1</v>
      </c>
      <c r="E2730">
        <v>1</v>
      </c>
      <c r="F2730">
        <v>1</v>
      </c>
    </row>
    <row r="2731" spans="1:6">
      <c r="A2731" t="s">
        <v>234</v>
      </c>
      <c r="B2731" t="s">
        <v>396</v>
      </c>
      <c r="C2731" s="3"/>
      <c r="D2731">
        <v>0</v>
      </c>
      <c r="E2731">
        <v>1</v>
      </c>
      <c r="F2731">
        <v>1</v>
      </c>
    </row>
    <row r="2732" spans="1:6">
      <c r="A2732" t="s">
        <v>235</v>
      </c>
      <c r="B2732" t="s">
        <v>34</v>
      </c>
      <c r="C2732" s="3">
        <v>108.47</v>
      </c>
      <c r="D2732">
        <v>1</v>
      </c>
      <c r="E2732">
        <v>1</v>
      </c>
      <c r="F2732">
        <v>1</v>
      </c>
    </row>
    <row r="2733" spans="1:6">
      <c r="A2733" t="s">
        <v>235</v>
      </c>
      <c r="B2733" t="s">
        <v>35</v>
      </c>
      <c r="C2733" s="3">
        <v>6.2154</v>
      </c>
      <c r="D2733">
        <v>1</v>
      </c>
      <c r="E2733">
        <v>1</v>
      </c>
      <c r="F2733">
        <v>1</v>
      </c>
    </row>
    <row r="2734" spans="1:6">
      <c r="A2734" t="s">
        <v>235</v>
      </c>
      <c r="B2734" t="s">
        <v>36</v>
      </c>
      <c r="C2734" s="3">
        <v>674.184438</v>
      </c>
      <c r="D2734">
        <v>1</v>
      </c>
      <c r="E2734">
        <v>1</v>
      </c>
      <c r="F2734">
        <v>1</v>
      </c>
    </row>
    <row r="2735" spans="1:6">
      <c r="A2735" t="s">
        <v>235</v>
      </c>
      <c r="B2735" t="s">
        <v>40</v>
      </c>
      <c r="C2735" s="3">
        <v>96.8</v>
      </c>
      <c r="D2735">
        <v>1</v>
      </c>
      <c r="E2735">
        <v>1</v>
      </c>
      <c r="F2735">
        <v>1</v>
      </c>
    </row>
    <row r="2736" spans="1:6">
      <c r="A2736" t="s">
        <v>235</v>
      </c>
      <c r="B2736" t="s">
        <v>41</v>
      </c>
      <c r="C2736" s="3">
        <v>98.1</v>
      </c>
      <c r="D2736">
        <v>1</v>
      </c>
      <c r="E2736">
        <v>1</v>
      </c>
      <c r="F2736">
        <v>1</v>
      </c>
    </row>
    <row r="2737" spans="1:6">
      <c r="A2737" t="s">
        <v>235</v>
      </c>
      <c r="B2737" t="s">
        <v>42</v>
      </c>
      <c r="C2737" s="3">
        <v>102.1</v>
      </c>
      <c r="D2737">
        <v>1</v>
      </c>
      <c r="E2737">
        <v>1</v>
      </c>
      <c r="F2737">
        <v>1</v>
      </c>
    </row>
    <row r="2738" spans="1:6">
      <c r="A2738" t="s">
        <v>235</v>
      </c>
      <c r="B2738" t="s">
        <v>46</v>
      </c>
      <c r="C2738" s="3">
        <v>98</v>
      </c>
      <c r="D2738">
        <v>1</v>
      </c>
      <c r="E2738">
        <v>1</v>
      </c>
      <c r="F2738">
        <v>1</v>
      </c>
    </row>
    <row r="2739" spans="1:6">
      <c r="A2739" t="s">
        <v>235</v>
      </c>
      <c r="B2739" t="s">
        <v>392</v>
      </c>
      <c r="C2739" s="3"/>
      <c r="D2739">
        <v>0</v>
      </c>
      <c r="E2739">
        <v>1</v>
      </c>
      <c r="F2739">
        <v>1</v>
      </c>
    </row>
    <row r="2740" spans="1:6">
      <c r="A2740" t="s">
        <v>235</v>
      </c>
      <c r="B2740" t="s">
        <v>393</v>
      </c>
      <c r="C2740" s="3"/>
      <c r="D2740">
        <v>0</v>
      </c>
      <c r="E2740">
        <v>1</v>
      </c>
      <c r="F2740">
        <v>1</v>
      </c>
    </row>
    <row r="2741" spans="1:6">
      <c r="A2741" t="s">
        <v>235</v>
      </c>
      <c r="B2741" t="s">
        <v>394</v>
      </c>
      <c r="C2741" s="3"/>
      <c r="D2741">
        <v>0</v>
      </c>
      <c r="E2741">
        <v>1</v>
      </c>
      <c r="F2741">
        <v>1</v>
      </c>
    </row>
    <row r="2742" spans="1:6">
      <c r="A2742" t="s">
        <v>235</v>
      </c>
      <c r="B2742" t="s">
        <v>39</v>
      </c>
      <c r="C2742" s="3">
        <v>-7.02628584074468</v>
      </c>
      <c r="D2742">
        <v>1</v>
      </c>
      <c r="E2742">
        <v>1</v>
      </c>
      <c r="F2742">
        <v>1</v>
      </c>
    </row>
    <row r="2743" spans="1:6">
      <c r="A2743" t="s">
        <v>235</v>
      </c>
      <c r="B2743" t="s">
        <v>43</v>
      </c>
      <c r="C2743" s="3">
        <v>-0.299999999999997</v>
      </c>
      <c r="D2743">
        <v>1</v>
      </c>
      <c r="E2743">
        <v>1</v>
      </c>
      <c r="F2743">
        <v>1</v>
      </c>
    </row>
    <row r="2744" spans="1:6">
      <c r="A2744" t="s">
        <v>235</v>
      </c>
      <c r="B2744" t="s">
        <v>44</v>
      </c>
      <c r="C2744" s="3">
        <v>-0.300000000000011</v>
      </c>
      <c r="D2744">
        <v>1</v>
      </c>
      <c r="E2744">
        <v>1</v>
      </c>
      <c r="F2744">
        <v>1</v>
      </c>
    </row>
    <row r="2745" spans="1:6">
      <c r="A2745" t="s">
        <v>235</v>
      </c>
      <c r="B2745" t="s">
        <v>45</v>
      </c>
      <c r="C2745" s="3">
        <v>-1.10000000000001</v>
      </c>
      <c r="D2745">
        <v>1</v>
      </c>
      <c r="E2745">
        <v>1</v>
      </c>
      <c r="F2745">
        <v>1</v>
      </c>
    </row>
    <row r="2746" spans="1:6">
      <c r="A2746" t="s">
        <v>235</v>
      </c>
      <c r="B2746" t="s">
        <v>396</v>
      </c>
      <c r="C2746" s="3"/>
      <c r="D2746">
        <v>0</v>
      </c>
      <c r="E2746">
        <v>1</v>
      </c>
      <c r="F2746">
        <v>1</v>
      </c>
    </row>
    <row r="2747" spans="1:6">
      <c r="A2747" t="s">
        <v>236</v>
      </c>
      <c r="B2747" t="s">
        <v>34</v>
      </c>
      <c r="C2747" s="3">
        <v>102.25</v>
      </c>
      <c r="D2747">
        <v>1</v>
      </c>
      <c r="E2747">
        <v>1</v>
      </c>
      <c r="F2747">
        <v>1</v>
      </c>
    </row>
    <row r="2748" spans="1:6">
      <c r="A2748" t="s">
        <v>236</v>
      </c>
      <c r="B2748" t="s">
        <v>35</v>
      </c>
      <c r="C2748" s="3">
        <v>6.1861</v>
      </c>
      <c r="D2748">
        <v>1</v>
      </c>
      <c r="E2748">
        <v>1</v>
      </c>
      <c r="F2748">
        <v>1</v>
      </c>
    </row>
    <row r="2749" spans="1:6">
      <c r="A2749" t="s">
        <v>236</v>
      </c>
      <c r="B2749" t="s">
        <v>36</v>
      </c>
      <c r="C2749" s="3">
        <v>632.528725</v>
      </c>
      <c r="D2749">
        <v>1</v>
      </c>
      <c r="E2749">
        <v>1</v>
      </c>
      <c r="F2749">
        <v>1</v>
      </c>
    </row>
    <row r="2750" spans="1:6">
      <c r="A2750" t="s">
        <v>236</v>
      </c>
      <c r="B2750" t="s">
        <v>40</v>
      </c>
      <c r="C2750" s="3">
        <v>95.2</v>
      </c>
      <c r="D2750">
        <v>1</v>
      </c>
      <c r="E2750">
        <v>1</v>
      </c>
      <c r="F2750">
        <v>1</v>
      </c>
    </row>
    <row r="2751" spans="1:6">
      <c r="A2751" t="s">
        <v>236</v>
      </c>
      <c r="B2751" t="s">
        <v>41</v>
      </c>
      <c r="C2751" s="3">
        <v>97.4</v>
      </c>
      <c r="D2751">
        <v>1</v>
      </c>
      <c r="E2751">
        <v>1</v>
      </c>
      <c r="F2751">
        <v>1</v>
      </c>
    </row>
    <row r="2752" spans="1:6">
      <c r="A2752" t="s">
        <v>236</v>
      </c>
      <c r="B2752" t="s">
        <v>42</v>
      </c>
      <c r="C2752" s="3">
        <v>102.4</v>
      </c>
      <c r="D2752">
        <v>1</v>
      </c>
      <c r="E2752">
        <v>1</v>
      </c>
      <c r="F2752">
        <v>1</v>
      </c>
    </row>
    <row r="2753" spans="1:6">
      <c r="A2753" t="s">
        <v>236</v>
      </c>
      <c r="B2753" t="s">
        <v>46</v>
      </c>
      <c r="C2753" s="3">
        <v>97.3</v>
      </c>
      <c r="D2753">
        <v>1</v>
      </c>
      <c r="E2753">
        <v>1</v>
      </c>
      <c r="F2753">
        <v>1</v>
      </c>
    </row>
    <row r="2754" spans="1:6">
      <c r="A2754" t="s">
        <v>236</v>
      </c>
      <c r="B2754" t="s">
        <v>392</v>
      </c>
      <c r="C2754" s="3"/>
      <c r="D2754">
        <v>0</v>
      </c>
      <c r="E2754">
        <v>1</v>
      </c>
      <c r="F2754">
        <v>1</v>
      </c>
    </row>
    <row r="2755" spans="1:6">
      <c r="A2755" t="s">
        <v>236</v>
      </c>
      <c r="B2755" t="s">
        <v>393</v>
      </c>
      <c r="C2755" s="3"/>
      <c r="D2755">
        <v>0</v>
      </c>
      <c r="E2755">
        <v>1</v>
      </c>
      <c r="F2755">
        <v>1</v>
      </c>
    </row>
    <row r="2756" spans="1:6">
      <c r="A2756" t="s">
        <v>236</v>
      </c>
      <c r="B2756" t="s">
        <v>394</v>
      </c>
      <c r="C2756" s="3"/>
      <c r="D2756">
        <v>0</v>
      </c>
      <c r="E2756">
        <v>1</v>
      </c>
      <c r="F2756">
        <v>1</v>
      </c>
    </row>
    <row r="2757" spans="1:6">
      <c r="A2757" t="s">
        <v>236</v>
      </c>
      <c r="B2757" t="s">
        <v>39</v>
      </c>
      <c r="C2757" s="3">
        <v>-6.37780857718931</v>
      </c>
      <c r="D2757">
        <v>1</v>
      </c>
      <c r="E2757">
        <v>1</v>
      </c>
      <c r="F2757">
        <v>1</v>
      </c>
    </row>
    <row r="2758" spans="1:6">
      <c r="A2758" t="s">
        <v>236</v>
      </c>
      <c r="B2758" t="s">
        <v>43</v>
      </c>
      <c r="C2758" s="3">
        <v>-1.59999999999999</v>
      </c>
      <c r="D2758">
        <v>1</v>
      </c>
      <c r="E2758">
        <v>1</v>
      </c>
      <c r="F2758">
        <v>1</v>
      </c>
    </row>
    <row r="2759" spans="1:6">
      <c r="A2759" t="s">
        <v>236</v>
      </c>
      <c r="B2759" t="s">
        <v>44</v>
      </c>
      <c r="C2759" s="3">
        <v>-0.699999999999989</v>
      </c>
      <c r="D2759">
        <v>1</v>
      </c>
      <c r="E2759">
        <v>1</v>
      </c>
      <c r="F2759">
        <v>1</v>
      </c>
    </row>
    <row r="2760" spans="1:6">
      <c r="A2760" t="s">
        <v>236</v>
      </c>
      <c r="B2760" t="s">
        <v>45</v>
      </c>
      <c r="C2760" s="3">
        <v>0.300000000000011</v>
      </c>
      <c r="D2760">
        <v>1</v>
      </c>
      <c r="E2760">
        <v>1</v>
      </c>
      <c r="F2760">
        <v>1</v>
      </c>
    </row>
    <row r="2761" spans="1:6">
      <c r="A2761" t="s">
        <v>236</v>
      </c>
      <c r="B2761" t="s">
        <v>396</v>
      </c>
      <c r="C2761" s="3"/>
      <c r="D2761">
        <v>0</v>
      </c>
      <c r="E2761">
        <v>1</v>
      </c>
      <c r="F2761">
        <v>1</v>
      </c>
    </row>
    <row r="2762" spans="1:6">
      <c r="A2762" t="s">
        <v>237</v>
      </c>
      <c r="B2762" t="s">
        <v>34</v>
      </c>
      <c r="C2762" s="3">
        <v>102.56</v>
      </c>
      <c r="D2762">
        <v>1</v>
      </c>
      <c r="E2762">
        <v>1</v>
      </c>
      <c r="F2762">
        <v>1</v>
      </c>
    </row>
    <row r="2763" spans="1:6">
      <c r="A2763" t="s">
        <v>237</v>
      </c>
      <c r="B2763" t="s">
        <v>35</v>
      </c>
      <c r="C2763" s="3">
        <v>6.1416</v>
      </c>
      <c r="D2763">
        <v>1</v>
      </c>
      <c r="E2763">
        <v>1</v>
      </c>
      <c r="F2763">
        <v>1</v>
      </c>
    </row>
    <row r="2764" spans="1:6">
      <c r="A2764" t="s">
        <v>237</v>
      </c>
      <c r="B2764" t="s">
        <v>36</v>
      </c>
      <c r="C2764" s="3">
        <v>629.882496</v>
      </c>
      <c r="D2764">
        <v>1</v>
      </c>
      <c r="E2764">
        <v>1</v>
      </c>
      <c r="F2764">
        <v>1</v>
      </c>
    </row>
    <row r="2765" spans="1:6">
      <c r="A2765" t="s">
        <v>237</v>
      </c>
      <c r="B2765" t="s">
        <v>40</v>
      </c>
      <c r="C2765" s="3">
        <v>94.4</v>
      </c>
      <c r="D2765">
        <v>1</v>
      </c>
      <c r="E2765">
        <v>1</v>
      </c>
      <c r="F2765">
        <v>1</v>
      </c>
    </row>
    <row r="2766" spans="1:6">
      <c r="A2766" t="s">
        <v>237</v>
      </c>
      <c r="B2766" t="s">
        <v>41</v>
      </c>
      <c r="C2766" s="3">
        <v>97.1</v>
      </c>
      <c r="D2766">
        <v>1</v>
      </c>
      <c r="E2766">
        <v>1</v>
      </c>
      <c r="F2766">
        <v>1</v>
      </c>
    </row>
    <row r="2767" spans="1:6">
      <c r="A2767" t="s">
        <v>237</v>
      </c>
      <c r="B2767" t="s">
        <v>42</v>
      </c>
      <c r="C2767" s="3">
        <v>102.1</v>
      </c>
      <c r="D2767">
        <v>1</v>
      </c>
      <c r="E2767">
        <v>1</v>
      </c>
      <c r="F2767">
        <v>1</v>
      </c>
    </row>
    <row r="2768" spans="1:6">
      <c r="A2768" t="s">
        <v>237</v>
      </c>
      <c r="B2768" t="s">
        <v>46</v>
      </c>
      <c r="C2768" s="3">
        <v>97</v>
      </c>
      <c r="D2768">
        <v>1</v>
      </c>
      <c r="E2768">
        <v>1</v>
      </c>
      <c r="F2768">
        <v>1</v>
      </c>
    </row>
    <row r="2769" spans="1:6">
      <c r="A2769" t="s">
        <v>237</v>
      </c>
      <c r="B2769" t="s">
        <v>392</v>
      </c>
      <c r="C2769" s="3"/>
      <c r="D2769">
        <v>0</v>
      </c>
      <c r="E2769">
        <v>1</v>
      </c>
      <c r="F2769">
        <v>1</v>
      </c>
    </row>
    <row r="2770" spans="1:6">
      <c r="A2770" t="s">
        <v>237</v>
      </c>
      <c r="B2770" t="s">
        <v>393</v>
      </c>
      <c r="C2770" s="3"/>
      <c r="D2770">
        <v>0</v>
      </c>
      <c r="E2770">
        <v>1</v>
      </c>
      <c r="F2770">
        <v>1</v>
      </c>
    </row>
    <row r="2771" spans="1:6">
      <c r="A2771" t="s">
        <v>237</v>
      </c>
      <c r="B2771" t="s">
        <v>394</v>
      </c>
      <c r="C2771" s="3"/>
      <c r="D2771">
        <v>0</v>
      </c>
      <c r="E2771">
        <v>1</v>
      </c>
      <c r="F2771">
        <v>1</v>
      </c>
    </row>
    <row r="2772" spans="1:6">
      <c r="A2772" t="s">
        <v>237</v>
      </c>
      <c r="B2772" t="s">
        <v>39</v>
      </c>
      <c r="C2772" s="3">
        <v>-0.419234688629572</v>
      </c>
      <c r="D2772">
        <v>1</v>
      </c>
      <c r="E2772">
        <v>1</v>
      </c>
      <c r="F2772">
        <v>1</v>
      </c>
    </row>
    <row r="2773" spans="1:6">
      <c r="A2773" t="s">
        <v>237</v>
      </c>
      <c r="B2773" t="s">
        <v>43</v>
      </c>
      <c r="C2773" s="3">
        <v>-0.799999999999997</v>
      </c>
      <c r="D2773">
        <v>1</v>
      </c>
      <c r="E2773">
        <v>1</v>
      </c>
      <c r="F2773">
        <v>1</v>
      </c>
    </row>
    <row r="2774" spans="1:6">
      <c r="A2774" t="s">
        <v>237</v>
      </c>
      <c r="B2774" t="s">
        <v>44</v>
      </c>
      <c r="C2774" s="3">
        <v>-0.300000000000011</v>
      </c>
      <c r="D2774">
        <v>1</v>
      </c>
      <c r="E2774">
        <v>1</v>
      </c>
      <c r="F2774">
        <v>1</v>
      </c>
    </row>
    <row r="2775" spans="1:6">
      <c r="A2775" t="s">
        <v>237</v>
      </c>
      <c r="B2775" t="s">
        <v>45</v>
      </c>
      <c r="C2775" s="3">
        <v>-0.300000000000011</v>
      </c>
      <c r="D2775">
        <v>1</v>
      </c>
      <c r="E2775">
        <v>1</v>
      </c>
      <c r="F2775">
        <v>1</v>
      </c>
    </row>
    <row r="2776" spans="1:6">
      <c r="A2776" t="s">
        <v>237</v>
      </c>
      <c r="B2776" t="s">
        <v>396</v>
      </c>
      <c r="C2776" s="3"/>
      <c r="D2776">
        <v>0</v>
      </c>
      <c r="E2776">
        <v>1</v>
      </c>
      <c r="F2776">
        <v>1</v>
      </c>
    </row>
    <row r="2777" spans="1:6">
      <c r="A2777" t="s">
        <v>238</v>
      </c>
      <c r="B2777" t="s">
        <v>34</v>
      </c>
      <c r="C2777" s="3">
        <v>102.92</v>
      </c>
      <c r="D2777">
        <v>1</v>
      </c>
      <c r="E2777">
        <v>1</v>
      </c>
      <c r="F2777">
        <v>1</v>
      </c>
    </row>
    <row r="2778" spans="1:6">
      <c r="A2778" t="s">
        <v>238</v>
      </c>
      <c r="B2778" t="s">
        <v>35</v>
      </c>
      <c r="C2778" s="3">
        <v>6.1342</v>
      </c>
      <c r="D2778">
        <v>1</v>
      </c>
      <c r="E2778">
        <v>1</v>
      </c>
      <c r="F2778">
        <v>1</v>
      </c>
    </row>
    <row r="2779" spans="1:6">
      <c r="A2779" t="s">
        <v>238</v>
      </c>
      <c r="B2779" t="s">
        <v>36</v>
      </c>
      <c r="C2779" s="3">
        <v>631.331864</v>
      </c>
      <c r="D2779">
        <v>1</v>
      </c>
      <c r="E2779">
        <v>1</v>
      </c>
      <c r="F2779">
        <v>1</v>
      </c>
    </row>
    <row r="2780" spans="1:6">
      <c r="A2780" t="s">
        <v>238</v>
      </c>
      <c r="B2780" t="s">
        <v>40</v>
      </c>
      <c r="C2780" s="3">
        <v>95.1</v>
      </c>
      <c r="D2780">
        <v>1</v>
      </c>
      <c r="E2780">
        <v>1</v>
      </c>
      <c r="F2780">
        <v>1</v>
      </c>
    </row>
    <row r="2781" spans="1:6">
      <c r="A2781" t="s">
        <v>238</v>
      </c>
      <c r="B2781" t="s">
        <v>41</v>
      </c>
      <c r="C2781" s="3">
        <v>97.3</v>
      </c>
      <c r="D2781">
        <v>1</v>
      </c>
      <c r="E2781">
        <v>1</v>
      </c>
      <c r="F2781">
        <v>1</v>
      </c>
    </row>
    <row r="2782" spans="1:6">
      <c r="A2782" t="s">
        <v>238</v>
      </c>
      <c r="B2782" t="s">
        <v>42</v>
      </c>
      <c r="C2782" s="3">
        <v>102.7</v>
      </c>
      <c r="D2782">
        <v>1</v>
      </c>
      <c r="E2782">
        <v>1</v>
      </c>
      <c r="F2782">
        <v>1</v>
      </c>
    </row>
    <row r="2783" spans="1:6">
      <c r="A2783" t="s">
        <v>238</v>
      </c>
      <c r="B2783" t="s">
        <v>46</v>
      </c>
      <c r="C2783" s="3">
        <v>97.4</v>
      </c>
      <c r="D2783">
        <v>1</v>
      </c>
      <c r="E2783">
        <v>1</v>
      </c>
      <c r="F2783">
        <v>1</v>
      </c>
    </row>
    <row r="2784" spans="1:6">
      <c r="A2784" t="s">
        <v>238</v>
      </c>
      <c r="B2784" t="s">
        <v>392</v>
      </c>
      <c r="C2784" s="3"/>
      <c r="D2784">
        <v>0</v>
      </c>
      <c r="E2784">
        <v>1</v>
      </c>
      <c r="F2784">
        <v>1</v>
      </c>
    </row>
    <row r="2785" spans="1:6">
      <c r="A2785" t="s">
        <v>238</v>
      </c>
      <c r="B2785" t="s">
        <v>393</v>
      </c>
      <c r="C2785" s="3"/>
      <c r="D2785">
        <v>0</v>
      </c>
      <c r="E2785">
        <v>1</v>
      </c>
      <c r="F2785">
        <v>1</v>
      </c>
    </row>
    <row r="2786" spans="1:6">
      <c r="A2786" t="s">
        <v>238</v>
      </c>
      <c r="B2786" t="s">
        <v>394</v>
      </c>
      <c r="C2786" s="3"/>
      <c r="D2786">
        <v>0</v>
      </c>
      <c r="E2786">
        <v>1</v>
      </c>
      <c r="F2786">
        <v>1</v>
      </c>
    </row>
    <row r="2787" spans="1:6">
      <c r="A2787" t="s">
        <v>238</v>
      </c>
      <c r="B2787" t="s">
        <v>39</v>
      </c>
      <c r="C2787" s="3">
        <v>0.22983700217691</v>
      </c>
      <c r="D2787">
        <v>1</v>
      </c>
      <c r="E2787">
        <v>1</v>
      </c>
      <c r="F2787">
        <v>1</v>
      </c>
    </row>
    <row r="2788" spans="1:6">
      <c r="A2788" t="s">
        <v>238</v>
      </c>
      <c r="B2788" t="s">
        <v>43</v>
      </c>
      <c r="C2788" s="3">
        <v>0.699999999999989</v>
      </c>
      <c r="D2788">
        <v>1</v>
      </c>
      <c r="E2788">
        <v>1</v>
      </c>
      <c r="F2788">
        <v>1</v>
      </c>
    </row>
    <row r="2789" spans="1:6">
      <c r="A2789" t="s">
        <v>238</v>
      </c>
      <c r="B2789" t="s">
        <v>44</v>
      </c>
      <c r="C2789" s="3">
        <v>0.200000000000003</v>
      </c>
      <c r="D2789">
        <v>1</v>
      </c>
      <c r="E2789">
        <v>1</v>
      </c>
      <c r="F2789">
        <v>1</v>
      </c>
    </row>
    <row r="2790" spans="1:6">
      <c r="A2790" t="s">
        <v>238</v>
      </c>
      <c r="B2790" t="s">
        <v>45</v>
      </c>
      <c r="C2790" s="3">
        <v>0.600000000000009</v>
      </c>
      <c r="D2790">
        <v>1</v>
      </c>
      <c r="E2790">
        <v>1</v>
      </c>
      <c r="F2790">
        <v>1</v>
      </c>
    </row>
    <row r="2791" spans="1:6">
      <c r="A2791" t="s">
        <v>238</v>
      </c>
      <c r="B2791" t="s">
        <v>396</v>
      </c>
      <c r="C2791" s="3"/>
      <c r="D2791">
        <v>0</v>
      </c>
      <c r="E2791">
        <v>1</v>
      </c>
      <c r="F2791">
        <v>1</v>
      </c>
    </row>
    <row r="2792" spans="1:6">
      <c r="A2792" t="s">
        <v>239</v>
      </c>
      <c r="B2792" t="s">
        <v>34</v>
      </c>
      <c r="C2792" s="3">
        <v>107.93</v>
      </c>
      <c r="D2792">
        <v>1</v>
      </c>
      <c r="E2792">
        <v>1</v>
      </c>
      <c r="F2792">
        <v>1</v>
      </c>
    </row>
    <row r="2793" spans="1:6">
      <c r="A2793" t="s">
        <v>239</v>
      </c>
      <c r="B2793" t="s">
        <v>35</v>
      </c>
      <c r="C2793" s="3">
        <v>6.1343</v>
      </c>
      <c r="D2793">
        <v>1</v>
      </c>
      <c r="E2793">
        <v>1</v>
      </c>
      <c r="F2793">
        <v>1</v>
      </c>
    </row>
    <row r="2794" spans="1:6">
      <c r="A2794" t="s">
        <v>239</v>
      </c>
      <c r="B2794" t="s">
        <v>36</v>
      </c>
      <c r="C2794" s="3">
        <v>662.074999</v>
      </c>
      <c r="D2794">
        <v>1</v>
      </c>
      <c r="E2794">
        <v>1</v>
      </c>
      <c r="F2794">
        <v>1</v>
      </c>
    </row>
    <row r="2795" spans="1:6">
      <c r="A2795" t="s">
        <v>239</v>
      </c>
      <c r="B2795" t="s">
        <v>40</v>
      </c>
      <c r="C2795" s="3">
        <v>96.6</v>
      </c>
      <c r="D2795">
        <v>1</v>
      </c>
      <c r="E2795">
        <v>1</v>
      </c>
      <c r="F2795">
        <v>1</v>
      </c>
    </row>
    <row r="2796" spans="1:6">
      <c r="A2796" t="s">
        <v>239</v>
      </c>
      <c r="B2796" t="s">
        <v>41</v>
      </c>
      <c r="C2796" s="3">
        <v>97.7</v>
      </c>
      <c r="D2796">
        <v>1</v>
      </c>
      <c r="E2796">
        <v>1</v>
      </c>
      <c r="F2796">
        <v>1</v>
      </c>
    </row>
    <row r="2797" spans="1:6">
      <c r="A2797" t="s">
        <v>239</v>
      </c>
      <c r="B2797" t="s">
        <v>42</v>
      </c>
      <c r="C2797" s="3">
        <v>102.7</v>
      </c>
      <c r="D2797">
        <v>1</v>
      </c>
      <c r="E2797">
        <v>1</v>
      </c>
      <c r="F2797">
        <v>1</v>
      </c>
    </row>
    <row r="2798" spans="1:6">
      <c r="A2798" t="s">
        <v>239</v>
      </c>
      <c r="B2798" t="s">
        <v>46</v>
      </c>
      <c r="C2798" s="3">
        <v>97.8</v>
      </c>
      <c r="D2798">
        <v>1</v>
      </c>
      <c r="E2798">
        <v>1</v>
      </c>
      <c r="F2798">
        <v>1</v>
      </c>
    </row>
    <row r="2799" spans="1:6">
      <c r="A2799" t="s">
        <v>239</v>
      </c>
      <c r="B2799" t="s">
        <v>392</v>
      </c>
      <c r="C2799" s="3"/>
      <c r="D2799">
        <v>0</v>
      </c>
      <c r="E2799">
        <v>1</v>
      </c>
      <c r="F2799">
        <v>1</v>
      </c>
    </row>
    <row r="2800" spans="1:6">
      <c r="A2800" t="s">
        <v>239</v>
      </c>
      <c r="B2800" t="s">
        <v>393</v>
      </c>
      <c r="C2800" s="3"/>
      <c r="D2800">
        <v>0</v>
      </c>
      <c r="E2800">
        <v>1</v>
      </c>
      <c r="F2800">
        <v>1</v>
      </c>
    </row>
    <row r="2801" spans="1:6">
      <c r="A2801" t="s">
        <v>239</v>
      </c>
      <c r="B2801" t="s">
        <v>394</v>
      </c>
      <c r="C2801" s="3"/>
      <c r="D2801">
        <v>0</v>
      </c>
      <c r="E2801">
        <v>1</v>
      </c>
      <c r="F2801">
        <v>1</v>
      </c>
    </row>
    <row r="2802" spans="1:6">
      <c r="A2802" t="s">
        <v>239</v>
      </c>
      <c r="B2802" t="s">
        <v>39</v>
      </c>
      <c r="C2802" s="3">
        <v>4.75471833351111</v>
      </c>
      <c r="D2802">
        <v>1</v>
      </c>
      <c r="E2802">
        <v>1</v>
      </c>
      <c r="F2802">
        <v>1</v>
      </c>
    </row>
    <row r="2803" spans="1:6">
      <c r="A2803" t="s">
        <v>239</v>
      </c>
      <c r="B2803" t="s">
        <v>43</v>
      </c>
      <c r="C2803" s="3">
        <v>1.5</v>
      </c>
      <c r="D2803">
        <v>1</v>
      </c>
      <c r="E2803">
        <v>1</v>
      </c>
      <c r="F2803">
        <v>1</v>
      </c>
    </row>
    <row r="2804" spans="1:6">
      <c r="A2804" t="s">
        <v>239</v>
      </c>
      <c r="B2804" t="s">
        <v>44</v>
      </c>
      <c r="C2804" s="3">
        <v>0.400000000000006</v>
      </c>
      <c r="D2804">
        <v>1</v>
      </c>
      <c r="E2804">
        <v>1</v>
      </c>
      <c r="F2804">
        <v>1</v>
      </c>
    </row>
    <row r="2805" spans="1:6">
      <c r="A2805" t="s">
        <v>239</v>
      </c>
      <c r="B2805" t="s">
        <v>45</v>
      </c>
      <c r="C2805" s="3">
        <v>0</v>
      </c>
      <c r="D2805">
        <v>1</v>
      </c>
      <c r="E2805">
        <v>1</v>
      </c>
      <c r="F2805">
        <v>1</v>
      </c>
    </row>
    <row r="2806" spans="1:6">
      <c r="A2806" t="s">
        <v>239</v>
      </c>
      <c r="B2806" t="s">
        <v>396</v>
      </c>
      <c r="C2806" s="3"/>
      <c r="D2806">
        <v>0</v>
      </c>
      <c r="E2806">
        <v>1</v>
      </c>
      <c r="F2806">
        <v>1</v>
      </c>
    </row>
    <row r="2807" spans="1:6">
      <c r="A2807" t="s">
        <v>240</v>
      </c>
      <c r="B2807" t="s">
        <v>34</v>
      </c>
      <c r="C2807" s="3">
        <v>111.28</v>
      </c>
      <c r="D2807">
        <v>1</v>
      </c>
      <c r="E2807">
        <v>1</v>
      </c>
      <c r="F2807">
        <v>1</v>
      </c>
    </row>
    <row r="2808" spans="1:6">
      <c r="A2808" t="s">
        <v>240</v>
      </c>
      <c r="B2808" t="s">
        <v>35</v>
      </c>
      <c r="C2808" s="3">
        <v>6.1213</v>
      </c>
      <c r="D2808">
        <v>1</v>
      </c>
      <c r="E2808">
        <v>1</v>
      </c>
      <c r="F2808">
        <v>1</v>
      </c>
    </row>
    <row r="2809" spans="1:6">
      <c r="A2809" t="s">
        <v>240</v>
      </c>
      <c r="B2809" t="s">
        <v>36</v>
      </c>
      <c r="C2809" s="3">
        <v>681.178264</v>
      </c>
      <c r="D2809">
        <v>1</v>
      </c>
      <c r="E2809">
        <v>1</v>
      </c>
      <c r="F2809">
        <v>1</v>
      </c>
    </row>
    <row r="2810" spans="1:6">
      <c r="A2810" t="s">
        <v>240</v>
      </c>
      <c r="B2810" t="s">
        <v>40</v>
      </c>
      <c r="C2810" s="3">
        <v>97.4</v>
      </c>
      <c r="D2810">
        <v>1</v>
      </c>
      <c r="E2810">
        <v>1</v>
      </c>
      <c r="F2810">
        <v>1</v>
      </c>
    </row>
    <row r="2811" spans="1:6">
      <c r="A2811" t="s">
        <v>240</v>
      </c>
      <c r="B2811" t="s">
        <v>41</v>
      </c>
      <c r="C2811" s="3">
        <v>98.4</v>
      </c>
      <c r="D2811">
        <v>1</v>
      </c>
      <c r="E2811">
        <v>1</v>
      </c>
      <c r="F2811">
        <v>1</v>
      </c>
    </row>
    <row r="2812" spans="1:6">
      <c r="A2812" t="s">
        <v>240</v>
      </c>
      <c r="B2812" t="s">
        <v>42</v>
      </c>
      <c r="C2812" s="3">
        <v>102.6</v>
      </c>
      <c r="D2812">
        <v>1</v>
      </c>
      <c r="E2812">
        <v>1</v>
      </c>
      <c r="F2812">
        <v>1</v>
      </c>
    </row>
    <row r="2813" spans="1:6">
      <c r="A2813" t="s">
        <v>240</v>
      </c>
      <c r="B2813" t="s">
        <v>46</v>
      </c>
      <c r="C2813" s="3">
        <v>98.4</v>
      </c>
      <c r="D2813">
        <v>1</v>
      </c>
      <c r="E2813">
        <v>1</v>
      </c>
      <c r="F2813">
        <v>1</v>
      </c>
    </row>
    <row r="2814" spans="1:6">
      <c r="A2814" t="s">
        <v>240</v>
      </c>
      <c r="B2814" t="s">
        <v>392</v>
      </c>
      <c r="C2814" s="3"/>
      <c r="D2814">
        <v>0</v>
      </c>
      <c r="E2814">
        <v>1</v>
      </c>
      <c r="F2814">
        <v>1</v>
      </c>
    </row>
    <row r="2815" spans="1:6">
      <c r="A2815" t="s">
        <v>240</v>
      </c>
      <c r="B2815" t="s">
        <v>393</v>
      </c>
      <c r="C2815" s="3"/>
      <c r="D2815">
        <v>0</v>
      </c>
      <c r="E2815">
        <v>1</v>
      </c>
      <c r="F2815">
        <v>1</v>
      </c>
    </row>
    <row r="2816" spans="1:6">
      <c r="A2816" t="s">
        <v>240</v>
      </c>
      <c r="B2816" t="s">
        <v>394</v>
      </c>
      <c r="C2816" s="3"/>
      <c r="D2816">
        <v>0</v>
      </c>
      <c r="E2816">
        <v>1</v>
      </c>
      <c r="F2816">
        <v>1</v>
      </c>
    </row>
    <row r="2817" spans="1:6">
      <c r="A2817" t="s">
        <v>240</v>
      </c>
      <c r="B2817" t="s">
        <v>39</v>
      </c>
      <c r="C2817" s="3">
        <v>2.84451988217112</v>
      </c>
      <c r="D2817">
        <v>1</v>
      </c>
      <c r="E2817">
        <v>1</v>
      </c>
      <c r="F2817">
        <v>1</v>
      </c>
    </row>
    <row r="2818" spans="1:6">
      <c r="A2818" t="s">
        <v>240</v>
      </c>
      <c r="B2818" t="s">
        <v>43</v>
      </c>
      <c r="C2818" s="3">
        <v>0.800000000000011</v>
      </c>
      <c r="D2818">
        <v>1</v>
      </c>
      <c r="E2818">
        <v>1</v>
      </c>
      <c r="F2818">
        <v>1</v>
      </c>
    </row>
    <row r="2819" spans="1:6">
      <c r="A2819" t="s">
        <v>240</v>
      </c>
      <c r="B2819" t="s">
        <v>44</v>
      </c>
      <c r="C2819" s="3">
        <v>0.700000000000003</v>
      </c>
      <c r="D2819">
        <v>1</v>
      </c>
      <c r="E2819">
        <v>1</v>
      </c>
      <c r="F2819">
        <v>1</v>
      </c>
    </row>
    <row r="2820" spans="1:6">
      <c r="A2820" t="s">
        <v>240</v>
      </c>
      <c r="B2820" t="s">
        <v>45</v>
      </c>
      <c r="C2820" s="3">
        <v>-0.100000000000009</v>
      </c>
      <c r="D2820">
        <v>1</v>
      </c>
      <c r="E2820">
        <v>1</v>
      </c>
      <c r="F2820">
        <v>1</v>
      </c>
    </row>
    <row r="2821" spans="1:6">
      <c r="A2821" t="s">
        <v>240</v>
      </c>
      <c r="B2821" t="s">
        <v>396</v>
      </c>
      <c r="C2821" s="3"/>
      <c r="D2821">
        <v>0</v>
      </c>
      <c r="E2821">
        <v>1</v>
      </c>
      <c r="F2821">
        <v>1</v>
      </c>
    </row>
    <row r="2822" spans="1:6">
      <c r="A2822" t="s">
        <v>241</v>
      </c>
      <c r="B2822" t="s">
        <v>34</v>
      </c>
      <c r="C2822" s="3">
        <v>111.6</v>
      </c>
      <c r="D2822">
        <v>1</v>
      </c>
      <c r="E2822">
        <v>1</v>
      </c>
      <c r="F2822">
        <v>1</v>
      </c>
    </row>
    <row r="2823" spans="1:6">
      <c r="A2823" t="s">
        <v>241</v>
      </c>
      <c r="B2823" t="s">
        <v>35</v>
      </c>
      <c r="C2823" s="3">
        <v>6.1198</v>
      </c>
      <c r="D2823">
        <v>1</v>
      </c>
      <c r="E2823">
        <v>1</v>
      </c>
      <c r="F2823">
        <v>1</v>
      </c>
    </row>
    <row r="2824" spans="1:6">
      <c r="A2824" t="s">
        <v>241</v>
      </c>
      <c r="B2824" t="s">
        <v>36</v>
      </c>
      <c r="C2824" s="3">
        <v>682.96968</v>
      </c>
      <c r="D2824">
        <v>1</v>
      </c>
      <c r="E2824">
        <v>1</v>
      </c>
      <c r="F2824">
        <v>1</v>
      </c>
    </row>
    <row r="2825" spans="1:6">
      <c r="A2825" t="s">
        <v>241</v>
      </c>
      <c r="B2825" t="s">
        <v>40</v>
      </c>
      <c r="C2825" s="3">
        <v>97</v>
      </c>
      <c r="D2825">
        <v>1</v>
      </c>
      <c r="E2825">
        <v>1</v>
      </c>
      <c r="F2825">
        <v>1</v>
      </c>
    </row>
    <row r="2826" spans="1:6">
      <c r="A2826" t="s">
        <v>241</v>
      </c>
      <c r="B2826" t="s">
        <v>41</v>
      </c>
      <c r="C2826" s="3">
        <v>98.7</v>
      </c>
      <c r="D2826">
        <v>1</v>
      </c>
      <c r="E2826">
        <v>1</v>
      </c>
      <c r="F2826">
        <v>1</v>
      </c>
    </row>
    <row r="2827" spans="1:6">
      <c r="A2827" t="s">
        <v>241</v>
      </c>
      <c r="B2827" t="s">
        <v>42</v>
      </c>
      <c r="C2827" s="3">
        <v>103.1</v>
      </c>
      <c r="D2827">
        <v>1</v>
      </c>
      <c r="E2827">
        <v>1</v>
      </c>
      <c r="F2827">
        <v>1</v>
      </c>
    </row>
    <row r="2828" spans="1:6">
      <c r="A2828" t="s">
        <v>241</v>
      </c>
      <c r="B2828" t="s">
        <v>46</v>
      </c>
      <c r="C2828" s="3">
        <v>98.4</v>
      </c>
      <c r="D2828">
        <v>1</v>
      </c>
      <c r="E2828">
        <v>1</v>
      </c>
      <c r="F2828">
        <v>1</v>
      </c>
    </row>
    <row r="2829" spans="1:6">
      <c r="A2829" t="s">
        <v>241</v>
      </c>
      <c r="B2829" t="s">
        <v>392</v>
      </c>
      <c r="C2829" s="3"/>
      <c r="D2829">
        <v>0</v>
      </c>
      <c r="E2829">
        <v>1</v>
      </c>
      <c r="F2829">
        <v>1</v>
      </c>
    </row>
    <row r="2830" spans="1:6">
      <c r="A2830" t="s">
        <v>241</v>
      </c>
      <c r="B2830" t="s">
        <v>393</v>
      </c>
      <c r="C2830" s="3"/>
      <c r="D2830">
        <v>0</v>
      </c>
      <c r="E2830">
        <v>1</v>
      </c>
      <c r="F2830">
        <v>1</v>
      </c>
    </row>
    <row r="2831" spans="1:6">
      <c r="A2831" t="s">
        <v>241</v>
      </c>
      <c r="B2831" t="s">
        <v>394</v>
      </c>
      <c r="C2831" s="3"/>
      <c r="D2831">
        <v>0</v>
      </c>
      <c r="E2831">
        <v>1</v>
      </c>
      <c r="F2831">
        <v>1</v>
      </c>
    </row>
    <row r="2832" spans="1:6">
      <c r="A2832" t="s">
        <v>241</v>
      </c>
      <c r="B2832" t="s">
        <v>39</v>
      </c>
      <c r="C2832" s="3">
        <v>0.26264263163859</v>
      </c>
      <c r="D2832">
        <v>1</v>
      </c>
      <c r="E2832">
        <v>1</v>
      </c>
      <c r="F2832">
        <v>1</v>
      </c>
    </row>
    <row r="2833" spans="1:6">
      <c r="A2833" t="s">
        <v>241</v>
      </c>
      <c r="B2833" t="s">
        <v>43</v>
      </c>
      <c r="C2833" s="3">
        <v>-0.400000000000006</v>
      </c>
      <c r="D2833">
        <v>1</v>
      </c>
      <c r="E2833">
        <v>1</v>
      </c>
      <c r="F2833">
        <v>1</v>
      </c>
    </row>
    <row r="2834" spans="1:6">
      <c r="A2834" t="s">
        <v>241</v>
      </c>
      <c r="B2834" t="s">
        <v>44</v>
      </c>
      <c r="C2834" s="3">
        <v>0.299999999999997</v>
      </c>
      <c r="D2834">
        <v>1</v>
      </c>
      <c r="E2834">
        <v>1</v>
      </c>
      <c r="F2834">
        <v>1</v>
      </c>
    </row>
    <row r="2835" spans="1:6">
      <c r="A2835" t="s">
        <v>241</v>
      </c>
      <c r="B2835" t="s">
        <v>45</v>
      </c>
      <c r="C2835" s="3">
        <v>0.5</v>
      </c>
      <c r="D2835">
        <v>1</v>
      </c>
      <c r="E2835">
        <v>1</v>
      </c>
      <c r="F2835">
        <v>1</v>
      </c>
    </row>
    <row r="2836" spans="1:6">
      <c r="A2836" t="s">
        <v>241</v>
      </c>
      <c r="B2836" t="s">
        <v>396</v>
      </c>
      <c r="C2836" s="3"/>
      <c r="D2836">
        <v>0</v>
      </c>
      <c r="E2836">
        <v>1</v>
      </c>
      <c r="F2836">
        <v>1</v>
      </c>
    </row>
    <row r="2837" spans="1:6">
      <c r="A2837" t="s">
        <v>242</v>
      </c>
      <c r="B2837" t="s">
        <v>34</v>
      </c>
      <c r="C2837" s="3">
        <v>109.08</v>
      </c>
      <c r="D2837">
        <v>1</v>
      </c>
      <c r="E2837">
        <v>1</v>
      </c>
      <c r="F2837">
        <v>1</v>
      </c>
    </row>
    <row r="2838" spans="1:6">
      <c r="A2838" t="s">
        <v>242</v>
      </c>
      <c r="B2838" t="s">
        <v>35</v>
      </c>
      <c r="C2838" s="3">
        <v>6.1032</v>
      </c>
      <c r="D2838">
        <v>1</v>
      </c>
      <c r="E2838">
        <v>1</v>
      </c>
      <c r="F2838">
        <v>1</v>
      </c>
    </row>
    <row r="2839" spans="1:6">
      <c r="A2839" t="s">
        <v>242</v>
      </c>
      <c r="B2839" t="s">
        <v>36</v>
      </c>
      <c r="C2839" s="3">
        <v>665.737056</v>
      </c>
      <c r="D2839">
        <v>1</v>
      </c>
      <c r="E2839">
        <v>1</v>
      </c>
      <c r="F2839">
        <v>1</v>
      </c>
    </row>
    <row r="2840" spans="1:6">
      <c r="A2840" t="s">
        <v>242</v>
      </c>
      <c r="B2840" t="s">
        <v>40</v>
      </c>
      <c r="C2840" s="3">
        <v>97.1</v>
      </c>
      <c r="D2840">
        <v>1</v>
      </c>
      <c r="E2840">
        <v>1</v>
      </c>
      <c r="F2840">
        <v>1</v>
      </c>
    </row>
    <row r="2841" spans="1:6">
      <c r="A2841" t="s">
        <v>242</v>
      </c>
      <c r="B2841" t="s">
        <v>41</v>
      </c>
      <c r="C2841" s="3">
        <v>98.5</v>
      </c>
      <c r="D2841">
        <v>1</v>
      </c>
      <c r="E2841">
        <v>1</v>
      </c>
      <c r="F2841">
        <v>1</v>
      </c>
    </row>
    <row r="2842" spans="1:6">
      <c r="A2842" t="s">
        <v>242</v>
      </c>
      <c r="B2842" t="s">
        <v>42</v>
      </c>
      <c r="C2842" s="3">
        <v>103.2</v>
      </c>
      <c r="D2842">
        <v>1</v>
      </c>
      <c r="E2842">
        <v>1</v>
      </c>
      <c r="F2842">
        <v>1</v>
      </c>
    </row>
    <row r="2843" spans="1:6">
      <c r="A2843" t="s">
        <v>242</v>
      </c>
      <c r="B2843" t="s">
        <v>46</v>
      </c>
      <c r="C2843" s="3">
        <v>98.4</v>
      </c>
      <c r="D2843">
        <v>1</v>
      </c>
      <c r="E2843">
        <v>1</v>
      </c>
      <c r="F2843">
        <v>1</v>
      </c>
    </row>
    <row r="2844" spans="1:6">
      <c r="A2844" t="s">
        <v>242</v>
      </c>
      <c r="B2844" t="s">
        <v>392</v>
      </c>
      <c r="C2844" s="3"/>
      <c r="D2844">
        <v>0</v>
      </c>
      <c r="E2844">
        <v>1</v>
      </c>
      <c r="F2844">
        <v>1</v>
      </c>
    </row>
    <row r="2845" spans="1:6">
      <c r="A2845" t="s">
        <v>242</v>
      </c>
      <c r="B2845" t="s">
        <v>393</v>
      </c>
      <c r="C2845" s="3"/>
      <c r="D2845">
        <v>0</v>
      </c>
      <c r="E2845">
        <v>1</v>
      </c>
      <c r="F2845">
        <v>1</v>
      </c>
    </row>
    <row r="2846" spans="1:6">
      <c r="A2846" t="s">
        <v>242</v>
      </c>
      <c r="B2846" t="s">
        <v>394</v>
      </c>
      <c r="C2846" s="3"/>
      <c r="D2846">
        <v>0</v>
      </c>
      <c r="E2846">
        <v>1</v>
      </c>
      <c r="F2846">
        <v>1</v>
      </c>
    </row>
    <row r="2847" spans="1:6">
      <c r="A2847" t="s">
        <v>242</v>
      </c>
      <c r="B2847" t="s">
        <v>39</v>
      </c>
      <c r="C2847" s="3">
        <v>-2.55556844276184</v>
      </c>
      <c r="D2847">
        <v>1</v>
      </c>
      <c r="E2847">
        <v>1</v>
      </c>
      <c r="F2847">
        <v>1</v>
      </c>
    </row>
    <row r="2848" spans="1:6">
      <c r="A2848" t="s">
        <v>242</v>
      </c>
      <c r="B2848" t="s">
        <v>43</v>
      </c>
      <c r="C2848" s="3">
        <v>0.0999999999999943</v>
      </c>
      <c r="D2848">
        <v>1</v>
      </c>
      <c r="E2848">
        <v>1</v>
      </c>
      <c r="F2848">
        <v>1</v>
      </c>
    </row>
    <row r="2849" spans="1:6">
      <c r="A2849" t="s">
        <v>242</v>
      </c>
      <c r="B2849" t="s">
        <v>44</v>
      </c>
      <c r="C2849" s="3">
        <v>-0.200000000000003</v>
      </c>
      <c r="D2849">
        <v>1</v>
      </c>
      <c r="E2849">
        <v>1</v>
      </c>
      <c r="F2849">
        <v>1</v>
      </c>
    </row>
    <row r="2850" spans="1:6">
      <c r="A2850" t="s">
        <v>242</v>
      </c>
      <c r="B2850" t="s">
        <v>45</v>
      </c>
      <c r="C2850" s="3">
        <v>0.100000000000009</v>
      </c>
      <c r="D2850">
        <v>1</v>
      </c>
      <c r="E2850">
        <v>1</v>
      </c>
      <c r="F2850">
        <v>1</v>
      </c>
    </row>
    <row r="2851" spans="1:6">
      <c r="A2851" t="s">
        <v>242</v>
      </c>
      <c r="B2851" t="s">
        <v>396</v>
      </c>
      <c r="C2851" s="3"/>
      <c r="D2851">
        <v>0</v>
      </c>
      <c r="E2851">
        <v>1</v>
      </c>
      <c r="F2851">
        <v>1</v>
      </c>
    </row>
    <row r="2852" spans="1:6">
      <c r="A2852" t="s">
        <v>243</v>
      </c>
      <c r="B2852" t="s">
        <v>34</v>
      </c>
      <c r="C2852" s="3">
        <v>107.79</v>
      </c>
      <c r="D2852">
        <v>1</v>
      </c>
      <c r="E2852">
        <v>1</v>
      </c>
      <c r="F2852">
        <v>1</v>
      </c>
    </row>
    <row r="2853" spans="1:6">
      <c r="A2853" t="s">
        <v>243</v>
      </c>
      <c r="B2853" t="s">
        <v>35</v>
      </c>
      <c r="C2853" s="3">
        <v>6.0929</v>
      </c>
      <c r="D2853">
        <v>1</v>
      </c>
      <c r="E2853">
        <v>1</v>
      </c>
      <c r="F2853">
        <v>1</v>
      </c>
    </row>
    <row r="2854" spans="1:6">
      <c r="A2854" t="s">
        <v>243</v>
      </c>
      <c r="B2854" t="s">
        <v>36</v>
      </c>
      <c r="C2854" s="3">
        <v>656.753691</v>
      </c>
      <c r="D2854">
        <v>1</v>
      </c>
      <c r="E2854">
        <v>1</v>
      </c>
      <c r="F2854">
        <v>1</v>
      </c>
    </row>
    <row r="2855" spans="1:6">
      <c r="A2855" t="s">
        <v>243</v>
      </c>
      <c r="B2855" t="s">
        <v>40</v>
      </c>
      <c r="C2855" s="3">
        <v>97.4</v>
      </c>
      <c r="D2855">
        <v>1</v>
      </c>
      <c r="E2855">
        <v>1</v>
      </c>
      <c r="F2855">
        <v>1</v>
      </c>
    </row>
    <row r="2856" spans="1:6">
      <c r="A2856" t="s">
        <v>243</v>
      </c>
      <c r="B2856" t="s">
        <v>41</v>
      </c>
      <c r="C2856" s="3">
        <v>98.6</v>
      </c>
      <c r="D2856">
        <v>1</v>
      </c>
      <c r="E2856">
        <v>1</v>
      </c>
      <c r="F2856">
        <v>1</v>
      </c>
    </row>
    <row r="2857" spans="1:6">
      <c r="A2857" t="s">
        <v>243</v>
      </c>
      <c r="B2857" t="s">
        <v>42</v>
      </c>
      <c r="C2857" s="3">
        <v>103</v>
      </c>
      <c r="D2857">
        <v>1</v>
      </c>
      <c r="E2857">
        <v>1</v>
      </c>
      <c r="F2857">
        <v>1</v>
      </c>
    </row>
    <row r="2858" spans="1:6">
      <c r="A2858" t="s">
        <v>243</v>
      </c>
      <c r="B2858" t="s">
        <v>46</v>
      </c>
      <c r="C2858" s="3">
        <v>98.5</v>
      </c>
      <c r="D2858">
        <v>1</v>
      </c>
      <c r="E2858">
        <v>1</v>
      </c>
      <c r="F2858">
        <v>1</v>
      </c>
    </row>
    <row r="2859" spans="1:6">
      <c r="A2859" t="s">
        <v>243</v>
      </c>
      <c r="B2859" t="s">
        <v>392</v>
      </c>
      <c r="C2859" s="3"/>
      <c r="D2859">
        <v>0</v>
      </c>
      <c r="E2859">
        <v>1</v>
      </c>
      <c r="F2859">
        <v>1</v>
      </c>
    </row>
    <row r="2860" spans="1:6">
      <c r="A2860" t="s">
        <v>243</v>
      </c>
      <c r="B2860" t="s">
        <v>393</v>
      </c>
      <c r="C2860" s="3"/>
      <c r="D2860">
        <v>0</v>
      </c>
      <c r="E2860">
        <v>1</v>
      </c>
      <c r="F2860">
        <v>1</v>
      </c>
    </row>
    <row r="2861" spans="1:6">
      <c r="A2861" t="s">
        <v>243</v>
      </c>
      <c r="B2861" t="s">
        <v>394</v>
      </c>
      <c r="C2861" s="3"/>
      <c r="D2861">
        <v>0</v>
      </c>
      <c r="E2861">
        <v>1</v>
      </c>
      <c r="F2861">
        <v>1</v>
      </c>
    </row>
    <row r="2862" spans="1:6">
      <c r="A2862" t="s">
        <v>243</v>
      </c>
      <c r="B2862" t="s">
        <v>39</v>
      </c>
      <c r="C2862" s="3">
        <v>-1.35857331224416</v>
      </c>
      <c r="D2862">
        <v>1</v>
      </c>
      <c r="E2862">
        <v>1</v>
      </c>
      <c r="F2862">
        <v>1</v>
      </c>
    </row>
    <row r="2863" spans="1:6">
      <c r="A2863" t="s">
        <v>243</v>
      </c>
      <c r="B2863" t="s">
        <v>43</v>
      </c>
      <c r="C2863" s="3">
        <v>0.300000000000011</v>
      </c>
      <c r="D2863">
        <v>1</v>
      </c>
      <c r="E2863">
        <v>1</v>
      </c>
      <c r="F2863">
        <v>1</v>
      </c>
    </row>
    <row r="2864" spans="1:6">
      <c r="A2864" t="s">
        <v>243</v>
      </c>
      <c r="B2864" t="s">
        <v>44</v>
      </c>
      <c r="C2864" s="3">
        <v>0.0999999999999943</v>
      </c>
      <c r="D2864">
        <v>1</v>
      </c>
      <c r="E2864">
        <v>1</v>
      </c>
      <c r="F2864">
        <v>1</v>
      </c>
    </row>
    <row r="2865" spans="1:6">
      <c r="A2865" t="s">
        <v>243</v>
      </c>
      <c r="B2865" t="s">
        <v>45</v>
      </c>
      <c r="C2865" s="3">
        <v>-0.200000000000003</v>
      </c>
      <c r="D2865">
        <v>1</v>
      </c>
      <c r="E2865">
        <v>1</v>
      </c>
      <c r="F2865">
        <v>1</v>
      </c>
    </row>
    <row r="2866" spans="1:6">
      <c r="A2866" t="s">
        <v>243</v>
      </c>
      <c r="B2866" t="s">
        <v>396</v>
      </c>
      <c r="C2866" s="3"/>
      <c r="D2866">
        <v>0</v>
      </c>
      <c r="E2866">
        <v>1</v>
      </c>
      <c r="F2866">
        <v>1</v>
      </c>
    </row>
    <row r="2867" spans="1:6">
      <c r="A2867" t="s">
        <v>244</v>
      </c>
      <c r="B2867" t="s">
        <v>34</v>
      </c>
      <c r="C2867" s="3">
        <v>110.76</v>
      </c>
      <c r="D2867">
        <v>1</v>
      </c>
      <c r="E2867">
        <v>1</v>
      </c>
      <c r="F2867">
        <v>1</v>
      </c>
    </row>
    <row r="2868" spans="1:6">
      <c r="A2868" t="s">
        <v>244</v>
      </c>
      <c r="B2868" t="s">
        <v>35</v>
      </c>
      <c r="C2868" s="3">
        <v>6.0738</v>
      </c>
      <c r="D2868">
        <v>1</v>
      </c>
      <c r="E2868">
        <v>1</v>
      </c>
      <c r="F2868">
        <v>1</v>
      </c>
    </row>
    <row r="2869" spans="1:6">
      <c r="A2869" t="s">
        <v>244</v>
      </c>
      <c r="B2869" t="s">
        <v>36</v>
      </c>
      <c r="C2869" s="3">
        <v>672.734088</v>
      </c>
      <c r="D2869">
        <v>1</v>
      </c>
      <c r="E2869">
        <v>1</v>
      </c>
      <c r="F2869">
        <v>1</v>
      </c>
    </row>
    <row r="2870" spans="1:6">
      <c r="A2870" t="s">
        <v>244</v>
      </c>
      <c r="B2870" t="s">
        <v>40</v>
      </c>
      <c r="C2870" s="3">
        <v>97.8</v>
      </c>
      <c r="D2870">
        <v>1</v>
      </c>
      <c r="E2870">
        <v>1</v>
      </c>
      <c r="F2870">
        <v>1</v>
      </c>
    </row>
    <row r="2871" spans="1:6">
      <c r="A2871" t="s">
        <v>244</v>
      </c>
      <c r="B2871" t="s">
        <v>41</v>
      </c>
      <c r="C2871" s="3">
        <v>98.6</v>
      </c>
      <c r="D2871">
        <v>1</v>
      </c>
      <c r="E2871">
        <v>1</v>
      </c>
      <c r="F2871">
        <v>1</v>
      </c>
    </row>
    <row r="2872" spans="1:6">
      <c r="A2872" t="s">
        <v>244</v>
      </c>
      <c r="B2872" t="s">
        <v>42</v>
      </c>
      <c r="C2872" s="3">
        <v>102.5</v>
      </c>
      <c r="D2872">
        <v>1</v>
      </c>
      <c r="E2872">
        <v>1</v>
      </c>
      <c r="F2872">
        <v>1</v>
      </c>
    </row>
    <row r="2873" spans="1:6">
      <c r="A2873" t="s">
        <v>244</v>
      </c>
      <c r="B2873" t="s">
        <v>46</v>
      </c>
      <c r="C2873" s="3">
        <v>98.6</v>
      </c>
      <c r="D2873">
        <v>1</v>
      </c>
      <c r="E2873">
        <v>1</v>
      </c>
      <c r="F2873">
        <v>1</v>
      </c>
    </row>
    <row r="2874" spans="1:6">
      <c r="A2874" t="s">
        <v>244</v>
      </c>
      <c r="B2874" t="s">
        <v>392</v>
      </c>
      <c r="C2874" s="3"/>
      <c r="D2874">
        <v>0</v>
      </c>
      <c r="E2874">
        <v>1</v>
      </c>
      <c r="F2874">
        <v>1</v>
      </c>
    </row>
    <row r="2875" spans="1:6">
      <c r="A2875" t="s">
        <v>244</v>
      </c>
      <c r="B2875" t="s">
        <v>393</v>
      </c>
      <c r="C2875" s="3"/>
      <c r="D2875">
        <v>0</v>
      </c>
      <c r="E2875">
        <v>1</v>
      </c>
      <c r="F2875">
        <v>1</v>
      </c>
    </row>
    <row r="2876" spans="1:6">
      <c r="A2876" t="s">
        <v>244</v>
      </c>
      <c r="B2876" t="s">
        <v>394</v>
      </c>
      <c r="C2876" s="3"/>
      <c r="D2876">
        <v>0</v>
      </c>
      <c r="E2876">
        <v>1</v>
      </c>
      <c r="F2876">
        <v>1</v>
      </c>
    </row>
    <row r="2877" spans="1:6">
      <c r="A2877" t="s">
        <v>244</v>
      </c>
      <c r="B2877" t="s">
        <v>39</v>
      </c>
      <c r="C2877" s="3">
        <v>2.40410885045563</v>
      </c>
      <c r="D2877">
        <v>1</v>
      </c>
      <c r="E2877">
        <v>1</v>
      </c>
      <c r="F2877">
        <v>1</v>
      </c>
    </row>
    <row r="2878" spans="1:6">
      <c r="A2878" t="s">
        <v>244</v>
      </c>
      <c r="B2878" t="s">
        <v>43</v>
      </c>
      <c r="C2878" s="3">
        <v>0.399999999999991</v>
      </c>
      <c r="D2878">
        <v>1</v>
      </c>
      <c r="E2878">
        <v>1</v>
      </c>
      <c r="F2878">
        <v>1</v>
      </c>
    </row>
    <row r="2879" spans="1:6">
      <c r="A2879" t="s">
        <v>244</v>
      </c>
      <c r="B2879" t="s">
        <v>44</v>
      </c>
      <c r="C2879" s="3">
        <v>0</v>
      </c>
      <c r="D2879">
        <v>1</v>
      </c>
      <c r="E2879">
        <v>1</v>
      </c>
      <c r="F2879">
        <v>1</v>
      </c>
    </row>
    <row r="2880" spans="1:6">
      <c r="A2880" t="s">
        <v>244</v>
      </c>
      <c r="B2880" t="s">
        <v>45</v>
      </c>
      <c r="C2880" s="3">
        <v>-0.5</v>
      </c>
      <c r="D2880">
        <v>1</v>
      </c>
      <c r="E2880">
        <v>1</v>
      </c>
      <c r="F2880">
        <v>1</v>
      </c>
    </row>
    <row r="2881" spans="1:6">
      <c r="A2881" t="s">
        <v>244</v>
      </c>
      <c r="B2881" t="s">
        <v>396</v>
      </c>
      <c r="C2881" s="3"/>
      <c r="D2881">
        <v>0</v>
      </c>
      <c r="E2881">
        <v>1</v>
      </c>
      <c r="F2881">
        <v>1</v>
      </c>
    </row>
    <row r="2882" spans="1:6">
      <c r="A2882" t="s">
        <v>245</v>
      </c>
      <c r="B2882" t="s">
        <v>34</v>
      </c>
      <c r="C2882" s="3">
        <v>108.12</v>
      </c>
      <c r="D2882">
        <v>1</v>
      </c>
      <c r="E2882">
        <v>1</v>
      </c>
      <c r="F2882">
        <v>1</v>
      </c>
    </row>
    <row r="2883" spans="1:6">
      <c r="A2883" t="s">
        <v>245</v>
      </c>
      <c r="B2883" t="s">
        <v>35</v>
      </c>
      <c r="C2883" s="3">
        <v>6.0509</v>
      </c>
      <c r="D2883">
        <v>1</v>
      </c>
      <c r="E2883">
        <v>1</v>
      </c>
      <c r="F2883">
        <v>1</v>
      </c>
    </row>
    <row r="2884" spans="1:6">
      <c r="A2884" t="s">
        <v>245</v>
      </c>
      <c r="B2884" t="s">
        <v>36</v>
      </c>
      <c r="C2884" s="3">
        <v>654.223308</v>
      </c>
      <c r="D2884">
        <v>1</v>
      </c>
      <c r="E2884">
        <v>1</v>
      </c>
      <c r="F2884">
        <v>1</v>
      </c>
    </row>
    <row r="2885" spans="1:6">
      <c r="A2885" t="s">
        <v>245</v>
      </c>
      <c r="B2885" t="s">
        <v>40</v>
      </c>
      <c r="C2885" s="3">
        <v>98</v>
      </c>
      <c r="D2885">
        <v>1</v>
      </c>
      <c r="E2885">
        <v>1</v>
      </c>
      <c r="F2885">
        <v>1</v>
      </c>
    </row>
    <row r="2886" spans="1:6">
      <c r="A2886" t="s">
        <v>245</v>
      </c>
      <c r="B2886" t="s">
        <v>41</v>
      </c>
      <c r="C2886" s="3">
        <v>98.4</v>
      </c>
      <c r="D2886">
        <v>1</v>
      </c>
      <c r="E2886">
        <v>1</v>
      </c>
      <c r="F2886">
        <v>1</v>
      </c>
    </row>
    <row r="2887" spans="1:6">
      <c r="A2887" t="s">
        <v>245</v>
      </c>
      <c r="B2887" t="s">
        <v>42</v>
      </c>
      <c r="C2887" s="3">
        <v>102.5</v>
      </c>
      <c r="D2887">
        <v>1</v>
      </c>
      <c r="E2887">
        <v>1</v>
      </c>
      <c r="F2887">
        <v>1</v>
      </c>
    </row>
    <row r="2888" spans="1:6">
      <c r="A2888" t="s">
        <v>245</v>
      </c>
      <c r="B2888" t="s">
        <v>46</v>
      </c>
      <c r="C2888" s="3">
        <v>98.3</v>
      </c>
      <c r="D2888">
        <v>1</v>
      </c>
      <c r="E2888">
        <v>1</v>
      </c>
      <c r="F2888">
        <v>1</v>
      </c>
    </row>
    <row r="2889" spans="1:6">
      <c r="A2889" t="s">
        <v>245</v>
      </c>
      <c r="B2889" t="s">
        <v>392</v>
      </c>
      <c r="C2889" s="3"/>
      <c r="D2889">
        <v>0</v>
      </c>
      <c r="E2889">
        <v>1</v>
      </c>
      <c r="F2889">
        <v>1</v>
      </c>
    </row>
    <row r="2890" spans="1:6">
      <c r="A2890" t="s">
        <v>245</v>
      </c>
      <c r="B2890" t="s">
        <v>393</v>
      </c>
      <c r="C2890" s="3"/>
      <c r="D2890">
        <v>0</v>
      </c>
      <c r="E2890">
        <v>1</v>
      </c>
      <c r="F2890">
        <v>1</v>
      </c>
    </row>
    <row r="2891" spans="1:6">
      <c r="A2891" t="s">
        <v>245</v>
      </c>
      <c r="B2891" t="s">
        <v>394</v>
      </c>
      <c r="C2891" s="3"/>
      <c r="D2891">
        <v>0</v>
      </c>
      <c r="E2891">
        <v>1</v>
      </c>
      <c r="F2891">
        <v>1</v>
      </c>
    </row>
    <row r="2892" spans="1:6">
      <c r="A2892" t="s">
        <v>245</v>
      </c>
      <c r="B2892" t="s">
        <v>39</v>
      </c>
      <c r="C2892" s="3">
        <v>-2.79013944355303</v>
      </c>
      <c r="D2892">
        <v>1</v>
      </c>
      <c r="E2892">
        <v>1</v>
      </c>
      <c r="F2892">
        <v>1</v>
      </c>
    </row>
    <row r="2893" spans="1:6">
      <c r="A2893" t="s">
        <v>245</v>
      </c>
      <c r="B2893" t="s">
        <v>43</v>
      </c>
      <c r="C2893" s="3">
        <v>0.200000000000003</v>
      </c>
      <c r="D2893">
        <v>1</v>
      </c>
      <c r="E2893">
        <v>1</v>
      </c>
      <c r="F2893">
        <v>1</v>
      </c>
    </row>
    <row r="2894" spans="1:6">
      <c r="A2894" t="s">
        <v>245</v>
      </c>
      <c r="B2894" t="s">
        <v>44</v>
      </c>
      <c r="C2894" s="3">
        <v>-0.199999999999989</v>
      </c>
      <c r="D2894">
        <v>1</v>
      </c>
      <c r="E2894">
        <v>1</v>
      </c>
      <c r="F2894">
        <v>1</v>
      </c>
    </row>
    <row r="2895" spans="1:6">
      <c r="A2895" t="s">
        <v>245</v>
      </c>
      <c r="B2895" t="s">
        <v>45</v>
      </c>
      <c r="C2895" s="3">
        <v>0</v>
      </c>
      <c r="D2895">
        <v>1</v>
      </c>
      <c r="E2895">
        <v>1</v>
      </c>
      <c r="F2895">
        <v>1</v>
      </c>
    </row>
    <row r="2896" spans="1:6">
      <c r="A2896" t="s">
        <v>245</v>
      </c>
      <c r="B2896" t="s">
        <v>396</v>
      </c>
      <c r="C2896" s="3"/>
      <c r="D2896">
        <v>0</v>
      </c>
      <c r="E2896">
        <v>1</v>
      </c>
      <c r="F2896">
        <v>1</v>
      </c>
    </row>
    <row r="2897" spans="1:6">
      <c r="A2897" t="s">
        <v>246</v>
      </c>
      <c r="B2897" t="s">
        <v>34</v>
      </c>
      <c r="C2897" s="3">
        <v>108.9</v>
      </c>
      <c r="D2897">
        <v>1</v>
      </c>
      <c r="E2897">
        <v>1</v>
      </c>
      <c r="F2897">
        <v>1</v>
      </c>
    </row>
    <row r="2898" spans="1:6">
      <c r="A2898" t="s">
        <v>246</v>
      </c>
      <c r="B2898" t="s">
        <v>35</v>
      </c>
      <c r="C2898" s="3">
        <v>6.0816</v>
      </c>
      <c r="D2898">
        <v>1</v>
      </c>
      <c r="E2898">
        <v>1</v>
      </c>
      <c r="F2898">
        <v>1</v>
      </c>
    </row>
    <row r="2899" spans="1:6">
      <c r="A2899" t="s">
        <v>246</v>
      </c>
      <c r="B2899" t="s">
        <v>36</v>
      </c>
      <c r="C2899" s="3">
        <v>662.28624</v>
      </c>
      <c r="D2899">
        <v>1</v>
      </c>
      <c r="E2899">
        <v>1</v>
      </c>
      <c r="F2899">
        <v>1</v>
      </c>
    </row>
    <row r="2900" spans="1:6">
      <c r="A2900" t="s">
        <v>246</v>
      </c>
      <c r="B2900" t="s">
        <v>40</v>
      </c>
      <c r="C2900" s="3">
        <v>97.6</v>
      </c>
      <c r="D2900">
        <v>1</v>
      </c>
      <c r="E2900">
        <v>1</v>
      </c>
      <c r="F2900">
        <v>1</v>
      </c>
    </row>
    <row r="2901" spans="1:6">
      <c r="A2901" t="s">
        <v>246</v>
      </c>
      <c r="B2901" t="s">
        <v>41</v>
      </c>
      <c r="C2901" s="3">
        <v>98</v>
      </c>
      <c r="D2901">
        <v>1</v>
      </c>
      <c r="E2901">
        <v>1</v>
      </c>
      <c r="F2901">
        <v>1</v>
      </c>
    </row>
    <row r="2902" spans="1:6">
      <c r="A2902" t="s">
        <v>246</v>
      </c>
      <c r="B2902" t="s">
        <v>42</v>
      </c>
      <c r="C2902" s="3">
        <v>102</v>
      </c>
      <c r="D2902">
        <v>1</v>
      </c>
      <c r="E2902">
        <v>1</v>
      </c>
      <c r="F2902">
        <v>1</v>
      </c>
    </row>
    <row r="2903" spans="1:6">
      <c r="A2903" t="s">
        <v>246</v>
      </c>
      <c r="B2903" t="s">
        <v>46</v>
      </c>
      <c r="C2903" s="3">
        <v>97.9</v>
      </c>
      <c r="D2903">
        <v>1</v>
      </c>
      <c r="E2903">
        <v>1</v>
      </c>
      <c r="F2903">
        <v>1</v>
      </c>
    </row>
    <row r="2904" spans="1:6">
      <c r="A2904" t="s">
        <v>246</v>
      </c>
      <c r="B2904" t="s">
        <v>392</v>
      </c>
      <c r="C2904" s="3"/>
      <c r="D2904">
        <v>0</v>
      </c>
      <c r="E2904">
        <v>1</v>
      </c>
      <c r="F2904">
        <v>1</v>
      </c>
    </row>
    <row r="2905" spans="1:6">
      <c r="A2905" t="s">
        <v>246</v>
      </c>
      <c r="B2905" t="s">
        <v>393</v>
      </c>
      <c r="C2905" s="3"/>
      <c r="D2905">
        <v>0</v>
      </c>
      <c r="E2905">
        <v>1</v>
      </c>
      <c r="F2905">
        <v>1</v>
      </c>
    </row>
    <row r="2906" spans="1:6">
      <c r="A2906" t="s">
        <v>246</v>
      </c>
      <c r="B2906" t="s">
        <v>394</v>
      </c>
      <c r="C2906" s="3"/>
      <c r="D2906">
        <v>0</v>
      </c>
      <c r="E2906">
        <v>1</v>
      </c>
      <c r="F2906">
        <v>1</v>
      </c>
    </row>
    <row r="2907" spans="1:6">
      <c r="A2907" t="s">
        <v>246</v>
      </c>
      <c r="B2907" t="s">
        <v>39</v>
      </c>
      <c r="C2907" s="3">
        <v>1.22491064739072</v>
      </c>
      <c r="D2907">
        <v>1</v>
      </c>
      <c r="E2907">
        <v>1</v>
      </c>
      <c r="F2907">
        <v>1</v>
      </c>
    </row>
    <row r="2908" spans="1:6">
      <c r="A2908" t="s">
        <v>246</v>
      </c>
      <c r="B2908" t="s">
        <v>43</v>
      </c>
      <c r="C2908" s="3">
        <v>-0.400000000000006</v>
      </c>
      <c r="D2908">
        <v>1</v>
      </c>
      <c r="E2908">
        <v>1</v>
      </c>
      <c r="F2908">
        <v>1</v>
      </c>
    </row>
    <row r="2909" spans="1:6">
      <c r="A2909" t="s">
        <v>246</v>
      </c>
      <c r="B2909" t="s">
        <v>44</v>
      </c>
      <c r="C2909" s="3">
        <v>-0.400000000000006</v>
      </c>
      <c r="D2909">
        <v>1</v>
      </c>
      <c r="E2909">
        <v>1</v>
      </c>
      <c r="F2909">
        <v>1</v>
      </c>
    </row>
    <row r="2910" spans="1:6">
      <c r="A2910" t="s">
        <v>246</v>
      </c>
      <c r="B2910" t="s">
        <v>45</v>
      </c>
      <c r="C2910" s="3">
        <v>-0.5</v>
      </c>
      <c r="D2910">
        <v>1</v>
      </c>
      <c r="E2910">
        <v>1</v>
      </c>
      <c r="F2910">
        <v>1</v>
      </c>
    </row>
    <row r="2911" spans="1:6">
      <c r="A2911" t="s">
        <v>246</v>
      </c>
      <c r="B2911" t="s">
        <v>396</v>
      </c>
      <c r="C2911" s="3"/>
      <c r="D2911">
        <v>0</v>
      </c>
      <c r="E2911">
        <v>1</v>
      </c>
      <c r="F2911">
        <v>1</v>
      </c>
    </row>
    <row r="2912" spans="1:6">
      <c r="A2912" t="s">
        <v>247</v>
      </c>
      <c r="B2912" t="s">
        <v>34</v>
      </c>
      <c r="C2912" s="3">
        <v>107.48</v>
      </c>
      <c r="D2912">
        <v>1</v>
      </c>
      <c r="E2912">
        <v>1</v>
      </c>
      <c r="F2912">
        <v>1</v>
      </c>
    </row>
    <row r="2913" spans="1:6">
      <c r="A2913" t="s">
        <v>247</v>
      </c>
      <c r="B2913" t="s">
        <v>35</v>
      </c>
      <c r="C2913" s="3">
        <v>6.1729</v>
      </c>
      <c r="D2913">
        <v>1</v>
      </c>
      <c r="E2913">
        <v>1</v>
      </c>
      <c r="F2913">
        <v>1</v>
      </c>
    </row>
    <row r="2914" spans="1:6">
      <c r="A2914" t="s">
        <v>247</v>
      </c>
      <c r="B2914" t="s">
        <v>36</v>
      </c>
      <c r="C2914" s="3">
        <v>663.463292</v>
      </c>
      <c r="D2914">
        <v>1</v>
      </c>
      <c r="E2914">
        <v>1</v>
      </c>
      <c r="F2914">
        <v>1</v>
      </c>
    </row>
    <row r="2915" spans="1:6">
      <c r="A2915" t="s">
        <v>247</v>
      </c>
      <c r="B2915" t="s">
        <v>40</v>
      </c>
      <c r="C2915" s="3">
        <v>96.9</v>
      </c>
      <c r="D2915">
        <v>1</v>
      </c>
      <c r="E2915">
        <v>1</v>
      </c>
      <c r="F2915">
        <v>1</v>
      </c>
    </row>
    <row r="2916" spans="1:6">
      <c r="A2916" t="s">
        <v>247</v>
      </c>
      <c r="B2916" t="s">
        <v>41</v>
      </c>
      <c r="C2916" s="3">
        <v>97.7</v>
      </c>
      <c r="D2916">
        <v>1</v>
      </c>
      <c r="E2916">
        <v>1</v>
      </c>
      <c r="F2916">
        <v>1</v>
      </c>
    </row>
    <row r="2917" spans="1:6">
      <c r="A2917" t="s">
        <v>247</v>
      </c>
      <c r="B2917" t="s">
        <v>42</v>
      </c>
      <c r="C2917" s="3">
        <v>102.4</v>
      </c>
      <c r="D2917">
        <v>1</v>
      </c>
      <c r="E2917">
        <v>1</v>
      </c>
      <c r="F2917">
        <v>1</v>
      </c>
    </row>
    <row r="2918" spans="1:6">
      <c r="A2918" t="s">
        <v>247</v>
      </c>
      <c r="B2918" t="s">
        <v>46</v>
      </c>
      <c r="C2918" s="3">
        <v>97.5</v>
      </c>
      <c r="D2918">
        <v>1</v>
      </c>
      <c r="E2918">
        <v>1</v>
      </c>
      <c r="F2918">
        <v>1</v>
      </c>
    </row>
    <row r="2919" spans="1:6">
      <c r="A2919" t="s">
        <v>247</v>
      </c>
      <c r="B2919" t="s">
        <v>392</v>
      </c>
      <c r="C2919" s="3"/>
      <c r="D2919">
        <v>0</v>
      </c>
      <c r="E2919">
        <v>1</v>
      </c>
      <c r="F2919">
        <v>1</v>
      </c>
    </row>
    <row r="2920" spans="1:6">
      <c r="A2920" t="s">
        <v>247</v>
      </c>
      <c r="B2920" t="s">
        <v>393</v>
      </c>
      <c r="C2920" s="3"/>
      <c r="D2920">
        <v>0</v>
      </c>
      <c r="E2920">
        <v>1</v>
      </c>
      <c r="F2920">
        <v>1</v>
      </c>
    </row>
    <row r="2921" spans="1:6">
      <c r="A2921" t="s">
        <v>247</v>
      </c>
      <c r="B2921" t="s">
        <v>394</v>
      </c>
      <c r="C2921" s="3"/>
      <c r="D2921">
        <v>0</v>
      </c>
      <c r="E2921">
        <v>1</v>
      </c>
      <c r="F2921">
        <v>1</v>
      </c>
    </row>
    <row r="2922" spans="1:6">
      <c r="A2922" t="s">
        <v>247</v>
      </c>
      <c r="B2922" t="s">
        <v>39</v>
      </c>
      <c r="C2922" s="3">
        <v>0.177567825726177</v>
      </c>
      <c r="D2922">
        <v>1</v>
      </c>
      <c r="E2922">
        <v>1</v>
      </c>
      <c r="F2922">
        <v>1</v>
      </c>
    </row>
    <row r="2923" spans="1:6">
      <c r="A2923" t="s">
        <v>247</v>
      </c>
      <c r="B2923" t="s">
        <v>43</v>
      </c>
      <c r="C2923" s="3">
        <v>-0.699999999999989</v>
      </c>
      <c r="D2923">
        <v>1</v>
      </c>
      <c r="E2923">
        <v>1</v>
      </c>
      <c r="F2923">
        <v>1</v>
      </c>
    </row>
    <row r="2924" spans="1:6">
      <c r="A2924" t="s">
        <v>247</v>
      </c>
      <c r="B2924" t="s">
        <v>44</v>
      </c>
      <c r="C2924" s="3">
        <v>-0.299999999999997</v>
      </c>
      <c r="D2924">
        <v>1</v>
      </c>
      <c r="E2924">
        <v>1</v>
      </c>
      <c r="F2924">
        <v>1</v>
      </c>
    </row>
    <row r="2925" spans="1:6">
      <c r="A2925" t="s">
        <v>247</v>
      </c>
      <c r="B2925" t="s">
        <v>45</v>
      </c>
      <c r="C2925" s="3">
        <v>0.400000000000006</v>
      </c>
      <c r="D2925">
        <v>1</v>
      </c>
      <c r="E2925">
        <v>1</v>
      </c>
      <c r="F2925">
        <v>1</v>
      </c>
    </row>
    <row r="2926" spans="1:6">
      <c r="A2926" t="s">
        <v>247</v>
      </c>
      <c r="B2926" t="s">
        <v>396</v>
      </c>
      <c r="C2926" s="3"/>
      <c r="D2926">
        <v>0</v>
      </c>
      <c r="E2926">
        <v>1</v>
      </c>
      <c r="F2926">
        <v>1</v>
      </c>
    </row>
    <row r="2927" spans="1:6">
      <c r="A2927" t="s">
        <v>248</v>
      </c>
      <c r="B2927" t="s">
        <v>34</v>
      </c>
      <c r="C2927" s="3">
        <v>107.76</v>
      </c>
      <c r="D2927">
        <v>1</v>
      </c>
      <c r="E2927">
        <v>1</v>
      </c>
      <c r="F2927">
        <v>1</v>
      </c>
    </row>
    <row r="2928" spans="1:6">
      <c r="A2928" t="s">
        <v>248</v>
      </c>
      <c r="B2928" t="s">
        <v>35</v>
      </c>
      <c r="C2928" s="3">
        <v>6.2246</v>
      </c>
      <c r="D2928">
        <v>1</v>
      </c>
      <c r="E2928">
        <v>1</v>
      </c>
      <c r="F2928">
        <v>1</v>
      </c>
    </row>
    <row r="2929" spans="1:6">
      <c r="A2929" t="s">
        <v>248</v>
      </c>
      <c r="B2929" t="s">
        <v>36</v>
      </c>
      <c r="C2929" s="3">
        <v>670.762896</v>
      </c>
      <c r="D2929">
        <v>1</v>
      </c>
      <c r="E2929">
        <v>1</v>
      </c>
      <c r="F2929">
        <v>1</v>
      </c>
    </row>
    <row r="2930" spans="1:6">
      <c r="A2930" t="s">
        <v>248</v>
      </c>
      <c r="B2930" t="s">
        <v>40</v>
      </c>
      <c r="C2930" s="3">
        <v>97.3</v>
      </c>
      <c r="D2930">
        <v>1</v>
      </c>
      <c r="E2930">
        <v>1</v>
      </c>
      <c r="F2930">
        <v>1</v>
      </c>
    </row>
    <row r="2931" spans="1:6">
      <c r="A2931" t="s">
        <v>248</v>
      </c>
      <c r="B2931" t="s">
        <v>41</v>
      </c>
      <c r="C2931" s="3">
        <v>98</v>
      </c>
      <c r="D2931">
        <v>1</v>
      </c>
      <c r="E2931">
        <v>1</v>
      </c>
      <c r="F2931">
        <v>1</v>
      </c>
    </row>
    <row r="2932" spans="1:6">
      <c r="A2932" t="s">
        <v>248</v>
      </c>
      <c r="B2932" t="s">
        <v>42</v>
      </c>
      <c r="C2932" s="3">
        <v>101.8</v>
      </c>
      <c r="D2932">
        <v>1</v>
      </c>
      <c r="E2932">
        <v>1</v>
      </c>
      <c r="F2932">
        <v>1</v>
      </c>
    </row>
    <row r="2933" spans="1:6">
      <c r="A2933" t="s">
        <v>248</v>
      </c>
      <c r="B2933" t="s">
        <v>46</v>
      </c>
      <c r="C2933" s="3">
        <v>97.7</v>
      </c>
      <c r="D2933">
        <v>1</v>
      </c>
      <c r="E2933">
        <v>1</v>
      </c>
      <c r="F2933">
        <v>1</v>
      </c>
    </row>
    <row r="2934" spans="1:6">
      <c r="A2934" t="s">
        <v>248</v>
      </c>
      <c r="B2934" t="s">
        <v>392</v>
      </c>
      <c r="C2934" s="3"/>
      <c r="D2934">
        <v>0</v>
      </c>
      <c r="E2934">
        <v>1</v>
      </c>
      <c r="F2934">
        <v>1</v>
      </c>
    </row>
    <row r="2935" spans="1:6">
      <c r="A2935" t="s">
        <v>248</v>
      </c>
      <c r="B2935" t="s">
        <v>393</v>
      </c>
      <c r="C2935" s="3"/>
      <c r="D2935">
        <v>0</v>
      </c>
      <c r="E2935">
        <v>1</v>
      </c>
      <c r="F2935">
        <v>1</v>
      </c>
    </row>
    <row r="2936" spans="1:6">
      <c r="A2936" t="s">
        <v>248</v>
      </c>
      <c r="B2936" t="s">
        <v>394</v>
      </c>
      <c r="C2936" s="3"/>
      <c r="D2936">
        <v>0</v>
      </c>
      <c r="E2936">
        <v>1</v>
      </c>
      <c r="F2936">
        <v>1</v>
      </c>
    </row>
    <row r="2937" spans="1:6">
      <c r="A2937" t="s">
        <v>248</v>
      </c>
      <c r="B2937" t="s">
        <v>39</v>
      </c>
      <c r="C2937" s="3">
        <v>1.09421879111723</v>
      </c>
      <c r="D2937">
        <v>1</v>
      </c>
      <c r="E2937">
        <v>1</v>
      </c>
      <c r="F2937">
        <v>1</v>
      </c>
    </row>
    <row r="2938" spans="1:6">
      <c r="A2938" t="s">
        <v>248</v>
      </c>
      <c r="B2938" t="s">
        <v>43</v>
      </c>
      <c r="C2938" s="3">
        <v>0.399999999999991</v>
      </c>
      <c r="D2938">
        <v>1</v>
      </c>
      <c r="E2938">
        <v>1</v>
      </c>
      <c r="F2938">
        <v>1</v>
      </c>
    </row>
    <row r="2939" spans="1:6">
      <c r="A2939" t="s">
        <v>248</v>
      </c>
      <c r="B2939" t="s">
        <v>44</v>
      </c>
      <c r="C2939" s="3">
        <v>0.299999999999997</v>
      </c>
      <c r="D2939">
        <v>1</v>
      </c>
      <c r="E2939">
        <v>1</v>
      </c>
      <c r="F2939">
        <v>1</v>
      </c>
    </row>
    <row r="2940" spans="1:6">
      <c r="A2940" t="s">
        <v>248</v>
      </c>
      <c r="B2940" t="s">
        <v>45</v>
      </c>
      <c r="C2940" s="3">
        <v>-0.600000000000009</v>
      </c>
      <c r="D2940">
        <v>1</v>
      </c>
      <c r="E2940">
        <v>1</v>
      </c>
      <c r="F2940">
        <v>1</v>
      </c>
    </row>
    <row r="2941" spans="1:6">
      <c r="A2941" t="s">
        <v>248</v>
      </c>
      <c r="B2941" t="s">
        <v>396</v>
      </c>
      <c r="C2941" s="3"/>
      <c r="D2941">
        <v>0</v>
      </c>
      <c r="E2941">
        <v>1</v>
      </c>
      <c r="F2941">
        <v>1</v>
      </c>
    </row>
    <row r="2942" spans="1:6">
      <c r="A2942" t="s">
        <v>249</v>
      </c>
      <c r="B2942" t="s">
        <v>34</v>
      </c>
      <c r="C2942" s="3">
        <v>109.54</v>
      </c>
      <c r="D2942">
        <v>1</v>
      </c>
      <c r="E2942">
        <v>1</v>
      </c>
      <c r="F2942">
        <v>1</v>
      </c>
    </row>
    <row r="2943" spans="1:6">
      <c r="A2943" t="s">
        <v>249</v>
      </c>
      <c r="B2943" t="s">
        <v>35</v>
      </c>
      <c r="C2943" s="3">
        <v>6.238</v>
      </c>
      <c r="D2943">
        <v>1</v>
      </c>
      <c r="E2943">
        <v>1</v>
      </c>
      <c r="F2943">
        <v>1</v>
      </c>
    </row>
    <row r="2944" spans="1:6">
      <c r="A2944" t="s">
        <v>249</v>
      </c>
      <c r="B2944" t="s">
        <v>36</v>
      </c>
      <c r="C2944" s="3">
        <v>683.31052</v>
      </c>
      <c r="D2944">
        <v>1</v>
      </c>
      <c r="E2944">
        <v>1</v>
      </c>
      <c r="F2944">
        <v>1</v>
      </c>
    </row>
    <row r="2945" spans="1:6">
      <c r="A2945" t="s">
        <v>249</v>
      </c>
      <c r="B2945" t="s">
        <v>40</v>
      </c>
      <c r="C2945" s="3">
        <v>98</v>
      </c>
      <c r="D2945">
        <v>1</v>
      </c>
      <c r="E2945">
        <v>1</v>
      </c>
      <c r="F2945">
        <v>1</v>
      </c>
    </row>
    <row r="2946" spans="1:6">
      <c r="A2946" t="s">
        <v>249</v>
      </c>
      <c r="B2946" t="s">
        <v>41</v>
      </c>
      <c r="C2946" s="3">
        <v>98.6</v>
      </c>
      <c r="D2946">
        <v>1</v>
      </c>
      <c r="E2946">
        <v>1</v>
      </c>
      <c r="F2946">
        <v>1</v>
      </c>
    </row>
    <row r="2947" spans="1:6">
      <c r="A2947" t="s">
        <v>249</v>
      </c>
      <c r="B2947" t="s">
        <v>42</v>
      </c>
      <c r="C2947" s="3">
        <v>102.5</v>
      </c>
      <c r="D2947">
        <v>1</v>
      </c>
      <c r="E2947">
        <v>1</v>
      </c>
      <c r="F2947">
        <v>1</v>
      </c>
    </row>
    <row r="2948" spans="1:6">
      <c r="A2948" t="s">
        <v>249</v>
      </c>
      <c r="B2948" t="s">
        <v>46</v>
      </c>
      <c r="C2948" s="3">
        <v>98.2</v>
      </c>
      <c r="D2948">
        <v>1</v>
      </c>
      <c r="E2948">
        <v>1</v>
      </c>
      <c r="F2948">
        <v>1</v>
      </c>
    </row>
    <row r="2949" spans="1:6">
      <c r="A2949" t="s">
        <v>249</v>
      </c>
      <c r="B2949" t="s">
        <v>392</v>
      </c>
      <c r="C2949" s="3"/>
      <c r="D2949">
        <v>0</v>
      </c>
      <c r="E2949">
        <v>1</v>
      </c>
      <c r="F2949">
        <v>1</v>
      </c>
    </row>
    <row r="2950" spans="1:6">
      <c r="A2950" t="s">
        <v>249</v>
      </c>
      <c r="B2950" t="s">
        <v>393</v>
      </c>
      <c r="C2950" s="3"/>
      <c r="D2950">
        <v>0</v>
      </c>
      <c r="E2950">
        <v>1</v>
      </c>
      <c r="F2950">
        <v>1</v>
      </c>
    </row>
    <row r="2951" spans="1:6">
      <c r="A2951" t="s">
        <v>249</v>
      </c>
      <c r="B2951" t="s">
        <v>394</v>
      </c>
      <c r="C2951" s="3"/>
      <c r="D2951">
        <v>0</v>
      </c>
      <c r="E2951">
        <v>1</v>
      </c>
      <c r="F2951">
        <v>1</v>
      </c>
    </row>
    <row r="2952" spans="1:6">
      <c r="A2952" t="s">
        <v>249</v>
      </c>
      <c r="B2952" t="s">
        <v>39</v>
      </c>
      <c r="C2952" s="3">
        <v>1.85336821809909</v>
      </c>
      <c r="D2952">
        <v>1</v>
      </c>
      <c r="E2952">
        <v>1</v>
      </c>
      <c r="F2952">
        <v>1</v>
      </c>
    </row>
    <row r="2953" spans="1:6">
      <c r="A2953" t="s">
        <v>249</v>
      </c>
      <c r="B2953" t="s">
        <v>43</v>
      </c>
      <c r="C2953" s="3">
        <v>0.700000000000003</v>
      </c>
      <c r="D2953">
        <v>1</v>
      </c>
      <c r="E2953">
        <v>1</v>
      </c>
      <c r="F2953">
        <v>1</v>
      </c>
    </row>
    <row r="2954" spans="1:6">
      <c r="A2954" t="s">
        <v>249</v>
      </c>
      <c r="B2954" t="s">
        <v>44</v>
      </c>
      <c r="C2954" s="3">
        <v>0.599999999999994</v>
      </c>
      <c r="D2954">
        <v>1</v>
      </c>
      <c r="E2954">
        <v>1</v>
      </c>
      <c r="F2954">
        <v>1</v>
      </c>
    </row>
    <row r="2955" spans="1:6">
      <c r="A2955" t="s">
        <v>249</v>
      </c>
      <c r="B2955" t="s">
        <v>45</v>
      </c>
      <c r="C2955" s="3">
        <v>0.700000000000003</v>
      </c>
      <c r="D2955">
        <v>1</v>
      </c>
      <c r="E2955">
        <v>1</v>
      </c>
      <c r="F2955">
        <v>1</v>
      </c>
    </row>
    <row r="2956" spans="1:6">
      <c r="A2956" t="s">
        <v>249</v>
      </c>
      <c r="B2956" t="s">
        <v>396</v>
      </c>
      <c r="C2956" s="3"/>
      <c r="D2956">
        <v>0</v>
      </c>
      <c r="E2956">
        <v>1</v>
      </c>
      <c r="F2956">
        <v>1</v>
      </c>
    </row>
    <row r="2957" spans="1:6">
      <c r="A2957" t="s">
        <v>250</v>
      </c>
      <c r="B2957" t="s">
        <v>34</v>
      </c>
      <c r="C2957" s="3">
        <v>111.8</v>
      </c>
      <c r="D2957">
        <v>1</v>
      </c>
      <c r="E2957">
        <v>1</v>
      </c>
      <c r="F2957">
        <v>1</v>
      </c>
    </row>
    <row r="2958" spans="1:6">
      <c r="A2958" t="s">
        <v>250</v>
      </c>
      <c r="B2958" t="s">
        <v>35</v>
      </c>
      <c r="C2958" s="3">
        <v>6.2306</v>
      </c>
      <c r="D2958">
        <v>1</v>
      </c>
      <c r="E2958">
        <v>1</v>
      </c>
      <c r="F2958">
        <v>1</v>
      </c>
    </row>
    <row r="2959" spans="1:6">
      <c r="A2959" t="s">
        <v>250</v>
      </c>
      <c r="B2959" t="s">
        <v>36</v>
      </c>
      <c r="C2959" s="3">
        <v>696.58108</v>
      </c>
      <c r="D2959">
        <v>1</v>
      </c>
      <c r="E2959">
        <v>1</v>
      </c>
      <c r="F2959">
        <v>1</v>
      </c>
    </row>
    <row r="2960" spans="1:6">
      <c r="A2960" t="s">
        <v>250</v>
      </c>
      <c r="B2960" t="s">
        <v>40</v>
      </c>
      <c r="C2960" s="3">
        <v>98.7</v>
      </c>
      <c r="D2960">
        <v>1</v>
      </c>
      <c r="E2960">
        <v>1</v>
      </c>
      <c r="F2960">
        <v>1</v>
      </c>
    </row>
    <row r="2961" spans="1:6">
      <c r="A2961" t="s">
        <v>250</v>
      </c>
      <c r="B2961" t="s">
        <v>41</v>
      </c>
      <c r="C2961" s="3">
        <v>98.9</v>
      </c>
      <c r="D2961">
        <v>1</v>
      </c>
      <c r="E2961">
        <v>1</v>
      </c>
      <c r="F2961">
        <v>1</v>
      </c>
    </row>
    <row r="2962" spans="1:6">
      <c r="A2962" t="s">
        <v>250</v>
      </c>
      <c r="B2962" t="s">
        <v>42</v>
      </c>
      <c r="C2962" s="3">
        <v>102.3</v>
      </c>
      <c r="D2962">
        <v>1</v>
      </c>
      <c r="E2962">
        <v>1</v>
      </c>
      <c r="F2962">
        <v>1</v>
      </c>
    </row>
    <row r="2963" spans="1:6">
      <c r="A2963" t="s">
        <v>250</v>
      </c>
      <c r="B2963" t="s">
        <v>46</v>
      </c>
      <c r="C2963" s="3">
        <v>98.5</v>
      </c>
      <c r="D2963">
        <v>1</v>
      </c>
      <c r="E2963">
        <v>1</v>
      </c>
      <c r="F2963">
        <v>1</v>
      </c>
    </row>
    <row r="2964" spans="1:6">
      <c r="A2964" t="s">
        <v>250</v>
      </c>
      <c r="B2964" t="s">
        <v>392</v>
      </c>
      <c r="C2964" s="3"/>
      <c r="D2964">
        <v>0</v>
      </c>
      <c r="E2964">
        <v>1</v>
      </c>
      <c r="F2964">
        <v>1</v>
      </c>
    </row>
    <row r="2965" spans="1:6">
      <c r="A2965" t="s">
        <v>250</v>
      </c>
      <c r="B2965" t="s">
        <v>393</v>
      </c>
      <c r="C2965" s="3"/>
      <c r="D2965">
        <v>0</v>
      </c>
      <c r="E2965">
        <v>1</v>
      </c>
      <c r="F2965">
        <v>1</v>
      </c>
    </row>
    <row r="2966" spans="1:6">
      <c r="A2966" t="s">
        <v>250</v>
      </c>
      <c r="B2966" t="s">
        <v>394</v>
      </c>
      <c r="C2966" s="3"/>
      <c r="D2966">
        <v>0</v>
      </c>
      <c r="E2966">
        <v>1</v>
      </c>
      <c r="F2966">
        <v>1</v>
      </c>
    </row>
    <row r="2967" spans="1:6">
      <c r="A2967" t="s">
        <v>250</v>
      </c>
      <c r="B2967" t="s">
        <v>39</v>
      </c>
      <c r="C2967" s="3">
        <v>1.92347995280337</v>
      </c>
      <c r="D2967">
        <v>1</v>
      </c>
      <c r="E2967">
        <v>1</v>
      </c>
      <c r="F2967">
        <v>1</v>
      </c>
    </row>
    <row r="2968" spans="1:6">
      <c r="A2968" t="s">
        <v>250</v>
      </c>
      <c r="B2968" t="s">
        <v>43</v>
      </c>
      <c r="C2968" s="3">
        <v>0.700000000000003</v>
      </c>
      <c r="D2968">
        <v>1</v>
      </c>
      <c r="E2968">
        <v>1</v>
      </c>
      <c r="F2968">
        <v>1</v>
      </c>
    </row>
    <row r="2969" spans="1:6">
      <c r="A2969" t="s">
        <v>250</v>
      </c>
      <c r="B2969" t="s">
        <v>44</v>
      </c>
      <c r="C2969" s="3">
        <v>0.300000000000011</v>
      </c>
      <c r="D2969">
        <v>1</v>
      </c>
      <c r="E2969">
        <v>1</v>
      </c>
      <c r="F2969">
        <v>1</v>
      </c>
    </row>
    <row r="2970" spans="1:6">
      <c r="A2970" t="s">
        <v>250</v>
      </c>
      <c r="B2970" t="s">
        <v>45</v>
      </c>
      <c r="C2970" s="3">
        <v>-0.200000000000003</v>
      </c>
      <c r="D2970">
        <v>1</v>
      </c>
      <c r="E2970">
        <v>1</v>
      </c>
      <c r="F2970">
        <v>1</v>
      </c>
    </row>
    <row r="2971" spans="1:6">
      <c r="A2971" t="s">
        <v>250</v>
      </c>
      <c r="B2971" t="s">
        <v>396</v>
      </c>
      <c r="C2971" s="3"/>
      <c r="D2971">
        <v>0</v>
      </c>
      <c r="E2971">
        <v>1</v>
      </c>
      <c r="F2971">
        <v>1</v>
      </c>
    </row>
    <row r="2972" spans="1:6">
      <c r="A2972" t="s">
        <v>251</v>
      </c>
      <c r="B2972" t="s">
        <v>34</v>
      </c>
      <c r="C2972" s="3">
        <v>106.77</v>
      </c>
      <c r="D2972">
        <v>1</v>
      </c>
      <c r="E2972">
        <v>1</v>
      </c>
      <c r="F2972">
        <v>1</v>
      </c>
    </row>
    <row r="2973" spans="1:6">
      <c r="A2973" t="s">
        <v>251</v>
      </c>
      <c r="B2973" t="s">
        <v>35</v>
      </c>
      <c r="C2973" s="3">
        <v>6.1984</v>
      </c>
      <c r="D2973">
        <v>1</v>
      </c>
      <c r="E2973">
        <v>1</v>
      </c>
      <c r="F2973">
        <v>1</v>
      </c>
    </row>
    <row r="2974" spans="1:6">
      <c r="A2974" t="s">
        <v>251</v>
      </c>
      <c r="B2974" t="s">
        <v>36</v>
      </c>
      <c r="C2974" s="3">
        <v>661.803168</v>
      </c>
      <c r="D2974">
        <v>1</v>
      </c>
      <c r="E2974">
        <v>1</v>
      </c>
      <c r="F2974">
        <v>1</v>
      </c>
    </row>
    <row r="2975" spans="1:6">
      <c r="A2975" t="s">
        <v>251</v>
      </c>
      <c r="B2975" t="s">
        <v>40</v>
      </c>
      <c r="C2975" s="3">
        <v>99</v>
      </c>
      <c r="D2975">
        <v>1</v>
      </c>
      <c r="E2975">
        <v>1</v>
      </c>
      <c r="F2975">
        <v>1</v>
      </c>
    </row>
    <row r="2976" spans="1:6">
      <c r="A2976" t="s">
        <v>251</v>
      </c>
      <c r="B2976" t="s">
        <v>41</v>
      </c>
      <c r="C2976" s="3">
        <v>99.1</v>
      </c>
      <c r="D2976">
        <v>1</v>
      </c>
      <c r="E2976">
        <v>1</v>
      </c>
      <c r="F2976">
        <v>1</v>
      </c>
    </row>
    <row r="2977" spans="1:6">
      <c r="A2977" t="s">
        <v>251</v>
      </c>
      <c r="B2977" t="s">
        <v>42</v>
      </c>
      <c r="C2977" s="3">
        <v>102.3</v>
      </c>
      <c r="D2977">
        <v>1</v>
      </c>
      <c r="E2977">
        <v>1</v>
      </c>
      <c r="F2977">
        <v>1</v>
      </c>
    </row>
    <row r="2978" spans="1:6">
      <c r="A2978" t="s">
        <v>251</v>
      </c>
      <c r="B2978" t="s">
        <v>46</v>
      </c>
      <c r="C2978" s="3">
        <v>98.9</v>
      </c>
      <c r="D2978">
        <v>1</v>
      </c>
      <c r="E2978">
        <v>1</v>
      </c>
      <c r="F2978">
        <v>1</v>
      </c>
    </row>
    <row r="2979" spans="1:6">
      <c r="A2979" t="s">
        <v>251</v>
      </c>
      <c r="B2979" t="s">
        <v>392</v>
      </c>
      <c r="C2979" s="3"/>
      <c r="D2979">
        <v>0</v>
      </c>
      <c r="E2979">
        <v>1</v>
      </c>
      <c r="F2979">
        <v>1</v>
      </c>
    </row>
    <row r="2980" spans="1:6">
      <c r="A2980" t="s">
        <v>251</v>
      </c>
      <c r="B2980" t="s">
        <v>393</v>
      </c>
      <c r="C2980" s="3"/>
      <c r="D2980">
        <v>0</v>
      </c>
      <c r="E2980">
        <v>1</v>
      </c>
      <c r="F2980">
        <v>1</v>
      </c>
    </row>
    <row r="2981" spans="1:6">
      <c r="A2981" t="s">
        <v>251</v>
      </c>
      <c r="B2981" t="s">
        <v>394</v>
      </c>
      <c r="C2981" s="3"/>
      <c r="D2981">
        <v>0</v>
      </c>
      <c r="E2981">
        <v>1</v>
      </c>
      <c r="F2981">
        <v>1</v>
      </c>
    </row>
    <row r="2982" spans="1:6">
      <c r="A2982" t="s">
        <v>251</v>
      </c>
      <c r="B2982" t="s">
        <v>39</v>
      </c>
      <c r="C2982" s="3">
        <v>-5.12160146484699</v>
      </c>
      <c r="D2982">
        <v>1</v>
      </c>
      <c r="E2982">
        <v>1</v>
      </c>
      <c r="F2982">
        <v>1</v>
      </c>
    </row>
    <row r="2983" spans="1:6">
      <c r="A2983" t="s">
        <v>251</v>
      </c>
      <c r="B2983" t="s">
        <v>43</v>
      </c>
      <c r="C2983" s="3">
        <v>0.299999999999997</v>
      </c>
      <c r="D2983">
        <v>1</v>
      </c>
      <c r="E2983">
        <v>1</v>
      </c>
      <c r="F2983">
        <v>1</v>
      </c>
    </row>
    <row r="2984" spans="1:6">
      <c r="A2984" t="s">
        <v>251</v>
      </c>
      <c r="B2984" t="s">
        <v>44</v>
      </c>
      <c r="C2984" s="3">
        <v>0.199999999999989</v>
      </c>
      <c r="D2984">
        <v>1</v>
      </c>
      <c r="E2984">
        <v>1</v>
      </c>
      <c r="F2984">
        <v>1</v>
      </c>
    </row>
    <row r="2985" spans="1:6">
      <c r="A2985" t="s">
        <v>251</v>
      </c>
      <c r="B2985" t="s">
        <v>45</v>
      </c>
      <c r="C2985" s="3">
        <v>0</v>
      </c>
      <c r="D2985">
        <v>1</v>
      </c>
      <c r="E2985">
        <v>1</v>
      </c>
      <c r="F2985">
        <v>1</v>
      </c>
    </row>
    <row r="2986" spans="1:6">
      <c r="A2986" t="s">
        <v>251</v>
      </c>
      <c r="B2986" t="s">
        <v>396</v>
      </c>
      <c r="C2986" s="3"/>
      <c r="D2986">
        <v>0</v>
      </c>
      <c r="E2986">
        <v>1</v>
      </c>
      <c r="F2986">
        <v>1</v>
      </c>
    </row>
    <row r="2987" spans="1:6">
      <c r="A2987" t="s">
        <v>252</v>
      </c>
      <c r="B2987" t="s">
        <v>34</v>
      </c>
      <c r="C2987" s="3">
        <v>101.61</v>
      </c>
      <c r="D2987">
        <v>1</v>
      </c>
      <c r="E2987">
        <v>1</v>
      </c>
      <c r="F2987">
        <v>1</v>
      </c>
    </row>
    <row r="2988" spans="1:6">
      <c r="A2988" t="s">
        <v>252</v>
      </c>
      <c r="B2988" t="s">
        <v>35</v>
      </c>
      <c r="C2988" s="3">
        <v>6.1541</v>
      </c>
      <c r="D2988">
        <v>1</v>
      </c>
      <c r="E2988">
        <v>1</v>
      </c>
      <c r="F2988">
        <v>1</v>
      </c>
    </row>
    <row r="2989" spans="1:6">
      <c r="A2989" t="s">
        <v>252</v>
      </c>
      <c r="B2989" t="s">
        <v>36</v>
      </c>
      <c r="C2989" s="3">
        <v>625.318101</v>
      </c>
      <c r="D2989">
        <v>1</v>
      </c>
      <c r="E2989">
        <v>1</v>
      </c>
      <c r="F2989">
        <v>1</v>
      </c>
    </row>
    <row r="2990" spans="1:6">
      <c r="A2990" t="s">
        <v>252</v>
      </c>
      <c r="B2990" t="s">
        <v>40</v>
      </c>
      <c r="C2990" s="3">
        <v>98.4</v>
      </c>
      <c r="D2990">
        <v>1</v>
      </c>
      <c r="E2990">
        <v>1</v>
      </c>
      <c r="F2990">
        <v>1</v>
      </c>
    </row>
    <row r="2991" spans="1:6">
      <c r="A2991" t="s">
        <v>252</v>
      </c>
      <c r="B2991" t="s">
        <v>41</v>
      </c>
      <c r="C2991" s="3">
        <v>98.8</v>
      </c>
      <c r="D2991">
        <v>1</v>
      </c>
      <c r="E2991">
        <v>1</v>
      </c>
      <c r="F2991">
        <v>1</v>
      </c>
    </row>
    <row r="2992" spans="1:6">
      <c r="A2992" t="s">
        <v>252</v>
      </c>
      <c r="B2992" t="s">
        <v>42</v>
      </c>
      <c r="C2992" s="3">
        <v>102</v>
      </c>
      <c r="D2992">
        <v>1</v>
      </c>
      <c r="E2992">
        <v>1</v>
      </c>
      <c r="F2992">
        <v>1</v>
      </c>
    </row>
    <row r="2993" spans="1:6">
      <c r="A2993" t="s">
        <v>252</v>
      </c>
      <c r="B2993" t="s">
        <v>46</v>
      </c>
      <c r="C2993" s="3">
        <v>98.6</v>
      </c>
      <c r="D2993">
        <v>1</v>
      </c>
      <c r="E2993">
        <v>1</v>
      </c>
      <c r="F2993">
        <v>1</v>
      </c>
    </row>
    <row r="2994" spans="1:6">
      <c r="A2994" t="s">
        <v>252</v>
      </c>
      <c r="B2994" t="s">
        <v>392</v>
      </c>
      <c r="C2994" s="3"/>
      <c r="D2994">
        <v>0</v>
      </c>
      <c r="E2994">
        <v>1</v>
      </c>
      <c r="F2994">
        <v>1</v>
      </c>
    </row>
    <row r="2995" spans="1:6">
      <c r="A2995" t="s">
        <v>252</v>
      </c>
      <c r="B2995" t="s">
        <v>393</v>
      </c>
      <c r="C2995" s="3"/>
      <c r="D2995">
        <v>0</v>
      </c>
      <c r="E2995">
        <v>1</v>
      </c>
      <c r="F2995">
        <v>1</v>
      </c>
    </row>
    <row r="2996" spans="1:6">
      <c r="A2996" t="s">
        <v>252</v>
      </c>
      <c r="B2996" t="s">
        <v>394</v>
      </c>
      <c r="C2996" s="3"/>
      <c r="D2996">
        <v>0</v>
      </c>
      <c r="E2996">
        <v>1</v>
      </c>
      <c r="F2996">
        <v>1</v>
      </c>
    </row>
    <row r="2997" spans="1:6">
      <c r="A2997" t="s">
        <v>252</v>
      </c>
      <c r="B2997" t="s">
        <v>39</v>
      </c>
      <c r="C2997" s="3">
        <v>-5.67077005613738</v>
      </c>
      <c r="D2997">
        <v>1</v>
      </c>
      <c r="E2997">
        <v>1</v>
      </c>
      <c r="F2997">
        <v>1</v>
      </c>
    </row>
    <row r="2998" spans="1:6">
      <c r="A2998" t="s">
        <v>252</v>
      </c>
      <c r="B2998" t="s">
        <v>43</v>
      </c>
      <c r="C2998" s="3">
        <v>-0.599999999999994</v>
      </c>
      <c r="D2998">
        <v>1</v>
      </c>
      <c r="E2998">
        <v>1</v>
      </c>
      <c r="F2998">
        <v>1</v>
      </c>
    </row>
    <row r="2999" spans="1:6">
      <c r="A2999" t="s">
        <v>252</v>
      </c>
      <c r="B2999" t="s">
        <v>44</v>
      </c>
      <c r="C2999" s="3">
        <v>-0.299999999999997</v>
      </c>
      <c r="D2999">
        <v>1</v>
      </c>
      <c r="E2999">
        <v>1</v>
      </c>
      <c r="F2999">
        <v>1</v>
      </c>
    </row>
    <row r="3000" spans="1:6">
      <c r="A3000" t="s">
        <v>252</v>
      </c>
      <c r="B3000" t="s">
        <v>45</v>
      </c>
      <c r="C3000" s="3">
        <v>-0.299999999999997</v>
      </c>
      <c r="D3000">
        <v>1</v>
      </c>
      <c r="E3000">
        <v>1</v>
      </c>
      <c r="F3000">
        <v>1</v>
      </c>
    </row>
    <row r="3001" spans="1:6">
      <c r="A3001" t="s">
        <v>252</v>
      </c>
      <c r="B3001" t="s">
        <v>396</v>
      </c>
      <c r="C3001" s="3"/>
      <c r="D3001">
        <v>0</v>
      </c>
      <c r="E3001">
        <v>1</v>
      </c>
      <c r="F3001">
        <v>1</v>
      </c>
    </row>
    <row r="3002" spans="1:6">
      <c r="A3002" t="s">
        <v>253</v>
      </c>
      <c r="B3002" t="s">
        <v>34</v>
      </c>
      <c r="C3002" s="3">
        <v>97.09</v>
      </c>
      <c r="D3002">
        <v>1</v>
      </c>
      <c r="E3002">
        <v>1</v>
      </c>
      <c r="F3002">
        <v>1</v>
      </c>
    </row>
    <row r="3003" spans="1:6">
      <c r="A3003" t="s">
        <v>253</v>
      </c>
      <c r="B3003" t="s">
        <v>35</v>
      </c>
      <c r="C3003" s="3">
        <v>6.1382</v>
      </c>
      <c r="D3003">
        <v>1</v>
      </c>
      <c r="E3003">
        <v>1</v>
      </c>
      <c r="F3003">
        <v>1</v>
      </c>
    </row>
    <row r="3004" spans="1:6">
      <c r="A3004" t="s">
        <v>253</v>
      </c>
      <c r="B3004" t="s">
        <v>36</v>
      </c>
      <c r="C3004" s="3">
        <v>595.957838</v>
      </c>
      <c r="D3004">
        <v>1</v>
      </c>
      <c r="E3004">
        <v>1</v>
      </c>
      <c r="F3004">
        <v>1</v>
      </c>
    </row>
    <row r="3005" spans="1:6">
      <c r="A3005" t="s">
        <v>253</v>
      </c>
      <c r="B3005" t="s">
        <v>40</v>
      </c>
      <c r="C3005" s="3">
        <v>97.2</v>
      </c>
      <c r="D3005">
        <v>1</v>
      </c>
      <c r="E3005">
        <v>1</v>
      </c>
      <c r="F3005">
        <v>1</v>
      </c>
    </row>
    <row r="3006" spans="1:6">
      <c r="A3006" t="s">
        <v>253</v>
      </c>
      <c r="B3006" t="s">
        <v>41</v>
      </c>
      <c r="C3006" s="3">
        <v>98.2</v>
      </c>
      <c r="D3006">
        <v>1</v>
      </c>
      <c r="E3006">
        <v>1</v>
      </c>
      <c r="F3006">
        <v>1</v>
      </c>
    </row>
    <row r="3007" spans="1:6">
      <c r="A3007" t="s">
        <v>253</v>
      </c>
      <c r="B3007" t="s">
        <v>42</v>
      </c>
      <c r="C3007" s="3">
        <v>101.6</v>
      </c>
      <c r="D3007">
        <v>1</v>
      </c>
      <c r="E3007">
        <v>1</v>
      </c>
      <c r="F3007">
        <v>1</v>
      </c>
    </row>
    <row r="3008" spans="1:6">
      <c r="A3008" t="s">
        <v>253</v>
      </c>
      <c r="B3008" t="s">
        <v>46</v>
      </c>
      <c r="C3008" s="3">
        <v>98.1</v>
      </c>
      <c r="D3008">
        <v>1</v>
      </c>
      <c r="E3008">
        <v>1</v>
      </c>
      <c r="F3008">
        <v>1</v>
      </c>
    </row>
    <row r="3009" spans="1:6">
      <c r="A3009" t="s">
        <v>253</v>
      </c>
      <c r="B3009" t="s">
        <v>392</v>
      </c>
      <c r="C3009" s="3"/>
      <c r="D3009">
        <v>0</v>
      </c>
      <c r="E3009">
        <v>1</v>
      </c>
      <c r="F3009">
        <v>1</v>
      </c>
    </row>
    <row r="3010" spans="1:6">
      <c r="A3010" t="s">
        <v>253</v>
      </c>
      <c r="B3010" t="s">
        <v>393</v>
      </c>
      <c r="C3010" s="3"/>
      <c r="D3010">
        <v>0</v>
      </c>
      <c r="E3010">
        <v>1</v>
      </c>
      <c r="F3010">
        <v>1</v>
      </c>
    </row>
    <row r="3011" spans="1:6">
      <c r="A3011" t="s">
        <v>253</v>
      </c>
      <c r="B3011" t="s">
        <v>394</v>
      </c>
      <c r="C3011" s="3"/>
      <c r="D3011">
        <v>0</v>
      </c>
      <c r="E3011">
        <v>1</v>
      </c>
      <c r="F3011">
        <v>1</v>
      </c>
    </row>
    <row r="3012" spans="1:6">
      <c r="A3012" t="s">
        <v>253</v>
      </c>
      <c r="B3012" t="s">
        <v>39</v>
      </c>
      <c r="C3012" s="3">
        <v>-4.80905589070712</v>
      </c>
      <c r="D3012">
        <v>1</v>
      </c>
      <c r="E3012">
        <v>1</v>
      </c>
      <c r="F3012">
        <v>1</v>
      </c>
    </row>
    <row r="3013" spans="1:6">
      <c r="A3013" t="s">
        <v>253</v>
      </c>
      <c r="B3013" t="s">
        <v>43</v>
      </c>
      <c r="C3013" s="3">
        <v>-1.2</v>
      </c>
      <c r="D3013">
        <v>1</v>
      </c>
      <c r="E3013">
        <v>1</v>
      </c>
      <c r="F3013">
        <v>1</v>
      </c>
    </row>
    <row r="3014" spans="1:6">
      <c r="A3014" t="s">
        <v>253</v>
      </c>
      <c r="B3014" t="s">
        <v>44</v>
      </c>
      <c r="C3014" s="3">
        <v>-0.599999999999994</v>
      </c>
      <c r="D3014">
        <v>1</v>
      </c>
      <c r="E3014">
        <v>1</v>
      </c>
      <c r="F3014">
        <v>1</v>
      </c>
    </row>
    <row r="3015" spans="1:6">
      <c r="A3015" t="s">
        <v>253</v>
      </c>
      <c r="B3015" t="s">
        <v>45</v>
      </c>
      <c r="C3015" s="3">
        <v>-0.400000000000006</v>
      </c>
      <c r="D3015">
        <v>1</v>
      </c>
      <c r="E3015">
        <v>1</v>
      </c>
      <c r="F3015">
        <v>1</v>
      </c>
    </row>
    <row r="3016" spans="1:6">
      <c r="A3016" t="s">
        <v>253</v>
      </c>
      <c r="B3016" t="s">
        <v>396</v>
      </c>
      <c r="C3016" s="3"/>
      <c r="D3016">
        <v>0</v>
      </c>
      <c r="E3016">
        <v>1</v>
      </c>
      <c r="F3016">
        <v>1</v>
      </c>
    </row>
    <row r="3017" spans="1:6">
      <c r="A3017" t="s">
        <v>254</v>
      </c>
      <c r="B3017" t="s">
        <v>34</v>
      </c>
      <c r="C3017" s="3">
        <v>87.43</v>
      </c>
      <c r="D3017">
        <v>1</v>
      </c>
      <c r="E3017">
        <v>1</v>
      </c>
      <c r="F3017">
        <v>1</v>
      </c>
    </row>
    <row r="3018" spans="1:6">
      <c r="A3018" t="s">
        <v>254</v>
      </c>
      <c r="B3018" t="s">
        <v>35</v>
      </c>
      <c r="C3018" s="3">
        <v>6.1251</v>
      </c>
      <c r="D3018">
        <v>1</v>
      </c>
      <c r="E3018">
        <v>1</v>
      </c>
      <c r="F3018">
        <v>1</v>
      </c>
    </row>
    <row r="3019" spans="1:6">
      <c r="A3019" t="s">
        <v>254</v>
      </c>
      <c r="B3019" t="s">
        <v>36</v>
      </c>
      <c r="C3019" s="3">
        <v>535.517493</v>
      </c>
      <c r="D3019">
        <v>1</v>
      </c>
      <c r="E3019">
        <v>1</v>
      </c>
      <c r="F3019">
        <v>1</v>
      </c>
    </row>
    <row r="3020" spans="1:6">
      <c r="A3020" t="s">
        <v>254</v>
      </c>
      <c r="B3020" t="s">
        <v>40</v>
      </c>
      <c r="C3020" s="3">
        <v>96.2</v>
      </c>
      <c r="D3020">
        <v>1</v>
      </c>
      <c r="E3020">
        <v>1</v>
      </c>
      <c r="F3020">
        <v>1</v>
      </c>
    </row>
    <row r="3021" spans="1:6">
      <c r="A3021" t="s">
        <v>254</v>
      </c>
      <c r="B3021" t="s">
        <v>41</v>
      </c>
      <c r="C3021" s="3">
        <v>97.8</v>
      </c>
      <c r="D3021">
        <v>1</v>
      </c>
      <c r="E3021">
        <v>1</v>
      </c>
      <c r="F3021">
        <v>1</v>
      </c>
    </row>
    <row r="3022" spans="1:6">
      <c r="A3022" t="s">
        <v>254</v>
      </c>
      <c r="B3022" t="s">
        <v>42</v>
      </c>
      <c r="C3022" s="3">
        <v>101.6</v>
      </c>
      <c r="D3022">
        <v>1</v>
      </c>
      <c r="E3022">
        <v>1</v>
      </c>
      <c r="F3022">
        <v>1</v>
      </c>
    </row>
    <row r="3023" spans="1:6">
      <c r="A3023" t="s">
        <v>254</v>
      </c>
      <c r="B3023" t="s">
        <v>46</v>
      </c>
      <c r="C3023" s="3">
        <v>97.5</v>
      </c>
      <c r="D3023">
        <v>1</v>
      </c>
      <c r="E3023">
        <v>1</v>
      </c>
      <c r="F3023">
        <v>1</v>
      </c>
    </row>
    <row r="3024" spans="1:6">
      <c r="A3024" t="s">
        <v>254</v>
      </c>
      <c r="B3024" t="s">
        <v>392</v>
      </c>
      <c r="C3024" s="3"/>
      <c r="D3024">
        <v>0</v>
      </c>
      <c r="E3024">
        <v>1</v>
      </c>
      <c r="F3024">
        <v>1</v>
      </c>
    </row>
    <row r="3025" spans="1:6">
      <c r="A3025" t="s">
        <v>254</v>
      </c>
      <c r="B3025" t="s">
        <v>393</v>
      </c>
      <c r="C3025" s="3"/>
      <c r="D3025">
        <v>0</v>
      </c>
      <c r="E3025">
        <v>1</v>
      </c>
      <c r="F3025">
        <v>1</v>
      </c>
    </row>
    <row r="3026" spans="1:6">
      <c r="A3026" t="s">
        <v>254</v>
      </c>
      <c r="B3026" t="s">
        <v>394</v>
      </c>
      <c r="C3026" s="3"/>
      <c r="D3026">
        <v>0</v>
      </c>
      <c r="E3026">
        <v>1</v>
      </c>
      <c r="F3026">
        <v>1</v>
      </c>
    </row>
    <row r="3027" spans="1:6">
      <c r="A3027" t="s">
        <v>254</v>
      </c>
      <c r="B3027" t="s">
        <v>39</v>
      </c>
      <c r="C3027" s="3">
        <v>-10.693636693138</v>
      </c>
      <c r="D3027">
        <v>1</v>
      </c>
      <c r="E3027">
        <v>1</v>
      </c>
      <c r="F3027">
        <v>1</v>
      </c>
    </row>
    <row r="3028" spans="1:6">
      <c r="A3028" t="s">
        <v>254</v>
      </c>
      <c r="B3028" t="s">
        <v>43</v>
      </c>
      <c r="C3028" s="3">
        <v>-1</v>
      </c>
      <c r="D3028">
        <v>1</v>
      </c>
      <c r="E3028">
        <v>1</v>
      </c>
      <c r="F3028">
        <v>1</v>
      </c>
    </row>
    <row r="3029" spans="1:6">
      <c r="A3029" t="s">
        <v>254</v>
      </c>
      <c r="B3029" t="s">
        <v>44</v>
      </c>
      <c r="C3029" s="3">
        <v>-0.400000000000006</v>
      </c>
      <c r="D3029">
        <v>1</v>
      </c>
      <c r="E3029">
        <v>1</v>
      </c>
      <c r="F3029">
        <v>1</v>
      </c>
    </row>
    <row r="3030" spans="1:6">
      <c r="A3030" t="s">
        <v>254</v>
      </c>
      <c r="B3030" t="s">
        <v>45</v>
      </c>
      <c r="C3030" s="3">
        <v>0</v>
      </c>
      <c r="D3030">
        <v>1</v>
      </c>
      <c r="E3030">
        <v>1</v>
      </c>
      <c r="F3030">
        <v>1</v>
      </c>
    </row>
    <row r="3031" spans="1:6">
      <c r="A3031" t="s">
        <v>254</v>
      </c>
      <c r="B3031" t="s">
        <v>396</v>
      </c>
      <c r="C3031" s="3"/>
      <c r="D3031">
        <v>0</v>
      </c>
      <c r="E3031">
        <v>1</v>
      </c>
      <c r="F3031">
        <v>1</v>
      </c>
    </row>
    <row r="3032" spans="1:6">
      <c r="A3032" t="s">
        <v>255</v>
      </c>
      <c r="B3032" t="s">
        <v>34</v>
      </c>
      <c r="C3032" s="3">
        <v>79.44</v>
      </c>
      <c r="D3032">
        <v>1</v>
      </c>
      <c r="E3032">
        <v>1</v>
      </c>
      <c r="F3032">
        <v>1</v>
      </c>
    </row>
    <row r="3033" spans="1:6">
      <c r="A3033" t="s">
        <v>255</v>
      </c>
      <c r="B3033" t="s">
        <v>35</v>
      </c>
      <c r="C3033" s="3">
        <v>6.1249</v>
      </c>
      <c r="D3033">
        <v>1</v>
      </c>
      <c r="E3033">
        <v>1</v>
      </c>
      <c r="F3033">
        <v>1</v>
      </c>
    </row>
    <row r="3034" spans="1:6">
      <c r="A3034" t="s">
        <v>255</v>
      </c>
      <c r="B3034" t="s">
        <v>36</v>
      </c>
      <c r="C3034" s="3">
        <v>486.562056</v>
      </c>
      <c r="D3034">
        <v>1</v>
      </c>
      <c r="E3034">
        <v>1</v>
      </c>
      <c r="F3034">
        <v>1</v>
      </c>
    </row>
    <row r="3035" spans="1:6">
      <c r="A3035" t="s">
        <v>255</v>
      </c>
      <c r="B3035" t="s">
        <v>40</v>
      </c>
      <c r="C3035" s="3">
        <v>94.8</v>
      </c>
      <c r="D3035">
        <v>1</v>
      </c>
      <c r="E3035">
        <v>1</v>
      </c>
      <c r="F3035">
        <v>1</v>
      </c>
    </row>
    <row r="3036" spans="1:6">
      <c r="A3036" t="s">
        <v>255</v>
      </c>
      <c r="B3036" t="s">
        <v>41</v>
      </c>
      <c r="C3036" s="3">
        <v>97.3</v>
      </c>
      <c r="D3036">
        <v>1</v>
      </c>
      <c r="E3036">
        <v>1</v>
      </c>
      <c r="F3036">
        <v>1</v>
      </c>
    </row>
    <row r="3037" spans="1:6">
      <c r="A3037" t="s">
        <v>255</v>
      </c>
      <c r="B3037" t="s">
        <v>42</v>
      </c>
      <c r="C3037" s="3">
        <v>101.4</v>
      </c>
      <c r="D3037">
        <v>1</v>
      </c>
      <c r="E3037">
        <v>1</v>
      </c>
      <c r="F3037">
        <v>1</v>
      </c>
    </row>
    <row r="3038" spans="1:6">
      <c r="A3038" t="s">
        <v>255</v>
      </c>
      <c r="B3038" t="s">
        <v>46</v>
      </c>
      <c r="C3038" s="3">
        <v>96.8</v>
      </c>
      <c r="D3038">
        <v>1</v>
      </c>
      <c r="E3038">
        <v>1</v>
      </c>
      <c r="F3038">
        <v>1</v>
      </c>
    </row>
    <row r="3039" spans="1:6">
      <c r="A3039" t="s">
        <v>255</v>
      </c>
      <c r="B3039" t="s">
        <v>392</v>
      </c>
      <c r="C3039" s="3"/>
      <c r="D3039">
        <v>0</v>
      </c>
      <c r="E3039">
        <v>1</v>
      </c>
      <c r="F3039">
        <v>1</v>
      </c>
    </row>
    <row r="3040" spans="1:6">
      <c r="A3040" t="s">
        <v>255</v>
      </c>
      <c r="B3040" t="s">
        <v>393</v>
      </c>
      <c r="C3040" s="3"/>
      <c r="D3040">
        <v>0</v>
      </c>
      <c r="E3040">
        <v>1</v>
      </c>
      <c r="F3040">
        <v>1</v>
      </c>
    </row>
    <row r="3041" spans="1:6">
      <c r="A3041" t="s">
        <v>255</v>
      </c>
      <c r="B3041" t="s">
        <v>394</v>
      </c>
      <c r="C3041" s="3"/>
      <c r="D3041">
        <v>0</v>
      </c>
      <c r="E3041">
        <v>1</v>
      </c>
      <c r="F3041">
        <v>1</v>
      </c>
    </row>
    <row r="3042" spans="1:6">
      <c r="A3042" t="s">
        <v>255</v>
      </c>
      <c r="B3042" t="s">
        <v>39</v>
      </c>
      <c r="C3042" s="3">
        <v>-9.586910651711</v>
      </c>
      <c r="D3042">
        <v>1</v>
      </c>
      <c r="E3042">
        <v>1</v>
      </c>
      <c r="F3042">
        <v>1</v>
      </c>
    </row>
    <row r="3043" spans="1:6">
      <c r="A3043" t="s">
        <v>255</v>
      </c>
      <c r="B3043" t="s">
        <v>43</v>
      </c>
      <c r="C3043" s="3">
        <v>-1.40000000000001</v>
      </c>
      <c r="D3043">
        <v>1</v>
      </c>
      <c r="E3043">
        <v>1</v>
      </c>
      <c r="F3043">
        <v>1</v>
      </c>
    </row>
    <row r="3044" spans="1:6">
      <c r="A3044" t="s">
        <v>255</v>
      </c>
      <c r="B3044" t="s">
        <v>44</v>
      </c>
      <c r="C3044" s="3">
        <v>-0.5</v>
      </c>
      <c r="D3044">
        <v>1</v>
      </c>
      <c r="E3044">
        <v>1</v>
      </c>
      <c r="F3044">
        <v>1</v>
      </c>
    </row>
    <row r="3045" spans="1:6">
      <c r="A3045" t="s">
        <v>255</v>
      </c>
      <c r="B3045" t="s">
        <v>45</v>
      </c>
      <c r="C3045" s="3">
        <v>-0.199999999999989</v>
      </c>
      <c r="D3045">
        <v>1</v>
      </c>
      <c r="E3045">
        <v>1</v>
      </c>
      <c r="F3045">
        <v>1</v>
      </c>
    </row>
    <row r="3046" spans="1:6">
      <c r="A3046" t="s">
        <v>255</v>
      </c>
      <c r="B3046" t="s">
        <v>396</v>
      </c>
      <c r="C3046" s="3"/>
      <c r="D3046">
        <v>0</v>
      </c>
      <c r="E3046">
        <v>1</v>
      </c>
      <c r="F3046">
        <v>1</v>
      </c>
    </row>
    <row r="3047" spans="1:6">
      <c r="A3047" t="s">
        <v>256</v>
      </c>
      <c r="B3047" t="s">
        <v>34</v>
      </c>
      <c r="C3047" s="3">
        <v>62.34</v>
      </c>
      <c r="D3047">
        <v>1</v>
      </c>
      <c r="E3047">
        <v>1</v>
      </c>
      <c r="F3047">
        <v>1</v>
      </c>
    </row>
    <row r="3048" spans="1:6">
      <c r="A3048" t="s">
        <v>256</v>
      </c>
      <c r="B3048" t="s">
        <v>35</v>
      </c>
      <c r="C3048" s="3">
        <v>6.1886</v>
      </c>
      <c r="D3048">
        <v>1</v>
      </c>
      <c r="E3048">
        <v>1</v>
      </c>
      <c r="F3048">
        <v>1</v>
      </c>
    </row>
    <row r="3049" spans="1:6">
      <c r="A3049" t="s">
        <v>256</v>
      </c>
      <c r="B3049" t="s">
        <v>36</v>
      </c>
      <c r="C3049" s="3">
        <v>385.797324</v>
      </c>
      <c r="D3049">
        <v>1</v>
      </c>
      <c r="E3049">
        <v>1</v>
      </c>
      <c r="F3049">
        <v>1</v>
      </c>
    </row>
    <row r="3050" spans="1:6">
      <c r="A3050" t="s">
        <v>256</v>
      </c>
      <c r="B3050" t="s">
        <v>40</v>
      </c>
      <c r="C3050" s="3">
        <v>93</v>
      </c>
      <c r="D3050">
        <v>1</v>
      </c>
      <c r="E3050">
        <v>1</v>
      </c>
      <c r="F3050">
        <v>1</v>
      </c>
    </row>
    <row r="3051" spans="1:6">
      <c r="A3051" t="s">
        <v>256</v>
      </c>
      <c r="B3051" t="s">
        <v>41</v>
      </c>
      <c r="C3051" s="3">
        <v>96.7</v>
      </c>
      <c r="D3051">
        <v>1</v>
      </c>
      <c r="E3051">
        <v>1</v>
      </c>
      <c r="F3051">
        <v>1</v>
      </c>
    </row>
    <row r="3052" spans="1:6">
      <c r="A3052" t="s">
        <v>256</v>
      </c>
      <c r="B3052" t="s">
        <v>42</v>
      </c>
      <c r="C3052" s="3">
        <v>101.5</v>
      </c>
      <c r="D3052">
        <v>1</v>
      </c>
      <c r="E3052">
        <v>1</v>
      </c>
      <c r="F3052">
        <v>1</v>
      </c>
    </row>
    <row r="3053" spans="1:6">
      <c r="A3053" t="s">
        <v>256</v>
      </c>
      <c r="B3053" t="s">
        <v>46</v>
      </c>
      <c r="C3053" s="3">
        <v>96</v>
      </c>
      <c r="D3053">
        <v>1</v>
      </c>
      <c r="E3053">
        <v>1</v>
      </c>
      <c r="F3053">
        <v>1</v>
      </c>
    </row>
    <row r="3054" spans="1:6">
      <c r="A3054" t="s">
        <v>256</v>
      </c>
      <c r="B3054" t="s">
        <v>392</v>
      </c>
      <c r="C3054" s="3"/>
      <c r="D3054">
        <v>0</v>
      </c>
      <c r="E3054">
        <v>1</v>
      </c>
      <c r="F3054">
        <v>1</v>
      </c>
    </row>
    <row r="3055" spans="1:6">
      <c r="A3055" t="s">
        <v>256</v>
      </c>
      <c r="B3055" t="s">
        <v>393</v>
      </c>
      <c r="C3055" s="3"/>
      <c r="D3055">
        <v>0</v>
      </c>
      <c r="E3055">
        <v>1</v>
      </c>
      <c r="F3055">
        <v>1</v>
      </c>
    </row>
    <row r="3056" spans="1:6">
      <c r="A3056" t="s">
        <v>256</v>
      </c>
      <c r="B3056" t="s">
        <v>394</v>
      </c>
      <c r="C3056" s="3"/>
      <c r="D3056">
        <v>0</v>
      </c>
      <c r="E3056">
        <v>1</v>
      </c>
      <c r="F3056">
        <v>1</v>
      </c>
    </row>
    <row r="3057" spans="1:6">
      <c r="A3057" t="s">
        <v>256</v>
      </c>
      <c r="B3057" t="s">
        <v>39</v>
      </c>
      <c r="C3057" s="3">
        <v>-23.2052285292635</v>
      </c>
      <c r="D3057">
        <v>1</v>
      </c>
      <c r="E3057">
        <v>1</v>
      </c>
      <c r="F3057">
        <v>1</v>
      </c>
    </row>
    <row r="3058" spans="1:6">
      <c r="A3058" t="s">
        <v>256</v>
      </c>
      <c r="B3058" t="s">
        <v>43</v>
      </c>
      <c r="C3058" s="3">
        <v>-1.8</v>
      </c>
      <c r="D3058">
        <v>1</v>
      </c>
      <c r="E3058">
        <v>1</v>
      </c>
      <c r="F3058">
        <v>1</v>
      </c>
    </row>
    <row r="3059" spans="1:6">
      <c r="A3059" t="s">
        <v>256</v>
      </c>
      <c r="B3059" t="s">
        <v>44</v>
      </c>
      <c r="C3059" s="3">
        <v>-0.599999999999994</v>
      </c>
      <c r="D3059">
        <v>1</v>
      </c>
      <c r="E3059">
        <v>1</v>
      </c>
      <c r="F3059">
        <v>1</v>
      </c>
    </row>
    <row r="3060" spans="1:6">
      <c r="A3060" t="s">
        <v>256</v>
      </c>
      <c r="B3060" t="s">
        <v>45</v>
      </c>
      <c r="C3060" s="3">
        <v>0.0999999999999943</v>
      </c>
      <c r="D3060">
        <v>1</v>
      </c>
      <c r="E3060">
        <v>1</v>
      </c>
      <c r="F3060">
        <v>1</v>
      </c>
    </row>
    <row r="3061" spans="1:6">
      <c r="A3061" t="s">
        <v>256</v>
      </c>
      <c r="B3061" t="s">
        <v>396</v>
      </c>
      <c r="C3061" s="3"/>
      <c r="D3061">
        <v>0</v>
      </c>
      <c r="E3061">
        <v>1</v>
      </c>
      <c r="F3061">
        <v>1</v>
      </c>
    </row>
    <row r="3062" spans="1:6">
      <c r="A3062" t="s">
        <v>257</v>
      </c>
      <c r="B3062" t="s">
        <v>34</v>
      </c>
      <c r="C3062" s="3">
        <v>47.76</v>
      </c>
      <c r="D3062">
        <v>1</v>
      </c>
      <c r="E3062">
        <v>1</v>
      </c>
      <c r="F3062">
        <v>1</v>
      </c>
    </row>
    <row r="3063" spans="1:6">
      <c r="A3063" t="s">
        <v>257</v>
      </c>
      <c r="B3063" t="s">
        <v>35</v>
      </c>
      <c r="C3063" s="3">
        <v>6.2181</v>
      </c>
      <c r="D3063">
        <v>1</v>
      </c>
      <c r="E3063">
        <v>1</v>
      </c>
      <c r="F3063">
        <v>1</v>
      </c>
    </row>
    <row r="3064" spans="1:6">
      <c r="A3064" t="s">
        <v>257</v>
      </c>
      <c r="B3064" t="s">
        <v>36</v>
      </c>
      <c r="C3064" s="3">
        <v>296.976456</v>
      </c>
      <c r="D3064">
        <v>1</v>
      </c>
      <c r="E3064">
        <v>1</v>
      </c>
      <c r="F3064">
        <v>1</v>
      </c>
    </row>
    <row r="3065" spans="1:6">
      <c r="A3065" t="s">
        <v>257</v>
      </c>
      <c r="B3065" t="s">
        <v>40</v>
      </c>
      <c r="C3065" s="3">
        <v>90.1</v>
      </c>
      <c r="D3065">
        <v>1</v>
      </c>
      <c r="E3065">
        <v>1</v>
      </c>
      <c r="F3065">
        <v>1</v>
      </c>
    </row>
    <row r="3066" spans="1:6">
      <c r="A3066" t="s">
        <v>257</v>
      </c>
      <c r="B3066" t="s">
        <v>41</v>
      </c>
      <c r="C3066" s="3">
        <v>95.7</v>
      </c>
      <c r="D3066">
        <v>1</v>
      </c>
      <c r="E3066">
        <v>1</v>
      </c>
      <c r="F3066">
        <v>1</v>
      </c>
    </row>
    <row r="3067" spans="1:6">
      <c r="A3067" t="s">
        <v>257</v>
      </c>
      <c r="B3067" t="s">
        <v>42</v>
      </c>
      <c r="C3067" s="3">
        <v>100.8</v>
      </c>
      <c r="D3067">
        <v>1</v>
      </c>
      <c r="E3067">
        <v>1</v>
      </c>
      <c r="F3067">
        <v>1</v>
      </c>
    </row>
    <row r="3068" spans="1:6">
      <c r="A3068" t="s">
        <v>257</v>
      </c>
      <c r="B3068" t="s">
        <v>46</v>
      </c>
      <c r="C3068" s="3">
        <v>94.8</v>
      </c>
      <c r="D3068">
        <v>1</v>
      </c>
      <c r="E3068">
        <v>1</v>
      </c>
      <c r="F3068">
        <v>1</v>
      </c>
    </row>
    <row r="3069" spans="1:6">
      <c r="A3069" t="s">
        <v>257</v>
      </c>
      <c r="B3069" t="s">
        <v>392</v>
      </c>
      <c r="C3069" s="3">
        <v>27978648204</v>
      </c>
      <c r="D3069">
        <v>1</v>
      </c>
      <c r="E3069">
        <v>1</v>
      </c>
      <c r="F3069">
        <v>1</v>
      </c>
    </row>
    <row r="3070" spans="1:6">
      <c r="A3070" t="s">
        <v>257</v>
      </c>
      <c r="B3070" t="s">
        <v>393</v>
      </c>
      <c r="C3070" s="3">
        <v>79981726350</v>
      </c>
      <c r="D3070">
        <v>1</v>
      </c>
      <c r="E3070">
        <v>1</v>
      </c>
      <c r="F3070">
        <v>1</v>
      </c>
    </row>
    <row r="3071" spans="1:6">
      <c r="A3071" t="s">
        <v>257</v>
      </c>
      <c r="B3071" t="s">
        <v>394</v>
      </c>
      <c r="C3071" s="3">
        <v>2.85867014613541</v>
      </c>
      <c r="D3071">
        <v>1</v>
      </c>
      <c r="E3071">
        <v>1</v>
      </c>
      <c r="F3071">
        <v>1</v>
      </c>
    </row>
    <row r="3072" spans="1:6">
      <c r="A3072" t="s">
        <v>257</v>
      </c>
      <c r="B3072" t="s">
        <v>39</v>
      </c>
      <c r="C3072" s="3">
        <v>-26.1659301278003</v>
      </c>
      <c r="D3072">
        <v>1</v>
      </c>
      <c r="E3072">
        <v>1</v>
      </c>
      <c r="F3072">
        <v>1</v>
      </c>
    </row>
    <row r="3073" spans="1:6">
      <c r="A3073" t="s">
        <v>257</v>
      </c>
      <c r="B3073" t="s">
        <v>43</v>
      </c>
      <c r="C3073" s="3">
        <v>-2.90000000000001</v>
      </c>
      <c r="D3073">
        <v>1</v>
      </c>
      <c r="E3073">
        <v>1</v>
      </c>
      <c r="F3073">
        <v>1</v>
      </c>
    </row>
    <row r="3074" spans="1:6">
      <c r="A3074" t="s">
        <v>257</v>
      </c>
      <c r="B3074" t="s">
        <v>44</v>
      </c>
      <c r="C3074" s="3">
        <v>-1</v>
      </c>
      <c r="D3074">
        <v>1</v>
      </c>
      <c r="E3074">
        <v>1</v>
      </c>
      <c r="F3074">
        <v>1</v>
      </c>
    </row>
    <row r="3075" spans="1:6">
      <c r="A3075" t="s">
        <v>257</v>
      </c>
      <c r="B3075" t="s">
        <v>45</v>
      </c>
      <c r="C3075" s="3">
        <v>-0.700000000000003</v>
      </c>
      <c r="D3075">
        <v>1</v>
      </c>
      <c r="E3075">
        <v>1</v>
      </c>
      <c r="F3075">
        <v>1</v>
      </c>
    </row>
    <row r="3076" spans="1:6">
      <c r="A3076" t="s">
        <v>257</v>
      </c>
      <c r="B3076" t="s">
        <v>396</v>
      </c>
      <c r="C3076" s="3"/>
      <c r="D3076">
        <v>0</v>
      </c>
      <c r="E3076">
        <v>1</v>
      </c>
      <c r="F3076">
        <v>1</v>
      </c>
    </row>
    <row r="3077" spans="1:6">
      <c r="A3077" t="s">
        <v>258</v>
      </c>
      <c r="B3077" t="s">
        <v>34</v>
      </c>
      <c r="C3077" s="3">
        <v>58.1</v>
      </c>
      <c r="D3077">
        <v>1</v>
      </c>
      <c r="E3077">
        <v>1</v>
      </c>
      <c r="F3077">
        <v>1</v>
      </c>
    </row>
    <row r="3078" spans="1:6">
      <c r="A3078" t="s">
        <v>258</v>
      </c>
      <c r="B3078" t="s">
        <v>35</v>
      </c>
      <c r="C3078" s="3">
        <v>6.2518</v>
      </c>
      <c r="D3078">
        <v>1</v>
      </c>
      <c r="E3078">
        <v>1</v>
      </c>
      <c r="F3078">
        <v>1</v>
      </c>
    </row>
    <row r="3079" spans="1:6">
      <c r="A3079" t="s">
        <v>258</v>
      </c>
      <c r="B3079" t="s">
        <v>36</v>
      </c>
      <c r="C3079" s="3">
        <v>363.22958</v>
      </c>
      <c r="D3079">
        <v>1</v>
      </c>
      <c r="E3079">
        <v>1</v>
      </c>
      <c r="F3079">
        <v>1</v>
      </c>
    </row>
    <row r="3080" spans="1:6">
      <c r="A3080" t="s">
        <v>258</v>
      </c>
      <c r="B3080" t="s">
        <v>40</v>
      </c>
      <c r="C3080" s="3">
        <v>88</v>
      </c>
      <c r="D3080">
        <v>1</v>
      </c>
      <c r="E3080">
        <v>1</v>
      </c>
      <c r="F3080">
        <v>1</v>
      </c>
    </row>
    <row r="3081" spans="1:6">
      <c r="A3081" t="s">
        <v>258</v>
      </c>
      <c r="B3081" t="s">
        <v>41</v>
      </c>
      <c r="C3081" s="3">
        <v>95.2</v>
      </c>
      <c r="D3081">
        <v>1</v>
      </c>
      <c r="E3081">
        <v>1</v>
      </c>
      <c r="F3081">
        <v>1</v>
      </c>
    </row>
    <row r="3082" spans="1:6">
      <c r="A3082" t="s">
        <v>258</v>
      </c>
      <c r="B3082" t="s">
        <v>42</v>
      </c>
      <c r="C3082" s="3">
        <v>101.4</v>
      </c>
      <c r="D3082">
        <v>1</v>
      </c>
      <c r="E3082">
        <v>1</v>
      </c>
      <c r="F3082">
        <v>1</v>
      </c>
    </row>
    <row r="3083" spans="1:6">
      <c r="A3083" t="s">
        <v>258</v>
      </c>
      <c r="B3083" t="s">
        <v>46</v>
      </c>
      <c r="C3083" s="3">
        <v>94.1</v>
      </c>
      <c r="D3083">
        <v>1</v>
      </c>
      <c r="E3083">
        <v>1</v>
      </c>
      <c r="F3083">
        <v>1</v>
      </c>
    </row>
    <row r="3084" spans="1:6">
      <c r="A3084" t="s">
        <v>258</v>
      </c>
      <c r="B3084" t="s">
        <v>392</v>
      </c>
      <c r="C3084" s="3">
        <v>25557194316</v>
      </c>
      <c r="D3084">
        <v>1</v>
      </c>
      <c r="E3084">
        <v>1</v>
      </c>
      <c r="F3084">
        <v>1</v>
      </c>
    </row>
    <row r="3085" spans="1:6">
      <c r="A3085" t="s">
        <v>258</v>
      </c>
      <c r="B3085" t="s">
        <v>393</v>
      </c>
      <c r="C3085" s="3">
        <v>59902470834</v>
      </c>
      <c r="D3085">
        <v>1</v>
      </c>
      <c r="E3085">
        <v>1</v>
      </c>
      <c r="F3085">
        <v>1</v>
      </c>
    </row>
    <row r="3086" spans="1:6">
      <c r="A3086" t="s">
        <v>258</v>
      </c>
      <c r="B3086" t="s">
        <v>394</v>
      </c>
      <c r="C3086" s="3">
        <v>2.34385942734325</v>
      </c>
      <c r="D3086">
        <v>1</v>
      </c>
      <c r="E3086">
        <v>1</v>
      </c>
      <c r="F3086">
        <v>1</v>
      </c>
    </row>
    <row r="3087" spans="1:6">
      <c r="A3087" t="s">
        <v>258</v>
      </c>
      <c r="B3087" t="s">
        <v>39</v>
      </c>
      <c r="C3087" s="3">
        <v>20.1382223208958</v>
      </c>
      <c r="D3087">
        <v>1</v>
      </c>
      <c r="E3087">
        <v>1</v>
      </c>
      <c r="F3087">
        <v>1</v>
      </c>
    </row>
    <row r="3088" spans="1:6">
      <c r="A3088" t="s">
        <v>258</v>
      </c>
      <c r="B3088" t="s">
        <v>43</v>
      </c>
      <c r="C3088" s="3">
        <v>-2.09999999999999</v>
      </c>
      <c r="D3088">
        <v>1</v>
      </c>
      <c r="E3088">
        <v>1</v>
      </c>
      <c r="F3088">
        <v>1</v>
      </c>
    </row>
    <row r="3089" spans="1:6">
      <c r="A3089" t="s">
        <v>258</v>
      </c>
      <c r="B3089" t="s">
        <v>44</v>
      </c>
      <c r="C3089" s="3">
        <v>-0.5</v>
      </c>
      <c r="D3089">
        <v>1</v>
      </c>
      <c r="E3089">
        <v>1</v>
      </c>
      <c r="F3089">
        <v>1</v>
      </c>
    </row>
    <row r="3090" spans="1:6">
      <c r="A3090" t="s">
        <v>258</v>
      </c>
      <c r="B3090" t="s">
        <v>45</v>
      </c>
      <c r="C3090" s="3">
        <v>0.600000000000009</v>
      </c>
      <c r="D3090">
        <v>1</v>
      </c>
      <c r="E3090">
        <v>1</v>
      </c>
      <c r="F3090">
        <v>1</v>
      </c>
    </row>
    <row r="3091" spans="1:6">
      <c r="A3091" t="s">
        <v>258</v>
      </c>
      <c r="B3091" t="s">
        <v>396</v>
      </c>
      <c r="C3091" s="3">
        <v>-19.8557634178028</v>
      </c>
      <c r="D3091">
        <v>1</v>
      </c>
      <c r="E3091">
        <v>1</v>
      </c>
      <c r="F3091">
        <v>1</v>
      </c>
    </row>
    <row r="3092" spans="1:6">
      <c r="A3092" t="s">
        <v>259</v>
      </c>
      <c r="B3092" t="s">
        <v>34</v>
      </c>
      <c r="C3092" s="3">
        <v>55.89</v>
      </c>
      <c r="D3092">
        <v>1</v>
      </c>
      <c r="E3092">
        <v>1</v>
      </c>
      <c r="F3092">
        <v>1</v>
      </c>
    </row>
    <row r="3093" spans="1:6">
      <c r="A3093" t="s">
        <v>259</v>
      </c>
      <c r="B3093" t="s">
        <v>35</v>
      </c>
      <c r="C3093" s="3">
        <v>6.2386</v>
      </c>
      <c r="D3093">
        <v>1</v>
      </c>
      <c r="E3093">
        <v>1</v>
      </c>
      <c r="F3093">
        <v>1</v>
      </c>
    </row>
    <row r="3094" spans="1:6">
      <c r="A3094" t="s">
        <v>259</v>
      </c>
      <c r="B3094" t="s">
        <v>36</v>
      </c>
      <c r="C3094" s="3">
        <v>348.675354</v>
      </c>
      <c r="D3094">
        <v>1</v>
      </c>
      <c r="E3094">
        <v>1</v>
      </c>
      <c r="F3094">
        <v>1</v>
      </c>
    </row>
    <row r="3095" spans="1:6">
      <c r="A3095" t="s">
        <v>259</v>
      </c>
      <c r="B3095" t="s">
        <v>40</v>
      </c>
      <c r="C3095" s="3">
        <v>88.5</v>
      </c>
      <c r="D3095">
        <v>1</v>
      </c>
      <c r="E3095">
        <v>1</v>
      </c>
      <c r="F3095">
        <v>1</v>
      </c>
    </row>
    <row r="3096" spans="1:6">
      <c r="A3096" t="s">
        <v>259</v>
      </c>
      <c r="B3096" t="s">
        <v>41</v>
      </c>
      <c r="C3096" s="3">
        <v>95.4</v>
      </c>
      <c r="D3096">
        <v>1</v>
      </c>
      <c r="E3096">
        <v>1</v>
      </c>
      <c r="F3096">
        <v>1</v>
      </c>
    </row>
    <row r="3097" spans="1:6">
      <c r="A3097" t="s">
        <v>259</v>
      </c>
      <c r="B3097" t="s">
        <v>42</v>
      </c>
      <c r="C3097" s="3">
        <v>101.4</v>
      </c>
      <c r="D3097">
        <v>1</v>
      </c>
      <c r="E3097">
        <v>1</v>
      </c>
      <c r="F3097">
        <v>1</v>
      </c>
    </row>
    <row r="3098" spans="1:6">
      <c r="A3098" t="s">
        <v>259</v>
      </c>
      <c r="B3098" t="s">
        <v>46</v>
      </c>
      <c r="C3098" s="3">
        <v>94.3</v>
      </c>
      <c r="D3098">
        <v>1</v>
      </c>
      <c r="E3098">
        <v>1</v>
      </c>
      <c r="F3098">
        <v>1</v>
      </c>
    </row>
    <row r="3099" spans="1:6">
      <c r="A3099" t="s">
        <v>259</v>
      </c>
      <c r="B3099" t="s">
        <v>392</v>
      </c>
      <c r="C3099" s="3">
        <v>26809943375</v>
      </c>
      <c r="D3099">
        <v>1</v>
      </c>
      <c r="E3099">
        <v>1</v>
      </c>
      <c r="F3099">
        <v>1</v>
      </c>
    </row>
    <row r="3100" spans="1:6">
      <c r="A3100" t="s">
        <v>259</v>
      </c>
      <c r="B3100" t="s">
        <v>393</v>
      </c>
      <c r="C3100" s="3">
        <v>66890312271</v>
      </c>
      <c r="D3100">
        <v>1</v>
      </c>
      <c r="E3100">
        <v>1</v>
      </c>
      <c r="F3100">
        <v>1</v>
      </c>
    </row>
    <row r="3101" spans="1:6">
      <c r="A3101" t="s">
        <v>259</v>
      </c>
      <c r="B3101" t="s">
        <v>394</v>
      </c>
      <c r="C3101" s="3">
        <v>2.4949814826306</v>
      </c>
      <c r="D3101">
        <v>1</v>
      </c>
      <c r="E3101">
        <v>1</v>
      </c>
      <c r="F3101">
        <v>1</v>
      </c>
    </row>
    <row r="3102" spans="1:6">
      <c r="A3102" t="s">
        <v>259</v>
      </c>
      <c r="B3102" t="s">
        <v>39</v>
      </c>
      <c r="C3102" s="3">
        <v>-4.08938146257922</v>
      </c>
      <c r="D3102">
        <v>1</v>
      </c>
      <c r="E3102">
        <v>1</v>
      </c>
      <c r="F3102">
        <v>1</v>
      </c>
    </row>
    <row r="3103" spans="1:6">
      <c r="A3103" t="s">
        <v>259</v>
      </c>
      <c r="B3103" t="s">
        <v>43</v>
      </c>
      <c r="C3103" s="3">
        <v>0.5</v>
      </c>
      <c r="D3103">
        <v>1</v>
      </c>
      <c r="E3103">
        <v>1</v>
      </c>
      <c r="F3103">
        <v>1</v>
      </c>
    </row>
    <row r="3104" spans="1:6">
      <c r="A3104" t="s">
        <v>259</v>
      </c>
      <c r="B3104" t="s">
        <v>44</v>
      </c>
      <c r="C3104" s="3">
        <v>0.200000000000003</v>
      </c>
      <c r="D3104">
        <v>1</v>
      </c>
      <c r="E3104">
        <v>1</v>
      </c>
      <c r="F3104">
        <v>1</v>
      </c>
    </row>
    <row r="3105" spans="1:6">
      <c r="A3105" t="s">
        <v>259</v>
      </c>
      <c r="B3105" t="s">
        <v>45</v>
      </c>
      <c r="C3105" s="3">
        <v>0</v>
      </c>
      <c r="D3105">
        <v>1</v>
      </c>
      <c r="E3105">
        <v>1</v>
      </c>
      <c r="F3105">
        <v>1</v>
      </c>
    </row>
    <row r="3106" spans="1:6">
      <c r="A3106" t="s">
        <v>259</v>
      </c>
      <c r="B3106" t="s">
        <v>396</v>
      </c>
      <c r="C3106" s="3">
        <v>6.24824087381245</v>
      </c>
      <c r="D3106">
        <v>1</v>
      </c>
      <c r="E3106">
        <v>1</v>
      </c>
      <c r="F3106">
        <v>1</v>
      </c>
    </row>
    <row r="3107" spans="1:6">
      <c r="A3107" t="s">
        <v>260</v>
      </c>
      <c r="B3107" t="s">
        <v>34</v>
      </c>
      <c r="C3107" s="3">
        <v>59.52</v>
      </c>
      <c r="D3107">
        <v>1</v>
      </c>
      <c r="E3107">
        <v>1</v>
      </c>
      <c r="F3107">
        <v>1</v>
      </c>
    </row>
    <row r="3108" spans="1:6">
      <c r="A3108" t="s">
        <v>260</v>
      </c>
      <c r="B3108" t="s">
        <v>35</v>
      </c>
      <c r="C3108" s="3">
        <v>6.201</v>
      </c>
      <c r="D3108">
        <v>1</v>
      </c>
      <c r="E3108">
        <v>1</v>
      </c>
      <c r="F3108">
        <v>1</v>
      </c>
    </row>
    <row r="3109" spans="1:6">
      <c r="A3109" t="s">
        <v>260</v>
      </c>
      <c r="B3109" t="s">
        <v>36</v>
      </c>
      <c r="C3109" s="3">
        <v>369.08352</v>
      </c>
      <c r="D3109">
        <v>1</v>
      </c>
      <c r="E3109">
        <v>1</v>
      </c>
      <c r="F3109">
        <v>1</v>
      </c>
    </row>
    <row r="3110" spans="1:6">
      <c r="A3110" t="s">
        <v>260</v>
      </c>
      <c r="B3110" t="s">
        <v>40</v>
      </c>
      <c r="C3110" s="3">
        <v>88.8</v>
      </c>
      <c r="D3110">
        <v>1</v>
      </c>
      <c r="E3110">
        <v>1</v>
      </c>
      <c r="F3110">
        <v>1</v>
      </c>
    </row>
    <row r="3111" spans="1:6">
      <c r="A3111" t="s">
        <v>260</v>
      </c>
      <c r="B3111" t="s">
        <v>41</v>
      </c>
      <c r="C3111" s="3">
        <v>95.4</v>
      </c>
      <c r="D3111">
        <v>1</v>
      </c>
      <c r="E3111">
        <v>1</v>
      </c>
      <c r="F3111">
        <v>1</v>
      </c>
    </row>
    <row r="3112" spans="1:6">
      <c r="A3112" t="s">
        <v>260</v>
      </c>
      <c r="B3112" t="s">
        <v>42</v>
      </c>
      <c r="C3112" s="3">
        <v>101.5</v>
      </c>
      <c r="D3112">
        <v>1</v>
      </c>
      <c r="E3112">
        <v>1</v>
      </c>
      <c r="F3112">
        <v>1</v>
      </c>
    </row>
    <row r="3113" spans="1:6">
      <c r="A3113" t="s">
        <v>260</v>
      </c>
      <c r="B3113" t="s">
        <v>46</v>
      </c>
      <c r="C3113" s="3">
        <v>94.5</v>
      </c>
      <c r="D3113">
        <v>1</v>
      </c>
      <c r="E3113">
        <v>1</v>
      </c>
      <c r="F3113">
        <v>1</v>
      </c>
    </row>
    <row r="3114" spans="1:6">
      <c r="A3114" t="s">
        <v>260</v>
      </c>
      <c r="B3114" t="s">
        <v>392</v>
      </c>
      <c r="C3114" s="3">
        <v>30286800453</v>
      </c>
      <c r="D3114">
        <v>1</v>
      </c>
      <c r="E3114">
        <v>1</v>
      </c>
      <c r="F3114">
        <v>1</v>
      </c>
    </row>
    <row r="3115" spans="1:6">
      <c r="A3115" t="s">
        <v>260</v>
      </c>
      <c r="B3115" t="s">
        <v>393</v>
      </c>
      <c r="C3115" s="3">
        <v>75787075883</v>
      </c>
      <c r="D3115">
        <v>1</v>
      </c>
      <c r="E3115">
        <v>1</v>
      </c>
      <c r="F3115">
        <v>1</v>
      </c>
    </row>
    <row r="3116" spans="1:6">
      <c r="A3116" t="s">
        <v>260</v>
      </c>
      <c r="B3116" t="s">
        <v>394</v>
      </c>
      <c r="C3116" s="3">
        <v>2.50231370595282</v>
      </c>
      <c r="D3116">
        <v>1</v>
      </c>
      <c r="E3116">
        <v>1</v>
      </c>
      <c r="F3116">
        <v>1</v>
      </c>
    </row>
    <row r="3117" spans="1:6">
      <c r="A3117" t="s">
        <v>260</v>
      </c>
      <c r="B3117" t="s">
        <v>39</v>
      </c>
      <c r="C3117" s="3">
        <v>5.68816883762331</v>
      </c>
      <c r="D3117">
        <v>1</v>
      </c>
      <c r="E3117">
        <v>1</v>
      </c>
      <c r="F3117">
        <v>1</v>
      </c>
    </row>
    <row r="3118" spans="1:6">
      <c r="A3118" t="s">
        <v>260</v>
      </c>
      <c r="B3118" t="s">
        <v>43</v>
      </c>
      <c r="C3118" s="3">
        <v>0.299999999999997</v>
      </c>
      <c r="D3118">
        <v>1</v>
      </c>
      <c r="E3118">
        <v>1</v>
      </c>
      <c r="F3118">
        <v>1</v>
      </c>
    </row>
    <row r="3119" spans="1:6">
      <c r="A3119" t="s">
        <v>260</v>
      </c>
      <c r="B3119" t="s">
        <v>44</v>
      </c>
      <c r="C3119" s="3">
        <v>0</v>
      </c>
      <c r="D3119">
        <v>1</v>
      </c>
      <c r="E3119">
        <v>1</v>
      </c>
      <c r="F3119">
        <v>1</v>
      </c>
    </row>
    <row r="3120" spans="1:6">
      <c r="A3120" t="s">
        <v>260</v>
      </c>
      <c r="B3120" t="s">
        <v>45</v>
      </c>
      <c r="C3120" s="3">
        <v>0.0999999999999943</v>
      </c>
      <c r="D3120">
        <v>1</v>
      </c>
      <c r="E3120">
        <v>1</v>
      </c>
      <c r="F3120">
        <v>1</v>
      </c>
    </row>
    <row r="3121" spans="1:6">
      <c r="A3121" t="s">
        <v>260</v>
      </c>
      <c r="B3121" t="s">
        <v>396</v>
      </c>
      <c r="C3121" s="3">
        <v>0.293447887591302</v>
      </c>
      <c r="D3121">
        <v>1</v>
      </c>
      <c r="E3121">
        <v>1</v>
      </c>
      <c r="F3121">
        <v>1</v>
      </c>
    </row>
    <row r="3122" spans="1:6">
      <c r="A3122" t="s">
        <v>261</v>
      </c>
      <c r="B3122" t="s">
        <v>34</v>
      </c>
      <c r="C3122" s="3">
        <v>64.08</v>
      </c>
      <c r="D3122">
        <v>1</v>
      </c>
      <c r="E3122">
        <v>1</v>
      </c>
      <c r="F3122">
        <v>1</v>
      </c>
    </row>
    <row r="3123" spans="1:6">
      <c r="A3123" t="s">
        <v>261</v>
      </c>
      <c r="B3123" t="s">
        <v>35</v>
      </c>
      <c r="C3123" s="3">
        <v>6.2035</v>
      </c>
      <c r="D3123">
        <v>1</v>
      </c>
      <c r="E3123">
        <v>1</v>
      </c>
      <c r="F3123">
        <v>1</v>
      </c>
    </row>
    <row r="3124" spans="1:6">
      <c r="A3124" t="s">
        <v>261</v>
      </c>
      <c r="B3124" t="s">
        <v>36</v>
      </c>
      <c r="C3124" s="3">
        <v>397.52028</v>
      </c>
      <c r="D3124">
        <v>1</v>
      </c>
      <c r="E3124">
        <v>1</v>
      </c>
      <c r="F3124">
        <v>1</v>
      </c>
    </row>
    <row r="3125" spans="1:6">
      <c r="A3125" t="s">
        <v>261</v>
      </c>
      <c r="B3125" t="s">
        <v>40</v>
      </c>
      <c r="C3125" s="3">
        <v>89.1</v>
      </c>
      <c r="D3125">
        <v>1</v>
      </c>
      <c r="E3125">
        <v>1</v>
      </c>
      <c r="F3125">
        <v>1</v>
      </c>
    </row>
    <row r="3126" spans="1:6">
      <c r="A3126" t="s">
        <v>261</v>
      </c>
      <c r="B3126" t="s">
        <v>41</v>
      </c>
      <c r="C3126" s="3">
        <v>95.4</v>
      </c>
      <c r="D3126">
        <v>1</v>
      </c>
      <c r="E3126">
        <v>1</v>
      </c>
      <c r="F3126">
        <v>1</v>
      </c>
    </row>
    <row r="3127" spans="1:6">
      <c r="A3127" t="s">
        <v>261</v>
      </c>
      <c r="B3127" t="s">
        <v>42</v>
      </c>
      <c r="C3127" s="3">
        <v>101.2</v>
      </c>
      <c r="D3127">
        <v>1</v>
      </c>
      <c r="E3127">
        <v>1</v>
      </c>
      <c r="F3127">
        <v>1</v>
      </c>
    </row>
    <row r="3128" spans="1:6">
      <c r="A3128" t="s">
        <v>261</v>
      </c>
      <c r="B3128" t="s">
        <v>46</v>
      </c>
      <c r="C3128" s="3">
        <v>94.5</v>
      </c>
      <c r="D3128">
        <v>1</v>
      </c>
      <c r="E3128">
        <v>1</v>
      </c>
      <c r="F3128">
        <v>1</v>
      </c>
    </row>
    <row r="3129" spans="1:6">
      <c r="A3129" t="s">
        <v>261</v>
      </c>
      <c r="B3129" t="s">
        <v>392</v>
      </c>
      <c r="C3129" s="3">
        <v>23249324628</v>
      </c>
      <c r="D3129">
        <v>1</v>
      </c>
      <c r="E3129">
        <v>1</v>
      </c>
      <c r="F3129">
        <v>1</v>
      </c>
    </row>
    <row r="3130" spans="1:6">
      <c r="A3130" t="s">
        <v>261</v>
      </c>
      <c r="B3130" t="s">
        <v>393</v>
      </c>
      <c r="C3130" s="3">
        <v>61590313859</v>
      </c>
      <c r="D3130">
        <v>1</v>
      </c>
      <c r="E3130">
        <v>1</v>
      </c>
      <c r="F3130">
        <v>1</v>
      </c>
    </row>
    <row r="3131" spans="1:6">
      <c r="A3131" t="s">
        <v>261</v>
      </c>
      <c r="B3131" t="s">
        <v>394</v>
      </c>
      <c r="C3131" s="3">
        <v>2.64912270977646</v>
      </c>
      <c r="D3131">
        <v>1</v>
      </c>
      <c r="E3131">
        <v>1</v>
      </c>
      <c r="F3131">
        <v>1</v>
      </c>
    </row>
    <row r="3132" spans="1:6">
      <c r="A3132" t="s">
        <v>261</v>
      </c>
      <c r="B3132" t="s">
        <v>39</v>
      </c>
      <c r="C3132" s="3">
        <v>7.42229917683156</v>
      </c>
      <c r="D3132">
        <v>1</v>
      </c>
      <c r="E3132">
        <v>1</v>
      </c>
      <c r="F3132">
        <v>1</v>
      </c>
    </row>
    <row r="3133" spans="1:6">
      <c r="A3133" t="s">
        <v>261</v>
      </c>
      <c r="B3133" t="s">
        <v>43</v>
      </c>
      <c r="C3133" s="3">
        <v>0.299999999999997</v>
      </c>
      <c r="D3133">
        <v>1</v>
      </c>
      <c r="E3133">
        <v>1</v>
      </c>
      <c r="F3133">
        <v>1</v>
      </c>
    </row>
    <row r="3134" spans="1:6">
      <c r="A3134" t="s">
        <v>261</v>
      </c>
      <c r="B3134" t="s">
        <v>44</v>
      </c>
      <c r="C3134" s="3">
        <v>0</v>
      </c>
      <c r="D3134">
        <v>1</v>
      </c>
      <c r="E3134">
        <v>1</v>
      </c>
      <c r="F3134">
        <v>1</v>
      </c>
    </row>
    <row r="3135" spans="1:6">
      <c r="A3135" t="s">
        <v>261</v>
      </c>
      <c r="B3135" t="s">
        <v>45</v>
      </c>
      <c r="C3135" s="3">
        <v>-0.299999999999997</v>
      </c>
      <c r="D3135">
        <v>1</v>
      </c>
      <c r="E3135">
        <v>1</v>
      </c>
      <c r="F3135">
        <v>1</v>
      </c>
    </row>
    <row r="3136" spans="1:6">
      <c r="A3136" t="s">
        <v>261</v>
      </c>
      <c r="B3136" t="s">
        <v>396</v>
      </c>
      <c r="C3136" s="3">
        <v>5.70127460129632</v>
      </c>
      <c r="D3136">
        <v>1</v>
      </c>
      <c r="E3136">
        <v>1</v>
      </c>
      <c r="F3136">
        <v>1</v>
      </c>
    </row>
    <row r="3137" spans="1:6">
      <c r="A3137" t="s">
        <v>262</v>
      </c>
      <c r="B3137" t="s">
        <v>34</v>
      </c>
      <c r="C3137" s="3">
        <v>61.48</v>
      </c>
      <c r="D3137">
        <v>1</v>
      </c>
      <c r="E3137">
        <v>1</v>
      </c>
      <c r="F3137">
        <v>1</v>
      </c>
    </row>
    <row r="3138" spans="1:6">
      <c r="A3138" t="s">
        <v>262</v>
      </c>
      <c r="B3138" t="s">
        <v>35</v>
      </c>
      <c r="C3138" s="3">
        <v>6.2052</v>
      </c>
      <c r="D3138">
        <v>1</v>
      </c>
      <c r="E3138">
        <v>1</v>
      </c>
      <c r="F3138">
        <v>1</v>
      </c>
    </row>
    <row r="3139" spans="1:6">
      <c r="A3139" t="s">
        <v>262</v>
      </c>
      <c r="B3139" t="s">
        <v>36</v>
      </c>
      <c r="C3139" s="3">
        <v>381.495696</v>
      </c>
      <c r="D3139">
        <v>1</v>
      </c>
      <c r="E3139">
        <v>1</v>
      </c>
      <c r="F3139">
        <v>1</v>
      </c>
    </row>
    <row r="3140" spans="1:6">
      <c r="A3140" t="s">
        <v>262</v>
      </c>
      <c r="B3140" t="s">
        <v>40</v>
      </c>
      <c r="C3140" s="3">
        <v>89.4</v>
      </c>
      <c r="D3140">
        <v>1</v>
      </c>
      <c r="E3140">
        <v>1</v>
      </c>
      <c r="F3140">
        <v>1</v>
      </c>
    </row>
    <row r="3141" spans="1:6">
      <c r="A3141" t="s">
        <v>262</v>
      </c>
      <c r="B3141" t="s">
        <v>41</v>
      </c>
      <c r="C3141" s="3">
        <v>95.2</v>
      </c>
      <c r="D3141">
        <v>1</v>
      </c>
      <c r="E3141">
        <v>1</v>
      </c>
      <c r="F3141">
        <v>1</v>
      </c>
    </row>
    <row r="3142" spans="1:6">
      <c r="A3142" t="s">
        <v>262</v>
      </c>
      <c r="B3142" t="s">
        <v>42</v>
      </c>
      <c r="C3142" s="3">
        <v>101.4</v>
      </c>
      <c r="D3142">
        <v>1</v>
      </c>
      <c r="E3142">
        <v>1</v>
      </c>
      <c r="F3142">
        <v>1</v>
      </c>
    </row>
    <row r="3143" spans="1:6">
      <c r="A3143" t="s">
        <v>262</v>
      </c>
      <c r="B3143" t="s">
        <v>46</v>
      </c>
      <c r="C3143" s="3">
        <v>94.4</v>
      </c>
      <c r="D3143">
        <v>1</v>
      </c>
      <c r="E3143">
        <v>1</v>
      </c>
      <c r="F3143">
        <v>1</v>
      </c>
    </row>
    <row r="3144" spans="1:6">
      <c r="A3144" t="s">
        <v>262</v>
      </c>
      <c r="B3144" t="s">
        <v>392</v>
      </c>
      <c r="C3144" s="3">
        <v>29493441442</v>
      </c>
      <c r="D3144">
        <v>1</v>
      </c>
      <c r="E3144">
        <v>1</v>
      </c>
      <c r="F3144">
        <v>1</v>
      </c>
    </row>
    <row r="3145" spans="1:6">
      <c r="A3145" t="s">
        <v>262</v>
      </c>
      <c r="B3145" t="s">
        <v>393</v>
      </c>
      <c r="C3145" s="3">
        <v>81871167033</v>
      </c>
      <c r="D3145">
        <v>1</v>
      </c>
      <c r="E3145">
        <v>1</v>
      </c>
      <c r="F3145">
        <v>1</v>
      </c>
    </row>
    <row r="3146" spans="1:6">
      <c r="A3146" t="s">
        <v>262</v>
      </c>
      <c r="B3146" t="s">
        <v>394</v>
      </c>
      <c r="C3146" s="3">
        <v>2.77591094935472</v>
      </c>
      <c r="D3146">
        <v>1</v>
      </c>
      <c r="E3146">
        <v>1</v>
      </c>
      <c r="F3146">
        <v>1</v>
      </c>
    </row>
    <row r="3147" spans="1:6">
      <c r="A3147" t="s">
        <v>262</v>
      </c>
      <c r="B3147" t="s">
        <v>39</v>
      </c>
      <c r="C3147" s="3">
        <v>-4.1146382782459</v>
      </c>
      <c r="D3147">
        <v>1</v>
      </c>
      <c r="E3147">
        <v>1</v>
      </c>
      <c r="F3147">
        <v>1</v>
      </c>
    </row>
    <row r="3148" spans="1:6">
      <c r="A3148" t="s">
        <v>262</v>
      </c>
      <c r="B3148" t="s">
        <v>43</v>
      </c>
      <c r="C3148" s="3">
        <v>0.300000000000011</v>
      </c>
      <c r="D3148">
        <v>1</v>
      </c>
      <c r="E3148">
        <v>1</v>
      </c>
      <c r="F3148">
        <v>1</v>
      </c>
    </row>
    <row r="3149" spans="1:6">
      <c r="A3149" t="s">
        <v>262</v>
      </c>
      <c r="B3149" t="s">
        <v>44</v>
      </c>
      <c r="C3149" s="3">
        <v>-0.200000000000003</v>
      </c>
      <c r="D3149">
        <v>1</v>
      </c>
      <c r="E3149">
        <v>1</v>
      </c>
      <c r="F3149">
        <v>1</v>
      </c>
    </row>
    <row r="3150" spans="1:6">
      <c r="A3150" t="s">
        <v>262</v>
      </c>
      <c r="B3150" t="s">
        <v>45</v>
      </c>
      <c r="C3150" s="3">
        <v>0.200000000000003</v>
      </c>
      <c r="D3150">
        <v>1</v>
      </c>
      <c r="E3150">
        <v>1</v>
      </c>
      <c r="F3150">
        <v>1</v>
      </c>
    </row>
    <row r="3151" spans="1:6">
      <c r="A3151" t="s">
        <v>262</v>
      </c>
      <c r="B3151" t="s">
        <v>396</v>
      </c>
      <c r="C3151" s="3">
        <v>4.67504310938388</v>
      </c>
      <c r="D3151">
        <v>1</v>
      </c>
      <c r="E3151">
        <v>1</v>
      </c>
      <c r="F3151">
        <v>1</v>
      </c>
    </row>
    <row r="3152" spans="1:6">
      <c r="A3152" t="s">
        <v>263</v>
      </c>
      <c r="B3152" t="s">
        <v>34</v>
      </c>
      <c r="C3152" s="3">
        <v>56.56</v>
      </c>
      <c r="D3152">
        <v>1</v>
      </c>
      <c r="E3152">
        <v>1</v>
      </c>
      <c r="F3152">
        <v>1</v>
      </c>
    </row>
    <row r="3153" spans="1:6">
      <c r="A3153" t="s">
        <v>263</v>
      </c>
      <c r="B3153" t="s">
        <v>35</v>
      </c>
      <c r="C3153" s="3">
        <v>6.2085</v>
      </c>
      <c r="D3153">
        <v>1</v>
      </c>
      <c r="E3153">
        <v>1</v>
      </c>
      <c r="F3153">
        <v>1</v>
      </c>
    </row>
    <row r="3154" spans="1:6">
      <c r="A3154" t="s">
        <v>263</v>
      </c>
      <c r="B3154" t="s">
        <v>36</v>
      </c>
      <c r="C3154" s="3">
        <v>351.15276</v>
      </c>
      <c r="D3154">
        <v>1</v>
      </c>
      <c r="E3154">
        <v>1</v>
      </c>
      <c r="F3154">
        <v>1</v>
      </c>
    </row>
    <row r="3155" spans="1:6">
      <c r="A3155" t="s">
        <v>263</v>
      </c>
      <c r="B3155" t="s">
        <v>40</v>
      </c>
      <c r="C3155" s="3">
        <v>88.9</v>
      </c>
      <c r="D3155">
        <v>1</v>
      </c>
      <c r="E3155">
        <v>1</v>
      </c>
      <c r="F3155">
        <v>1</v>
      </c>
    </row>
    <row r="3156" spans="1:6">
      <c r="A3156" t="s">
        <v>263</v>
      </c>
      <c r="B3156" t="s">
        <v>41</v>
      </c>
      <c r="C3156" s="3">
        <v>94.6</v>
      </c>
      <c r="D3156">
        <v>1</v>
      </c>
      <c r="E3156">
        <v>1</v>
      </c>
      <c r="F3156">
        <v>1</v>
      </c>
    </row>
    <row r="3157" spans="1:6">
      <c r="A3157" t="s">
        <v>263</v>
      </c>
      <c r="B3157" t="s">
        <v>42</v>
      </c>
      <c r="C3157" s="3">
        <v>101.6</v>
      </c>
      <c r="D3157">
        <v>1</v>
      </c>
      <c r="E3157">
        <v>1</v>
      </c>
      <c r="F3157">
        <v>1</v>
      </c>
    </row>
    <row r="3158" spans="1:6">
      <c r="A3158" t="s">
        <v>263</v>
      </c>
      <c r="B3158" t="s">
        <v>46</v>
      </c>
      <c r="C3158" s="3">
        <v>93.9</v>
      </c>
      <c r="D3158">
        <v>1</v>
      </c>
      <c r="E3158">
        <v>1</v>
      </c>
      <c r="F3158">
        <v>1</v>
      </c>
    </row>
    <row r="3159" spans="1:6">
      <c r="A3159" t="s">
        <v>263</v>
      </c>
      <c r="B3159" t="s">
        <v>392</v>
      </c>
      <c r="C3159" s="3">
        <v>30706239392</v>
      </c>
      <c r="D3159">
        <v>1</v>
      </c>
      <c r="E3159">
        <v>1</v>
      </c>
      <c r="F3159">
        <v>1</v>
      </c>
    </row>
    <row r="3160" spans="1:6">
      <c r="A3160" t="s">
        <v>263</v>
      </c>
      <c r="B3160" t="s">
        <v>393</v>
      </c>
      <c r="C3160" s="3">
        <v>84697996577</v>
      </c>
      <c r="D3160">
        <v>1</v>
      </c>
      <c r="E3160">
        <v>1</v>
      </c>
      <c r="F3160">
        <v>1</v>
      </c>
    </row>
    <row r="3161" spans="1:6">
      <c r="A3161" t="s">
        <v>263</v>
      </c>
      <c r="B3161" t="s">
        <v>394</v>
      </c>
      <c r="C3161" s="3">
        <v>2.75833180011834</v>
      </c>
      <c r="D3161">
        <v>1</v>
      </c>
      <c r="E3161">
        <v>1</v>
      </c>
      <c r="F3161">
        <v>1</v>
      </c>
    </row>
    <row r="3162" spans="1:6">
      <c r="A3162" t="s">
        <v>263</v>
      </c>
      <c r="B3162" t="s">
        <v>39</v>
      </c>
      <c r="C3162" s="3">
        <v>-8.28782264153569</v>
      </c>
      <c r="D3162">
        <v>1</v>
      </c>
      <c r="E3162">
        <v>1</v>
      </c>
      <c r="F3162">
        <v>1</v>
      </c>
    </row>
    <row r="3163" spans="1:6">
      <c r="A3163" t="s">
        <v>263</v>
      </c>
      <c r="B3163" t="s">
        <v>43</v>
      </c>
      <c r="C3163" s="3">
        <v>-0.5</v>
      </c>
      <c r="D3163">
        <v>1</v>
      </c>
      <c r="E3163">
        <v>1</v>
      </c>
      <c r="F3163">
        <v>1</v>
      </c>
    </row>
    <row r="3164" spans="1:6">
      <c r="A3164" t="s">
        <v>263</v>
      </c>
      <c r="B3164" t="s">
        <v>44</v>
      </c>
      <c r="C3164" s="3">
        <v>-0.600000000000009</v>
      </c>
      <c r="D3164">
        <v>1</v>
      </c>
      <c r="E3164">
        <v>1</v>
      </c>
      <c r="F3164">
        <v>1</v>
      </c>
    </row>
    <row r="3165" spans="1:6">
      <c r="A3165" t="s">
        <v>263</v>
      </c>
      <c r="B3165" t="s">
        <v>45</v>
      </c>
      <c r="C3165" s="3">
        <v>0.199999999999989</v>
      </c>
      <c r="D3165">
        <v>1</v>
      </c>
      <c r="E3165">
        <v>1</v>
      </c>
      <c r="F3165">
        <v>1</v>
      </c>
    </row>
    <row r="3166" spans="1:6">
      <c r="A3166" t="s">
        <v>263</v>
      </c>
      <c r="B3166" t="s">
        <v>396</v>
      </c>
      <c r="C3166" s="3">
        <v>-0.635288662078788</v>
      </c>
      <c r="D3166">
        <v>1</v>
      </c>
      <c r="E3166">
        <v>1</v>
      </c>
      <c r="F3166">
        <v>1</v>
      </c>
    </row>
    <row r="3167" spans="1:6">
      <c r="A3167" t="s">
        <v>264</v>
      </c>
      <c r="B3167" t="s">
        <v>34</v>
      </c>
      <c r="C3167" s="3">
        <v>46.52</v>
      </c>
      <c r="D3167">
        <v>1</v>
      </c>
      <c r="E3167">
        <v>1</v>
      </c>
      <c r="F3167">
        <v>1</v>
      </c>
    </row>
    <row r="3168" spans="1:6">
      <c r="A3168" t="s">
        <v>264</v>
      </c>
      <c r="B3168" t="s">
        <v>35</v>
      </c>
      <c r="C3168" s="3">
        <v>6.3383</v>
      </c>
      <c r="D3168">
        <v>1</v>
      </c>
      <c r="E3168">
        <v>1</v>
      </c>
      <c r="F3168">
        <v>1</v>
      </c>
    </row>
    <row r="3169" spans="1:6">
      <c r="A3169" t="s">
        <v>264</v>
      </c>
      <c r="B3169" t="s">
        <v>36</v>
      </c>
      <c r="C3169" s="3">
        <v>294.857716</v>
      </c>
      <c r="D3169">
        <v>1</v>
      </c>
      <c r="E3169">
        <v>1</v>
      </c>
      <c r="F3169">
        <v>1</v>
      </c>
    </row>
    <row r="3170" spans="1:6">
      <c r="A3170" t="s">
        <v>264</v>
      </c>
      <c r="B3170" t="s">
        <v>40</v>
      </c>
      <c r="C3170" s="3">
        <v>88.2</v>
      </c>
      <c r="D3170">
        <v>1</v>
      </c>
      <c r="E3170">
        <v>1</v>
      </c>
      <c r="F3170">
        <v>1</v>
      </c>
    </row>
    <row r="3171" spans="1:6">
      <c r="A3171" t="s">
        <v>264</v>
      </c>
      <c r="B3171" t="s">
        <v>41</v>
      </c>
      <c r="C3171" s="3">
        <v>94.1</v>
      </c>
      <c r="D3171">
        <v>1</v>
      </c>
      <c r="E3171">
        <v>1</v>
      </c>
      <c r="F3171">
        <v>1</v>
      </c>
    </row>
    <row r="3172" spans="1:6">
      <c r="A3172" t="s">
        <v>264</v>
      </c>
      <c r="B3172" t="s">
        <v>42</v>
      </c>
      <c r="C3172" s="3">
        <v>102</v>
      </c>
      <c r="D3172">
        <v>1</v>
      </c>
      <c r="E3172">
        <v>1</v>
      </c>
      <c r="F3172">
        <v>1</v>
      </c>
    </row>
    <row r="3173" spans="1:6">
      <c r="A3173" t="s">
        <v>264</v>
      </c>
      <c r="B3173" t="s">
        <v>46</v>
      </c>
      <c r="C3173" s="3">
        <v>93.4</v>
      </c>
      <c r="D3173">
        <v>1</v>
      </c>
      <c r="E3173">
        <v>1</v>
      </c>
      <c r="F3173">
        <v>1</v>
      </c>
    </row>
    <row r="3174" spans="1:6">
      <c r="A3174" t="s">
        <v>264</v>
      </c>
      <c r="B3174" t="s">
        <v>392</v>
      </c>
      <c r="C3174" s="3">
        <v>26587571237</v>
      </c>
      <c r="D3174">
        <v>1</v>
      </c>
      <c r="E3174">
        <v>1</v>
      </c>
      <c r="F3174">
        <v>1</v>
      </c>
    </row>
    <row r="3175" spans="1:6">
      <c r="A3175" t="s">
        <v>264</v>
      </c>
      <c r="B3175" t="s">
        <v>393</v>
      </c>
      <c r="C3175" s="3">
        <v>68739421967</v>
      </c>
      <c r="D3175">
        <v>1</v>
      </c>
      <c r="E3175">
        <v>1</v>
      </c>
      <c r="F3175">
        <v>1</v>
      </c>
    </row>
    <row r="3176" spans="1:6">
      <c r="A3176" t="s">
        <v>264</v>
      </c>
      <c r="B3176" t="s">
        <v>394</v>
      </c>
      <c r="C3176" s="3">
        <v>2.5853968139572</v>
      </c>
      <c r="D3176">
        <v>1</v>
      </c>
      <c r="E3176">
        <v>1</v>
      </c>
      <c r="F3176">
        <v>1</v>
      </c>
    </row>
    <row r="3177" spans="1:6">
      <c r="A3177" t="s">
        <v>264</v>
      </c>
      <c r="B3177" t="s">
        <v>39</v>
      </c>
      <c r="C3177" s="3">
        <v>-17.4728421120376</v>
      </c>
      <c r="D3177">
        <v>1</v>
      </c>
      <c r="E3177">
        <v>1</v>
      </c>
      <c r="F3177">
        <v>1</v>
      </c>
    </row>
    <row r="3178" spans="1:6">
      <c r="A3178" t="s">
        <v>264</v>
      </c>
      <c r="B3178" t="s">
        <v>43</v>
      </c>
      <c r="C3178" s="3">
        <v>-0.700000000000003</v>
      </c>
      <c r="D3178">
        <v>1</v>
      </c>
      <c r="E3178">
        <v>1</v>
      </c>
      <c r="F3178">
        <v>1</v>
      </c>
    </row>
    <row r="3179" spans="1:6">
      <c r="A3179" t="s">
        <v>264</v>
      </c>
      <c r="B3179" t="s">
        <v>44</v>
      </c>
      <c r="C3179" s="3">
        <v>-0.5</v>
      </c>
      <c r="D3179">
        <v>1</v>
      </c>
      <c r="E3179">
        <v>1</v>
      </c>
      <c r="F3179">
        <v>1</v>
      </c>
    </row>
    <row r="3180" spans="1:6">
      <c r="A3180" t="s">
        <v>264</v>
      </c>
      <c r="B3180" t="s">
        <v>45</v>
      </c>
      <c r="C3180" s="3">
        <v>0.400000000000006</v>
      </c>
      <c r="D3180">
        <v>1</v>
      </c>
      <c r="E3180">
        <v>1</v>
      </c>
      <c r="F3180">
        <v>1</v>
      </c>
    </row>
    <row r="3181" spans="1:6">
      <c r="A3181" t="s">
        <v>264</v>
      </c>
      <c r="B3181" t="s">
        <v>396</v>
      </c>
      <c r="C3181" s="3">
        <v>-6.4747074200607</v>
      </c>
      <c r="D3181">
        <v>1</v>
      </c>
      <c r="E3181">
        <v>1</v>
      </c>
      <c r="F3181">
        <v>1</v>
      </c>
    </row>
    <row r="3182" spans="1:6">
      <c r="A3182" t="s">
        <v>265</v>
      </c>
      <c r="B3182" t="s">
        <v>34</v>
      </c>
      <c r="C3182" s="3">
        <v>47.62</v>
      </c>
      <c r="D3182">
        <v>1</v>
      </c>
      <c r="E3182">
        <v>1</v>
      </c>
      <c r="F3182">
        <v>1</v>
      </c>
    </row>
    <row r="3183" spans="1:6">
      <c r="A3183" t="s">
        <v>265</v>
      </c>
      <c r="B3183" t="s">
        <v>35</v>
      </c>
      <c r="C3183" s="3">
        <v>6.3676</v>
      </c>
      <c r="D3183">
        <v>1</v>
      </c>
      <c r="E3183">
        <v>1</v>
      </c>
      <c r="F3183">
        <v>1</v>
      </c>
    </row>
    <row r="3184" spans="1:6">
      <c r="A3184" t="s">
        <v>265</v>
      </c>
      <c r="B3184" t="s">
        <v>36</v>
      </c>
      <c r="C3184" s="3">
        <v>303.225112</v>
      </c>
      <c r="D3184">
        <v>1</v>
      </c>
      <c r="E3184">
        <v>1</v>
      </c>
      <c r="F3184">
        <v>1</v>
      </c>
    </row>
    <row r="3185" spans="1:6">
      <c r="A3185" t="s">
        <v>265</v>
      </c>
      <c r="B3185" t="s">
        <v>40</v>
      </c>
      <c r="C3185" s="3">
        <v>87.7</v>
      </c>
      <c r="D3185">
        <v>1</v>
      </c>
      <c r="E3185">
        <v>1</v>
      </c>
      <c r="F3185">
        <v>1</v>
      </c>
    </row>
    <row r="3186" spans="1:6">
      <c r="A3186" t="s">
        <v>265</v>
      </c>
      <c r="B3186" t="s">
        <v>41</v>
      </c>
      <c r="C3186" s="3">
        <v>94.1</v>
      </c>
      <c r="D3186">
        <v>1</v>
      </c>
      <c r="E3186">
        <v>1</v>
      </c>
      <c r="F3186">
        <v>1</v>
      </c>
    </row>
    <row r="3187" spans="1:6">
      <c r="A3187" t="s">
        <v>265</v>
      </c>
      <c r="B3187" t="s">
        <v>42</v>
      </c>
      <c r="C3187" s="3">
        <v>101.6</v>
      </c>
      <c r="D3187">
        <v>1</v>
      </c>
      <c r="E3187">
        <v>1</v>
      </c>
      <c r="F3187">
        <v>1</v>
      </c>
    </row>
    <row r="3188" spans="1:6">
      <c r="A3188" t="s">
        <v>265</v>
      </c>
      <c r="B3188" t="s">
        <v>46</v>
      </c>
      <c r="C3188" s="3">
        <v>93.2</v>
      </c>
      <c r="D3188">
        <v>1</v>
      </c>
      <c r="E3188">
        <v>1</v>
      </c>
      <c r="F3188">
        <v>1</v>
      </c>
    </row>
    <row r="3189" spans="1:6">
      <c r="A3189" t="s">
        <v>265</v>
      </c>
      <c r="B3189" t="s">
        <v>392</v>
      </c>
      <c r="C3189" s="3">
        <v>27949501844</v>
      </c>
      <c r="D3189">
        <v>1</v>
      </c>
      <c r="E3189">
        <v>1</v>
      </c>
      <c r="F3189">
        <v>1</v>
      </c>
    </row>
    <row r="3190" spans="1:6">
      <c r="A3190" t="s">
        <v>265</v>
      </c>
      <c r="B3190" t="s">
        <v>393</v>
      </c>
      <c r="C3190" s="3">
        <v>65648379952</v>
      </c>
      <c r="D3190">
        <v>1</v>
      </c>
      <c r="E3190">
        <v>1</v>
      </c>
      <c r="F3190">
        <v>1</v>
      </c>
    </row>
    <row r="3191" spans="1:6">
      <c r="A3191" t="s">
        <v>265</v>
      </c>
      <c r="B3191" t="s">
        <v>394</v>
      </c>
      <c r="C3191" s="3">
        <v>2.34882111024433</v>
      </c>
      <c r="D3191">
        <v>1</v>
      </c>
      <c r="E3191">
        <v>1</v>
      </c>
      <c r="F3191">
        <v>1</v>
      </c>
    </row>
    <row r="3192" spans="1:6">
      <c r="A3192" t="s">
        <v>265</v>
      </c>
      <c r="B3192" t="s">
        <v>39</v>
      </c>
      <c r="C3192" s="3">
        <v>2.798255221486</v>
      </c>
      <c r="D3192">
        <v>1</v>
      </c>
      <c r="E3192">
        <v>1</v>
      </c>
      <c r="F3192">
        <v>1</v>
      </c>
    </row>
    <row r="3193" spans="1:6">
      <c r="A3193" t="s">
        <v>265</v>
      </c>
      <c r="B3193" t="s">
        <v>43</v>
      </c>
      <c r="C3193" s="3">
        <v>-0.5</v>
      </c>
      <c r="D3193">
        <v>1</v>
      </c>
      <c r="E3193">
        <v>1</v>
      </c>
      <c r="F3193">
        <v>1</v>
      </c>
    </row>
    <row r="3194" spans="1:6">
      <c r="A3194" t="s">
        <v>265</v>
      </c>
      <c r="B3194" t="s">
        <v>44</v>
      </c>
      <c r="C3194" s="3">
        <v>0</v>
      </c>
      <c r="D3194">
        <v>1</v>
      </c>
      <c r="E3194">
        <v>1</v>
      </c>
      <c r="F3194">
        <v>1</v>
      </c>
    </row>
    <row r="3195" spans="1:6">
      <c r="A3195" t="s">
        <v>265</v>
      </c>
      <c r="B3195" t="s">
        <v>45</v>
      </c>
      <c r="C3195" s="3">
        <v>-0.400000000000006</v>
      </c>
      <c r="D3195">
        <v>1</v>
      </c>
      <c r="E3195">
        <v>1</v>
      </c>
      <c r="F3195">
        <v>1</v>
      </c>
    </row>
    <row r="3196" spans="1:6">
      <c r="A3196" t="s">
        <v>265</v>
      </c>
      <c r="B3196" t="s">
        <v>396</v>
      </c>
      <c r="C3196" s="3">
        <v>-9.59654554761058</v>
      </c>
      <c r="D3196">
        <v>1</v>
      </c>
      <c r="E3196">
        <v>1</v>
      </c>
      <c r="F3196">
        <v>1</v>
      </c>
    </row>
    <row r="3197" spans="1:6">
      <c r="A3197" t="s">
        <v>266</v>
      </c>
      <c r="B3197" t="s">
        <v>34</v>
      </c>
      <c r="C3197" s="3">
        <v>48.43</v>
      </c>
      <c r="D3197">
        <v>1</v>
      </c>
      <c r="E3197">
        <v>1</v>
      </c>
      <c r="F3197">
        <v>1</v>
      </c>
    </row>
    <row r="3198" spans="1:6">
      <c r="A3198" t="s">
        <v>266</v>
      </c>
      <c r="B3198" t="s">
        <v>35</v>
      </c>
      <c r="C3198" s="3">
        <v>6.3505</v>
      </c>
      <c r="D3198">
        <v>1</v>
      </c>
      <c r="E3198">
        <v>1</v>
      </c>
      <c r="F3198">
        <v>1</v>
      </c>
    </row>
    <row r="3199" spans="1:6">
      <c r="A3199" t="s">
        <v>266</v>
      </c>
      <c r="B3199" t="s">
        <v>36</v>
      </c>
      <c r="C3199" s="3">
        <v>307.554715</v>
      </c>
      <c r="D3199">
        <v>1</v>
      </c>
      <c r="E3199">
        <v>1</v>
      </c>
      <c r="F3199">
        <v>1</v>
      </c>
    </row>
    <row r="3200" spans="1:6">
      <c r="A3200" t="s">
        <v>266</v>
      </c>
      <c r="B3200" t="s">
        <v>40</v>
      </c>
      <c r="C3200" s="3">
        <v>87.6</v>
      </c>
      <c r="D3200">
        <v>1</v>
      </c>
      <c r="E3200">
        <v>1</v>
      </c>
      <c r="F3200">
        <v>1</v>
      </c>
    </row>
    <row r="3201" spans="1:6">
      <c r="A3201" t="s">
        <v>266</v>
      </c>
      <c r="B3201" t="s">
        <v>41</v>
      </c>
      <c r="C3201" s="3">
        <v>94.1</v>
      </c>
      <c r="D3201">
        <v>1</v>
      </c>
      <c r="E3201">
        <v>1</v>
      </c>
      <c r="F3201">
        <v>1</v>
      </c>
    </row>
    <row r="3202" spans="1:6">
      <c r="A3202" t="s">
        <v>266</v>
      </c>
      <c r="B3202" t="s">
        <v>42</v>
      </c>
      <c r="C3202" s="3">
        <v>101.3</v>
      </c>
      <c r="D3202">
        <v>1</v>
      </c>
      <c r="E3202">
        <v>1</v>
      </c>
      <c r="F3202">
        <v>1</v>
      </c>
    </row>
    <row r="3203" spans="1:6">
      <c r="A3203" t="s">
        <v>266</v>
      </c>
      <c r="B3203" t="s">
        <v>46</v>
      </c>
      <c r="C3203" s="3">
        <v>93.1</v>
      </c>
      <c r="D3203">
        <v>1</v>
      </c>
      <c r="E3203">
        <v>1</v>
      </c>
      <c r="F3203">
        <v>1</v>
      </c>
    </row>
    <row r="3204" spans="1:6">
      <c r="A3204" t="s">
        <v>266</v>
      </c>
      <c r="B3204" t="s">
        <v>392</v>
      </c>
      <c r="C3204" s="3">
        <v>26352357942</v>
      </c>
      <c r="D3204">
        <v>1</v>
      </c>
      <c r="E3204">
        <v>1</v>
      </c>
      <c r="F3204">
        <v>1</v>
      </c>
    </row>
    <row r="3205" spans="1:6">
      <c r="A3205" t="s">
        <v>266</v>
      </c>
      <c r="B3205" t="s">
        <v>393</v>
      </c>
      <c r="C3205" s="3">
        <v>59420349169</v>
      </c>
      <c r="D3205">
        <v>1</v>
      </c>
      <c r="E3205">
        <v>1</v>
      </c>
      <c r="F3205">
        <v>1</v>
      </c>
    </row>
    <row r="3206" spans="1:6">
      <c r="A3206" t="s">
        <v>266</v>
      </c>
      <c r="B3206" t="s">
        <v>394</v>
      </c>
      <c r="C3206" s="3">
        <v>2.25483993879336</v>
      </c>
      <c r="D3206">
        <v>1</v>
      </c>
      <c r="E3206">
        <v>1</v>
      </c>
      <c r="F3206">
        <v>1</v>
      </c>
    </row>
    <row r="3207" spans="1:6">
      <c r="A3207" t="s">
        <v>266</v>
      </c>
      <c r="B3207" t="s">
        <v>39</v>
      </c>
      <c r="C3207" s="3">
        <v>1.41775328198142</v>
      </c>
      <c r="D3207">
        <v>1</v>
      </c>
      <c r="E3207">
        <v>1</v>
      </c>
      <c r="F3207">
        <v>1</v>
      </c>
    </row>
    <row r="3208" spans="1:6">
      <c r="A3208" t="s">
        <v>266</v>
      </c>
      <c r="B3208" t="s">
        <v>43</v>
      </c>
      <c r="C3208" s="3">
        <v>-0.100000000000009</v>
      </c>
      <c r="D3208">
        <v>1</v>
      </c>
      <c r="E3208">
        <v>1</v>
      </c>
      <c r="F3208">
        <v>1</v>
      </c>
    </row>
    <row r="3209" spans="1:6">
      <c r="A3209" t="s">
        <v>266</v>
      </c>
      <c r="B3209" t="s">
        <v>44</v>
      </c>
      <c r="C3209" s="3">
        <v>0</v>
      </c>
      <c r="D3209">
        <v>1</v>
      </c>
      <c r="E3209">
        <v>1</v>
      </c>
      <c r="F3209">
        <v>1</v>
      </c>
    </row>
    <row r="3210" spans="1:6">
      <c r="A3210" t="s">
        <v>266</v>
      </c>
      <c r="B3210" t="s">
        <v>45</v>
      </c>
      <c r="C3210" s="3">
        <v>-0.299999999999997</v>
      </c>
      <c r="D3210">
        <v>1</v>
      </c>
      <c r="E3210">
        <v>1</v>
      </c>
      <c r="F3210">
        <v>1</v>
      </c>
    </row>
    <row r="3211" spans="1:6">
      <c r="A3211" t="s">
        <v>266</v>
      </c>
      <c r="B3211" t="s">
        <v>396</v>
      </c>
      <c r="C3211" s="3">
        <v>-4.08345572138531</v>
      </c>
      <c r="D3211">
        <v>1</v>
      </c>
      <c r="E3211">
        <v>1</v>
      </c>
      <c r="F3211">
        <v>1</v>
      </c>
    </row>
    <row r="3212" spans="1:6">
      <c r="A3212" t="s">
        <v>267</v>
      </c>
      <c r="B3212" t="s">
        <v>34</v>
      </c>
      <c r="C3212" s="3">
        <v>44.27</v>
      </c>
      <c r="D3212">
        <v>1</v>
      </c>
      <c r="E3212">
        <v>1</v>
      </c>
      <c r="F3212">
        <v>1</v>
      </c>
    </row>
    <row r="3213" spans="1:6">
      <c r="A3213" t="s">
        <v>267</v>
      </c>
      <c r="B3213" t="s">
        <v>35</v>
      </c>
      <c r="C3213" s="3">
        <v>6.364</v>
      </c>
      <c r="D3213">
        <v>1</v>
      </c>
      <c r="E3213">
        <v>1</v>
      </c>
      <c r="F3213">
        <v>1</v>
      </c>
    </row>
    <row r="3214" spans="1:6">
      <c r="A3214" t="s">
        <v>267</v>
      </c>
      <c r="B3214" t="s">
        <v>36</v>
      </c>
      <c r="C3214" s="3">
        <v>281.73428</v>
      </c>
      <c r="D3214">
        <v>1</v>
      </c>
      <c r="E3214">
        <v>1</v>
      </c>
      <c r="F3214">
        <v>1</v>
      </c>
    </row>
    <row r="3215" spans="1:6">
      <c r="A3215" t="s">
        <v>267</v>
      </c>
      <c r="B3215" t="s">
        <v>40</v>
      </c>
      <c r="C3215" s="3">
        <v>88.5</v>
      </c>
      <c r="D3215">
        <v>1</v>
      </c>
      <c r="E3215">
        <v>1</v>
      </c>
      <c r="F3215">
        <v>1</v>
      </c>
    </row>
    <row r="3216" spans="1:6">
      <c r="A3216" t="s">
        <v>267</v>
      </c>
      <c r="B3216" t="s">
        <v>41</v>
      </c>
      <c r="C3216" s="3">
        <v>94.1</v>
      </c>
      <c r="D3216">
        <v>1</v>
      </c>
      <c r="E3216">
        <v>1</v>
      </c>
      <c r="F3216">
        <v>1</v>
      </c>
    </row>
    <row r="3217" spans="1:6">
      <c r="A3217" t="s">
        <v>267</v>
      </c>
      <c r="B3217" t="s">
        <v>42</v>
      </c>
      <c r="C3217" s="3">
        <v>101.5</v>
      </c>
      <c r="D3217">
        <v>1</v>
      </c>
      <c r="E3217">
        <v>1</v>
      </c>
      <c r="F3217">
        <v>1</v>
      </c>
    </row>
    <row r="3218" spans="1:6">
      <c r="A3218" t="s">
        <v>267</v>
      </c>
      <c r="B3218" t="s">
        <v>46</v>
      </c>
      <c r="C3218" s="3">
        <v>93.1</v>
      </c>
      <c r="D3218">
        <v>1</v>
      </c>
      <c r="E3218">
        <v>1</v>
      </c>
      <c r="F3218">
        <v>1</v>
      </c>
    </row>
    <row r="3219" spans="1:6">
      <c r="A3219" t="s">
        <v>267</v>
      </c>
      <c r="B3219" t="s">
        <v>392</v>
      </c>
      <c r="C3219" s="3">
        <v>27340925460</v>
      </c>
      <c r="D3219">
        <v>1</v>
      </c>
      <c r="E3219">
        <v>1</v>
      </c>
      <c r="F3219">
        <v>1</v>
      </c>
    </row>
    <row r="3220" spans="1:6">
      <c r="A3220" t="s">
        <v>267</v>
      </c>
      <c r="B3220" t="s">
        <v>393</v>
      </c>
      <c r="C3220" s="3">
        <v>61147166049</v>
      </c>
      <c r="D3220">
        <v>1</v>
      </c>
      <c r="E3220">
        <v>1</v>
      </c>
      <c r="F3220">
        <v>1</v>
      </c>
    </row>
    <row r="3221" spans="1:6">
      <c r="A3221" t="s">
        <v>267</v>
      </c>
      <c r="B3221" t="s">
        <v>394</v>
      </c>
      <c r="C3221" s="3">
        <v>2.23647023720754</v>
      </c>
      <c r="D3221">
        <v>1</v>
      </c>
      <c r="E3221">
        <v>1</v>
      </c>
      <c r="F3221">
        <v>1</v>
      </c>
    </row>
    <row r="3222" spans="1:6">
      <c r="A3222" t="s">
        <v>267</v>
      </c>
      <c r="B3222" t="s">
        <v>39</v>
      </c>
      <c r="C3222" s="3">
        <v>-8.76886491577847</v>
      </c>
      <c r="D3222">
        <v>1</v>
      </c>
      <c r="E3222">
        <v>1</v>
      </c>
      <c r="F3222">
        <v>1</v>
      </c>
    </row>
    <row r="3223" spans="1:6">
      <c r="A3223" t="s">
        <v>267</v>
      </c>
      <c r="B3223" t="s">
        <v>43</v>
      </c>
      <c r="C3223" s="3">
        <v>0.900000000000006</v>
      </c>
      <c r="D3223">
        <v>1</v>
      </c>
      <c r="E3223">
        <v>1</v>
      </c>
      <c r="F3223">
        <v>1</v>
      </c>
    </row>
    <row r="3224" spans="1:6">
      <c r="A3224" t="s">
        <v>267</v>
      </c>
      <c r="B3224" t="s">
        <v>44</v>
      </c>
      <c r="C3224" s="3">
        <v>0</v>
      </c>
      <c r="D3224">
        <v>1</v>
      </c>
      <c r="E3224">
        <v>1</v>
      </c>
      <c r="F3224">
        <v>1</v>
      </c>
    </row>
    <row r="3225" spans="1:6">
      <c r="A3225" t="s">
        <v>267</v>
      </c>
      <c r="B3225" t="s">
        <v>45</v>
      </c>
      <c r="C3225" s="3">
        <v>0.200000000000003</v>
      </c>
      <c r="D3225">
        <v>1</v>
      </c>
      <c r="E3225">
        <v>1</v>
      </c>
      <c r="F3225">
        <v>1</v>
      </c>
    </row>
    <row r="3226" spans="1:6">
      <c r="A3226" t="s">
        <v>267</v>
      </c>
      <c r="B3226" t="s">
        <v>396</v>
      </c>
      <c r="C3226" s="3">
        <v>-0.818015380802684</v>
      </c>
      <c r="D3226">
        <v>1</v>
      </c>
      <c r="E3226">
        <v>1</v>
      </c>
      <c r="F3226">
        <v>1</v>
      </c>
    </row>
    <row r="3227" spans="1:6">
      <c r="A3227" t="s">
        <v>268</v>
      </c>
      <c r="B3227" t="s">
        <v>34</v>
      </c>
      <c r="C3227" s="3">
        <v>38.01</v>
      </c>
      <c r="D3227">
        <v>1</v>
      </c>
      <c r="E3227">
        <v>1</v>
      </c>
      <c r="F3227">
        <v>1</v>
      </c>
    </row>
    <row r="3228" spans="1:6">
      <c r="A3228" t="s">
        <v>268</v>
      </c>
      <c r="B3228" t="s">
        <v>35</v>
      </c>
      <c r="C3228" s="3">
        <v>6.4491</v>
      </c>
      <c r="D3228">
        <v>1</v>
      </c>
      <c r="E3228">
        <v>1</v>
      </c>
      <c r="F3228">
        <v>1</v>
      </c>
    </row>
    <row r="3229" spans="1:6">
      <c r="A3229" t="s">
        <v>268</v>
      </c>
      <c r="B3229" t="s">
        <v>36</v>
      </c>
      <c r="C3229" s="3">
        <v>245.130291</v>
      </c>
      <c r="D3229">
        <v>1</v>
      </c>
      <c r="E3229">
        <v>1</v>
      </c>
      <c r="F3229">
        <v>1</v>
      </c>
    </row>
    <row r="3230" spans="1:6">
      <c r="A3230" t="s">
        <v>268</v>
      </c>
      <c r="B3230" t="s">
        <v>40</v>
      </c>
      <c r="C3230" s="3">
        <v>89</v>
      </c>
      <c r="D3230">
        <v>1</v>
      </c>
      <c r="E3230">
        <v>1</v>
      </c>
      <c r="F3230">
        <v>1</v>
      </c>
    </row>
    <row r="3231" spans="1:6">
      <c r="A3231" t="s">
        <v>268</v>
      </c>
      <c r="B3231" t="s">
        <v>41</v>
      </c>
      <c r="C3231" s="3">
        <v>94.1</v>
      </c>
      <c r="D3231">
        <v>1</v>
      </c>
      <c r="E3231">
        <v>1</v>
      </c>
      <c r="F3231">
        <v>1</v>
      </c>
    </row>
    <row r="3232" spans="1:6">
      <c r="A3232" t="s">
        <v>268</v>
      </c>
      <c r="B3232" t="s">
        <v>42</v>
      </c>
      <c r="C3232" s="3">
        <v>101.6</v>
      </c>
      <c r="D3232">
        <v>1</v>
      </c>
      <c r="E3232">
        <v>1</v>
      </c>
      <c r="F3232">
        <v>1</v>
      </c>
    </row>
    <row r="3233" spans="1:6">
      <c r="A3233" t="s">
        <v>268</v>
      </c>
      <c r="B3233" t="s">
        <v>46</v>
      </c>
      <c r="C3233" s="3">
        <v>93.2</v>
      </c>
      <c r="D3233">
        <v>1</v>
      </c>
      <c r="E3233">
        <v>1</v>
      </c>
      <c r="F3233">
        <v>1</v>
      </c>
    </row>
    <row r="3234" spans="1:6">
      <c r="A3234" t="s">
        <v>268</v>
      </c>
      <c r="B3234" t="s">
        <v>392</v>
      </c>
      <c r="C3234" s="3">
        <v>33170862438</v>
      </c>
      <c r="D3234">
        <v>1</v>
      </c>
      <c r="E3234">
        <v>1</v>
      </c>
      <c r="F3234">
        <v>1</v>
      </c>
    </row>
    <row r="3235" spans="1:6">
      <c r="A3235" t="s">
        <v>268</v>
      </c>
      <c r="B3235" t="s">
        <v>393</v>
      </c>
      <c r="C3235" s="3">
        <v>66921003539</v>
      </c>
      <c r="D3235">
        <v>1</v>
      </c>
      <c r="E3235">
        <v>1</v>
      </c>
      <c r="F3235">
        <v>1</v>
      </c>
    </row>
    <row r="3236" spans="1:6">
      <c r="A3236" t="s">
        <v>268</v>
      </c>
      <c r="B3236" t="s">
        <v>394</v>
      </c>
      <c r="C3236" s="3">
        <v>2.01746347910256</v>
      </c>
      <c r="D3236">
        <v>1</v>
      </c>
      <c r="E3236">
        <v>1</v>
      </c>
      <c r="F3236">
        <v>1</v>
      </c>
    </row>
    <row r="3237" spans="1:6">
      <c r="A3237" t="s">
        <v>268</v>
      </c>
      <c r="B3237" t="s">
        <v>39</v>
      </c>
      <c r="C3237" s="3">
        <v>-13.917448803037</v>
      </c>
      <c r="D3237">
        <v>1</v>
      </c>
      <c r="E3237">
        <v>1</v>
      </c>
      <c r="F3237">
        <v>1</v>
      </c>
    </row>
    <row r="3238" spans="1:6">
      <c r="A3238" t="s">
        <v>268</v>
      </c>
      <c r="B3238" t="s">
        <v>43</v>
      </c>
      <c r="C3238" s="3">
        <v>0.5</v>
      </c>
      <c r="D3238">
        <v>1</v>
      </c>
      <c r="E3238">
        <v>1</v>
      </c>
      <c r="F3238">
        <v>1</v>
      </c>
    </row>
    <row r="3239" spans="1:6">
      <c r="A3239" t="s">
        <v>268</v>
      </c>
      <c r="B3239" t="s">
        <v>44</v>
      </c>
      <c r="C3239" s="3">
        <v>0</v>
      </c>
      <c r="D3239">
        <v>1</v>
      </c>
      <c r="E3239">
        <v>1</v>
      </c>
      <c r="F3239">
        <v>1</v>
      </c>
    </row>
    <row r="3240" spans="1:6">
      <c r="A3240" t="s">
        <v>268</v>
      </c>
      <c r="B3240" t="s">
        <v>45</v>
      </c>
      <c r="C3240" s="3">
        <v>0.0999999999999943</v>
      </c>
      <c r="D3240">
        <v>1</v>
      </c>
      <c r="E3240">
        <v>1</v>
      </c>
      <c r="F3240">
        <v>1</v>
      </c>
    </row>
    <row r="3241" spans="1:6">
      <c r="A3241" t="s">
        <v>268</v>
      </c>
      <c r="B3241" t="s">
        <v>396</v>
      </c>
      <c r="C3241" s="3">
        <v>-10.3057817105542</v>
      </c>
      <c r="D3241">
        <v>1</v>
      </c>
      <c r="E3241">
        <v>1</v>
      </c>
      <c r="F3241">
        <v>1</v>
      </c>
    </row>
    <row r="3242" spans="1:6">
      <c r="A3242" t="s">
        <v>269</v>
      </c>
      <c r="B3242" t="s">
        <v>34</v>
      </c>
      <c r="C3242" s="3">
        <v>30.7</v>
      </c>
      <c r="D3242">
        <v>1</v>
      </c>
      <c r="E3242">
        <v>1</v>
      </c>
      <c r="F3242">
        <v>1</v>
      </c>
    </row>
    <row r="3243" spans="1:6">
      <c r="A3243" t="s">
        <v>269</v>
      </c>
      <c r="B3243" t="s">
        <v>35</v>
      </c>
      <c r="C3243" s="3">
        <v>6.5726</v>
      </c>
      <c r="D3243">
        <v>1</v>
      </c>
      <c r="E3243">
        <v>1</v>
      </c>
      <c r="F3243">
        <v>1</v>
      </c>
    </row>
    <row r="3244" spans="1:6">
      <c r="A3244" t="s">
        <v>269</v>
      </c>
      <c r="B3244" t="s">
        <v>36</v>
      </c>
      <c r="C3244" s="3">
        <v>201.77882</v>
      </c>
      <c r="D3244">
        <v>1</v>
      </c>
      <c r="E3244">
        <v>1</v>
      </c>
      <c r="F3244">
        <v>1</v>
      </c>
    </row>
    <row r="3245" spans="1:6">
      <c r="A3245" t="s">
        <v>269</v>
      </c>
      <c r="B3245" t="s">
        <v>40</v>
      </c>
      <c r="C3245" s="3">
        <v>89.3</v>
      </c>
      <c r="D3245">
        <v>1</v>
      </c>
      <c r="E3245">
        <v>1</v>
      </c>
      <c r="F3245">
        <v>1</v>
      </c>
    </row>
    <row r="3246" spans="1:6">
      <c r="A3246" t="s">
        <v>269</v>
      </c>
      <c r="B3246" t="s">
        <v>41</v>
      </c>
      <c r="C3246" s="3">
        <v>94.7</v>
      </c>
      <c r="D3246">
        <v>1</v>
      </c>
      <c r="E3246">
        <v>1</v>
      </c>
      <c r="F3246">
        <v>1</v>
      </c>
    </row>
    <row r="3247" spans="1:6">
      <c r="A3247" t="s">
        <v>269</v>
      </c>
      <c r="B3247" t="s">
        <v>42</v>
      </c>
      <c r="C3247" s="3">
        <v>101.8</v>
      </c>
      <c r="D3247">
        <v>1</v>
      </c>
      <c r="E3247">
        <v>1</v>
      </c>
      <c r="F3247">
        <v>1</v>
      </c>
    </row>
    <row r="3248" spans="1:6">
      <c r="A3248" t="s">
        <v>269</v>
      </c>
      <c r="B3248" t="s">
        <v>46</v>
      </c>
      <c r="C3248" s="3">
        <v>93.7</v>
      </c>
      <c r="D3248">
        <v>1</v>
      </c>
      <c r="E3248">
        <v>1</v>
      </c>
      <c r="F3248">
        <v>1</v>
      </c>
    </row>
    <row r="3249" spans="1:6">
      <c r="A3249" t="s">
        <v>269</v>
      </c>
      <c r="B3249" t="s">
        <v>392</v>
      </c>
      <c r="C3249" s="3">
        <v>26683027055</v>
      </c>
      <c r="D3249">
        <v>1</v>
      </c>
      <c r="E3249">
        <v>1</v>
      </c>
      <c r="F3249">
        <v>1</v>
      </c>
    </row>
    <row r="3250" spans="1:6">
      <c r="A3250" t="s">
        <v>269</v>
      </c>
      <c r="B3250" t="s">
        <v>393</v>
      </c>
      <c r="C3250" s="3">
        <v>48095137382</v>
      </c>
      <c r="D3250">
        <v>1</v>
      </c>
      <c r="E3250">
        <v>1</v>
      </c>
      <c r="F3250">
        <v>1</v>
      </c>
    </row>
    <row r="3251" spans="1:6">
      <c r="A3251" t="s">
        <v>269</v>
      </c>
      <c r="B3251" t="s">
        <v>394</v>
      </c>
      <c r="C3251" s="3">
        <v>1.80246181525299</v>
      </c>
      <c r="D3251">
        <v>1</v>
      </c>
      <c r="E3251">
        <v>1</v>
      </c>
      <c r="F3251">
        <v>1</v>
      </c>
    </row>
    <row r="3252" spans="1:6">
      <c r="A3252" t="s">
        <v>269</v>
      </c>
      <c r="B3252" t="s">
        <v>39</v>
      </c>
      <c r="C3252" s="3">
        <v>-19.4617722179302</v>
      </c>
      <c r="D3252">
        <v>1</v>
      </c>
      <c r="E3252">
        <v>1</v>
      </c>
      <c r="F3252">
        <v>1</v>
      </c>
    </row>
    <row r="3253" spans="1:6">
      <c r="A3253" t="s">
        <v>269</v>
      </c>
      <c r="B3253" t="s">
        <v>43</v>
      </c>
      <c r="C3253" s="3">
        <v>0.299999999999997</v>
      </c>
      <c r="D3253">
        <v>1</v>
      </c>
      <c r="E3253">
        <v>1</v>
      </c>
      <c r="F3253">
        <v>1</v>
      </c>
    </row>
    <row r="3254" spans="1:6">
      <c r="A3254" t="s">
        <v>269</v>
      </c>
      <c r="B3254" t="s">
        <v>44</v>
      </c>
      <c r="C3254" s="3">
        <v>0.600000000000009</v>
      </c>
      <c r="D3254">
        <v>1</v>
      </c>
      <c r="E3254">
        <v>1</v>
      </c>
      <c r="F3254">
        <v>1</v>
      </c>
    </row>
    <row r="3255" spans="1:6">
      <c r="A3255" t="s">
        <v>269</v>
      </c>
      <c r="B3255" t="s">
        <v>45</v>
      </c>
      <c r="C3255" s="3">
        <v>0.200000000000003</v>
      </c>
      <c r="D3255">
        <v>1</v>
      </c>
      <c r="E3255">
        <v>1</v>
      </c>
      <c r="F3255">
        <v>1</v>
      </c>
    </row>
    <row r="3256" spans="1:6">
      <c r="A3256" t="s">
        <v>269</v>
      </c>
      <c r="B3256" t="s">
        <v>396</v>
      </c>
      <c r="C3256" s="3">
        <v>-11.2687613315479</v>
      </c>
      <c r="D3256">
        <v>1</v>
      </c>
      <c r="E3256">
        <v>1</v>
      </c>
      <c r="F3256">
        <v>1</v>
      </c>
    </row>
    <row r="3257" spans="1:6">
      <c r="A3257" t="s">
        <v>270</v>
      </c>
      <c r="B3257" t="s">
        <v>34</v>
      </c>
      <c r="C3257" s="3">
        <v>32.18</v>
      </c>
      <c r="D3257">
        <v>1</v>
      </c>
      <c r="E3257">
        <v>1</v>
      </c>
      <c r="F3257">
        <v>1</v>
      </c>
    </row>
    <row r="3258" spans="1:6">
      <c r="A3258" t="s">
        <v>270</v>
      </c>
      <c r="B3258" t="s">
        <v>35</v>
      </c>
      <c r="C3258" s="3">
        <v>6.5501</v>
      </c>
      <c r="D3258">
        <v>1</v>
      </c>
      <c r="E3258">
        <v>1</v>
      </c>
      <c r="F3258">
        <v>1</v>
      </c>
    </row>
    <row r="3259" spans="1:6">
      <c r="A3259" t="s">
        <v>270</v>
      </c>
      <c r="B3259" t="s">
        <v>36</v>
      </c>
      <c r="C3259" s="3">
        <v>210.782218</v>
      </c>
      <c r="D3259">
        <v>1</v>
      </c>
      <c r="E3259">
        <v>1</v>
      </c>
      <c r="F3259">
        <v>1</v>
      </c>
    </row>
    <row r="3260" spans="1:6">
      <c r="A3260" t="s">
        <v>270</v>
      </c>
      <c r="B3260" t="s">
        <v>40</v>
      </c>
      <c r="C3260" s="3">
        <v>90</v>
      </c>
      <c r="D3260">
        <v>1</v>
      </c>
      <c r="E3260">
        <v>1</v>
      </c>
      <c r="F3260">
        <v>1</v>
      </c>
    </row>
    <row r="3261" spans="1:6">
      <c r="A3261" t="s">
        <v>270</v>
      </c>
      <c r="B3261" t="s">
        <v>41</v>
      </c>
      <c r="C3261" s="3">
        <v>95.1</v>
      </c>
      <c r="D3261">
        <v>1</v>
      </c>
      <c r="E3261">
        <v>1</v>
      </c>
      <c r="F3261">
        <v>1</v>
      </c>
    </row>
    <row r="3262" spans="1:6">
      <c r="A3262" t="s">
        <v>270</v>
      </c>
      <c r="B3262" t="s">
        <v>42</v>
      </c>
      <c r="C3262" s="3">
        <v>102.3</v>
      </c>
      <c r="D3262">
        <v>1</v>
      </c>
      <c r="E3262">
        <v>1</v>
      </c>
      <c r="F3262">
        <v>1</v>
      </c>
    </row>
    <row r="3263" spans="1:6">
      <c r="A3263" t="s">
        <v>270</v>
      </c>
      <c r="B3263" t="s">
        <v>46</v>
      </c>
      <c r="C3263" s="3">
        <v>94.2</v>
      </c>
      <c r="D3263">
        <v>1</v>
      </c>
      <c r="E3263">
        <v>1</v>
      </c>
      <c r="F3263">
        <v>1</v>
      </c>
    </row>
    <row r="3264" spans="1:6">
      <c r="A3264" t="s">
        <v>270</v>
      </c>
      <c r="B3264" t="s">
        <v>392</v>
      </c>
      <c r="C3264" s="3">
        <v>31800671687</v>
      </c>
      <c r="D3264">
        <v>1</v>
      </c>
      <c r="E3264">
        <v>1</v>
      </c>
      <c r="F3264">
        <v>1</v>
      </c>
    </row>
    <row r="3265" spans="1:6">
      <c r="A3265" t="s">
        <v>270</v>
      </c>
      <c r="B3265" t="s">
        <v>393</v>
      </c>
      <c r="C3265" s="3">
        <v>49249141405</v>
      </c>
      <c r="D3265">
        <v>1</v>
      </c>
      <c r="E3265">
        <v>1</v>
      </c>
      <c r="F3265">
        <v>1</v>
      </c>
    </row>
    <row r="3266" spans="1:6">
      <c r="A3266" t="s">
        <v>270</v>
      </c>
      <c r="B3266" t="s">
        <v>394</v>
      </c>
      <c r="C3266" s="3">
        <v>1.54868242689141</v>
      </c>
      <c r="D3266">
        <v>1</v>
      </c>
      <c r="E3266">
        <v>1</v>
      </c>
      <c r="F3266">
        <v>1</v>
      </c>
    </row>
    <row r="3267" spans="1:6">
      <c r="A3267" t="s">
        <v>270</v>
      </c>
      <c r="B3267" t="s">
        <v>39</v>
      </c>
      <c r="C3267" s="3">
        <v>4.36533112605104</v>
      </c>
      <c r="D3267">
        <v>1</v>
      </c>
      <c r="E3267">
        <v>1</v>
      </c>
      <c r="F3267">
        <v>1</v>
      </c>
    </row>
    <row r="3268" spans="1:6">
      <c r="A3268" t="s">
        <v>270</v>
      </c>
      <c r="B3268" t="s">
        <v>43</v>
      </c>
      <c r="C3268" s="3">
        <v>0.700000000000003</v>
      </c>
      <c r="D3268">
        <v>1</v>
      </c>
      <c r="E3268">
        <v>1</v>
      </c>
      <c r="F3268">
        <v>1</v>
      </c>
    </row>
    <row r="3269" spans="1:6">
      <c r="A3269" t="s">
        <v>270</v>
      </c>
      <c r="B3269" t="s">
        <v>44</v>
      </c>
      <c r="C3269" s="3">
        <v>0.399999999999991</v>
      </c>
      <c r="D3269">
        <v>1</v>
      </c>
      <c r="E3269">
        <v>1</v>
      </c>
      <c r="F3269">
        <v>1</v>
      </c>
    </row>
    <row r="3270" spans="1:6">
      <c r="A3270" t="s">
        <v>270</v>
      </c>
      <c r="B3270" t="s">
        <v>45</v>
      </c>
      <c r="C3270" s="3">
        <v>0.5</v>
      </c>
      <c r="D3270">
        <v>1</v>
      </c>
      <c r="E3270">
        <v>1</v>
      </c>
      <c r="F3270">
        <v>1</v>
      </c>
    </row>
    <row r="3271" spans="1:6">
      <c r="A3271" t="s">
        <v>270</v>
      </c>
      <c r="B3271" t="s">
        <v>396</v>
      </c>
      <c r="C3271" s="3">
        <v>-15.1748883357558</v>
      </c>
      <c r="D3271">
        <v>1</v>
      </c>
      <c r="E3271">
        <v>1</v>
      </c>
      <c r="F3271">
        <v>1</v>
      </c>
    </row>
    <row r="3272" spans="1:6">
      <c r="A3272" t="s">
        <v>271</v>
      </c>
      <c r="B3272" t="s">
        <v>34</v>
      </c>
      <c r="C3272" s="3">
        <v>38.21</v>
      </c>
      <c r="D3272">
        <v>1</v>
      </c>
      <c r="E3272">
        <v>1</v>
      </c>
      <c r="F3272">
        <v>1</v>
      </c>
    </row>
    <row r="3273" spans="1:6">
      <c r="A3273" t="s">
        <v>271</v>
      </c>
      <c r="B3273" t="s">
        <v>35</v>
      </c>
      <c r="C3273" s="3">
        <v>6.5027</v>
      </c>
      <c r="D3273">
        <v>1</v>
      </c>
      <c r="E3273">
        <v>1</v>
      </c>
      <c r="F3273">
        <v>1</v>
      </c>
    </row>
    <row r="3274" spans="1:6">
      <c r="A3274" t="s">
        <v>271</v>
      </c>
      <c r="B3274" t="s">
        <v>36</v>
      </c>
      <c r="C3274" s="3">
        <v>248.468167</v>
      </c>
      <c r="D3274">
        <v>1</v>
      </c>
      <c r="E3274">
        <v>1</v>
      </c>
      <c r="F3274">
        <v>1</v>
      </c>
    </row>
    <row r="3275" spans="1:6">
      <c r="A3275" t="s">
        <v>271</v>
      </c>
      <c r="B3275" t="s">
        <v>40</v>
      </c>
      <c r="C3275" s="3">
        <v>89.6</v>
      </c>
      <c r="D3275">
        <v>1</v>
      </c>
      <c r="E3275">
        <v>1</v>
      </c>
      <c r="F3275">
        <v>1</v>
      </c>
    </row>
    <row r="3276" spans="1:6">
      <c r="A3276" t="s">
        <v>271</v>
      </c>
      <c r="B3276" t="s">
        <v>41</v>
      </c>
      <c r="C3276" s="3">
        <v>95.7</v>
      </c>
      <c r="D3276">
        <v>1</v>
      </c>
      <c r="E3276">
        <v>1</v>
      </c>
      <c r="F3276">
        <v>1</v>
      </c>
    </row>
    <row r="3277" spans="1:6">
      <c r="A3277" t="s">
        <v>271</v>
      </c>
      <c r="B3277" t="s">
        <v>42</v>
      </c>
      <c r="C3277" s="3">
        <v>102.3</v>
      </c>
      <c r="D3277">
        <v>1</v>
      </c>
      <c r="E3277">
        <v>1</v>
      </c>
      <c r="F3277">
        <v>1</v>
      </c>
    </row>
    <row r="3278" spans="1:6">
      <c r="A3278" t="s">
        <v>271</v>
      </c>
      <c r="B3278" t="s">
        <v>46</v>
      </c>
      <c r="C3278" s="3">
        <v>94.8</v>
      </c>
      <c r="D3278">
        <v>1</v>
      </c>
      <c r="E3278">
        <v>1</v>
      </c>
      <c r="F3278">
        <v>1</v>
      </c>
    </row>
    <row r="3279" spans="1:6">
      <c r="A3279" t="s">
        <v>271</v>
      </c>
      <c r="B3279" t="s">
        <v>392</v>
      </c>
      <c r="C3279" s="3">
        <v>32605469823</v>
      </c>
      <c r="D3279">
        <v>1</v>
      </c>
      <c r="E3279">
        <v>1</v>
      </c>
      <c r="F3279">
        <v>1</v>
      </c>
    </row>
    <row r="3280" spans="1:6">
      <c r="A3280" t="s">
        <v>271</v>
      </c>
      <c r="B3280" t="s">
        <v>393</v>
      </c>
      <c r="C3280" s="3">
        <v>51320127189</v>
      </c>
      <c r="D3280">
        <v>1</v>
      </c>
      <c r="E3280">
        <v>1</v>
      </c>
      <c r="F3280">
        <v>1</v>
      </c>
    </row>
    <row r="3281" spans="1:6">
      <c r="A3281" t="s">
        <v>271</v>
      </c>
      <c r="B3281" t="s">
        <v>394</v>
      </c>
      <c r="C3281" s="3">
        <v>1.57397293974272</v>
      </c>
      <c r="D3281">
        <v>1</v>
      </c>
      <c r="E3281">
        <v>1</v>
      </c>
      <c r="F3281">
        <v>1</v>
      </c>
    </row>
    <row r="3282" spans="1:6">
      <c r="A3282" t="s">
        <v>271</v>
      </c>
      <c r="B3282" t="s">
        <v>39</v>
      </c>
      <c r="C3282" s="3">
        <v>16.4489278457051</v>
      </c>
      <c r="D3282">
        <v>1</v>
      </c>
      <c r="E3282">
        <v>1</v>
      </c>
      <c r="F3282">
        <v>1</v>
      </c>
    </row>
    <row r="3283" spans="1:6">
      <c r="A3283" t="s">
        <v>271</v>
      </c>
      <c r="B3283" t="s">
        <v>43</v>
      </c>
      <c r="C3283" s="3">
        <v>-0.400000000000006</v>
      </c>
      <c r="D3283">
        <v>1</v>
      </c>
      <c r="E3283">
        <v>1</v>
      </c>
      <c r="F3283">
        <v>1</v>
      </c>
    </row>
    <row r="3284" spans="1:6">
      <c r="A3284" t="s">
        <v>271</v>
      </c>
      <c r="B3284" t="s">
        <v>44</v>
      </c>
      <c r="C3284" s="3">
        <v>0.600000000000009</v>
      </c>
      <c r="D3284">
        <v>1</v>
      </c>
      <c r="E3284">
        <v>1</v>
      </c>
      <c r="F3284">
        <v>1</v>
      </c>
    </row>
    <row r="3285" spans="1:6">
      <c r="A3285" t="s">
        <v>271</v>
      </c>
      <c r="B3285" t="s">
        <v>45</v>
      </c>
      <c r="C3285" s="3">
        <v>0</v>
      </c>
      <c r="D3285">
        <v>1</v>
      </c>
      <c r="E3285">
        <v>1</v>
      </c>
      <c r="F3285">
        <v>1</v>
      </c>
    </row>
    <row r="3286" spans="1:6">
      <c r="A3286" t="s">
        <v>271</v>
      </c>
      <c r="B3286" t="s">
        <v>396</v>
      </c>
      <c r="C3286" s="3">
        <v>1.61984355467661</v>
      </c>
      <c r="D3286">
        <v>1</v>
      </c>
      <c r="E3286">
        <v>1</v>
      </c>
      <c r="F3286">
        <v>1</v>
      </c>
    </row>
    <row r="3287" spans="1:6">
      <c r="A3287" t="s">
        <v>272</v>
      </c>
      <c r="B3287" t="s">
        <v>34</v>
      </c>
      <c r="C3287" s="3">
        <v>41.58</v>
      </c>
      <c r="D3287">
        <v>1</v>
      </c>
      <c r="E3287">
        <v>1</v>
      </c>
      <c r="F3287">
        <v>1</v>
      </c>
    </row>
    <row r="3288" spans="1:6">
      <c r="A3288" t="s">
        <v>272</v>
      </c>
      <c r="B3288" t="s">
        <v>35</v>
      </c>
      <c r="C3288" s="3">
        <v>6.4754</v>
      </c>
      <c r="D3288">
        <v>1</v>
      </c>
      <c r="E3288">
        <v>1</v>
      </c>
      <c r="F3288">
        <v>1</v>
      </c>
    </row>
    <row r="3289" spans="1:6">
      <c r="A3289" t="s">
        <v>272</v>
      </c>
      <c r="B3289" t="s">
        <v>36</v>
      </c>
      <c r="C3289" s="3">
        <v>269.247132</v>
      </c>
      <c r="D3289">
        <v>1</v>
      </c>
      <c r="E3289">
        <v>1</v>
      </c>
      <c r="F3289">
        <v>1</v>
      </c>
    </row>
    <row r="3290" spans="1:6">
      <c r="A3290" t="s">
        <v>272</v>
      </c>
      <c r="B3290" t="s">
        <v>40</v>
      </c>
      <c r="C3290" s="3">
        <v>90.6</v>
      </c>
      <c r="D3290">
        <v>1</v>
      </c>
      <c r="E3290">
        <v>1</v>
      </c>
      <c r="F3290">
        <v>1</v>
      </c>
    </row>
    <row r="3291" spans="1:6">
      <c r="A3291" t="s">
        <v>272</v>
      </c>
      <c r="B3291" t="s">
        <v>41</v>
      </c>
      <c r="C3291" s="3">
        <v>96.6</v>
      </c>
      <c r="D3291">
        <v>1</v>
      </c>
      <c r="E3291">
        <v>1</v>
      </c>
      <c r="F3291">
        <v>1</v>
      </c>
    </row>
    <row r="3292" spans="1:6">
      <c r="A3292" t="s">
        <v>272</v>
      </c>
      <c r="B3292" t="s">
        <v>42</v>
      </c>
      <c r="C3292" s="3">
        <v>102.3</v>
      </c>
      <c r="D3292">
        <v>1</v>
      </c>
      <c r="E3292">
        <v>1</v>
      </c>
      <c r="F3292">
        <v>1</v>
      </c>
    </row>
    <row r="3293" spans="1:6">
      <c r="A3293" t="s">
        <v>272</v>
      </c>
      <c r="B3293" t="s">
        <v>46</v>
      </c>
      <c r="C3293" s="3">
        <v>95.6</v>
      </c>
      <c r="D3293">
        <v>1</v>
      </c>
      <c r="E3293">
        <v>1</v>
      </c>
      <c r="F3293">
        <v>1</v>
      </c>
    </row>
    <row r="3294" spans="1:6">
      <c r="A3294" t="s">
        <v>272</v>
      </c>
      <c r="B3294" t="s">
        <v>392</v>
      </c>
      <c r="C3294" s="3">
        <v>32581145356</v>
      </c>
      <c r="D3294">
        <v>1</v>
      </c>
      <c r="E3294">
        <v>1</v>
      </c>
      <c r="F3294">
        <v>1</v>
      </c>
    </row>
    <row r="3295" spans="1:6">
      <c r="A3295" t="s">
        <v>272</v>
      </c>
      <c r="B3295" t="s">
        <v>393</v>
      </c>
      <c r="C3295" s="3">
        <v>58806976505</v>
      </c>
      <c r="D3295">
        <v>1</v>
      </c>
      <c r="E3295">
        <v>1</v>
      </c>
      <c r="F3295">
        <v>1</v>
      </c>
    </row>
    <row r="3296" spans="1:6">
      <c r="A3296" t="s">
        <v>272</v>
      </c>
      <c r="B3296" t="s">
        <v>394</v>
      </c>
      <c r="C3296" s="3">
        <v>1.80493889525496</v>
      </c>
      <c r="D3296">
        <v>1</v>
      </c>
      <c r="E3296">
        <v>1</v>
      </c>
      <c r="F3296">
        <v>1</v>
      </c>
    </row>
    <row r="3297" spans="1:6">
      <c r="A3297" t="s">
        <v>272</v>
      </c>
      <c r="B3297" t="s">
        <v>39</v>
      </c>
      <c r="C3297" s="3">
        <v>8.03149274417033</v>
      </c>
      <c r="D3297">
        <v>1</v>
      </c>
      <c r="E3297">
        <v>1</v>
      </c>
      <c r="F3297">
        <v>1</v>
      </c>
    </row>
    <row r="3298" spans="1:6">
      <c r="A3298" t="s">
        <v>272</v>
      </c>
      <c r="B3298" t="s">
        <v>43</v>
      </c>
      <c r="C3298" s="3">
        <v>1</v>
      </c>
      <c r="D3298">
        <v>1</v>
      </c>
      <c r="E3298">
        <v>1</v>
      </c>
      <c r="F3298">
        <v>1</v>
      </c>
    </row>
    <row r="3299" spans="1:6">
      <c r="A3299" t="s">
        <v>272</v>
      </c>
      <c r="B3299" t="s">
        <v>44</v>
      </c>
      <c r="C3299" s="3">
        <v>0.899999999999991</v>
      </c>
      <c r="D3299">
        <v>1</v>
      </c>
      <c r="E3299">
        <v>1</v>
      </c>
      <c r="F3299">
        <v>1</v>
      </c>
    </row>
    <row r="3300" spans="1:6">
      <c r="A3300" t="s">
        <v>272</v>
      </c>
      <c r="B3300" t="s">
        <v>45</v>
      </c>
      <c r="C3300" s="3">
        <v>0</v>
      </c>
      <c r="D3300">
        <v>1</v>
      </c>
      <c r="E3300">
        <v>1</v>
      </c>
      <c r="F3300">
        <v>1</v>
      </c>
    </row>
    <row r="3301" spans="1:6">
      <c r="A3301" t="s">
        <v>272</v>
      </c>
      <c r="B3301" t="s">
        <v>396</v>
      </c>
      <c r="C3301" s="3">
        <v>13.6923780351354</v>
      </c>
      <c r="D3301">
        <v>1</v>
      </c>
      <c r="E3301">
        <v>1</v>
      </c>
      <c r="F3301">
        <v>1</v>
      </c>
    </row>
    <row r="3302" spans="1:6">
      <c r="A3302" t="s">
        <v>273</v>
      </c>
      <c r="B3302" t="s">
        <v>34</v>
      </c>
      <c r="C3302" s="3">
        <v>46.74</v>
      </c>
      <c r="D3302">
        <v>1</v>
      </c>
      <c r="E3302">
        <v>1</v>
      </c>
      <c r="F3302">
        <v>1</v>
      </c>
    </row>
    <row r="3303" spans="1:6">
      <c r="A3303" t="s">
        <v>273</v>
      </c>
      <c r="B3303" t="s">
        <v>35</v>
      </c>
      <c r="C3303" s="3">
        <v>6.5259</v>
      </c>
      <c r="D3303">
        <v>1</v>
      </c>
      <c r="E3303">
        <v>1</v>
      </c>
      <c r="F3303">
        <v>1</v>
      </c>
    </row>
    <row r="3304" spans="1:6">
      <c r="A3304" t="s">
        <v>273</v>
      </c>
      <c r="B3304" t="s">
        <v>36</v>
      </c>
      <c r="C3304" s="3">
        <v>305.020566</v>
      </c>
      <c r="D3304">
        <v>1</v>
      </c>
      <c r="E3304">
        <v>1</v>
      </c>
      <c r="F3304">
        <v>1</v>
      </c>
    </row>
    <row r="3305" spans="1:6">
      <c r="A3305" t="s">
        <v>273</v>
      </c>
      <c r="B3305" t="s">
        <v>40</v>
      </c>
      <c r="C3305" s="3">
        <v>91.7</v>
      </c>
      <c r="D3305">
        <v>1</v>
      </c>
      <c r="E3305">
        <v>1</v>
      </c>
      <c r="F3305">
        <v>1</v>
      </c>
    </row>
    <row r="3306" spans="1:6">
      <c r="A3306" t="s">
        <v>273</v>
      </c>
      <c r="B3306" t="s">
        <v>41</v>
      </c>
      <c r="C3306" s="3">
        <v>97.2</v>
      </c>
      <c r="D3306">
        <v>1</v>
      </c>
      <c r="E3306">
        <v>1</v>
      </c>
      <c r="F3306">
        <v>1</v>
      </c>
    </row>
    <row r="3307" spans="1:6">
      <c r="A3307" t="s">
        <v>273</v>
      </c>
      <c r="B3307" t="s">
        <v>42</v>
      </c>
      <c r="C3307" s="3">
        <v>102</v>
      </c>
      <c r="D3307">
        <v>1</v>
      </c>
      <c r="E3307">
        <v>1</v>
      </c>
      <c r="F3307">
        <v>1</v>
      </c>
    </row>
    <row r="3308" spans="1:6">
      <c r="A3308" t="s">
        <v>273</v>
      </c>
      <c r="B3308" t="s">
        <v>46</v>
      </c>
      <c r="C3308" s="3">
        <v>96.2</v>
      </c>
      <c r="D3308">
        <v>1</v>
      </c>
      <c r="E3308">
        <v>1</v>
      </c>
      <c r="F3308">
        <v>1</v>
      </c>
    </row>
    <row r="3309" spans="1:6">
      <c r="A3309" t="s">
        <v>273</v>
      </c>
      <c r="B3309" t="s">
        <v>392</v>
      </c>
      <c r="C3309" s="3">
        <v>32230801070</v>
      </c>
      <c r="D3309">
        <v>1</v>
      </c>
      <c r="E3309">
        <v>1</v>
      </c>
      <c r="F3309">
        <v>1</v>
      </c>
    </row>
    <row r="3310" spans="1:6">
      <c r="A3310" t="s">
        <v>273</v>
      </c>
      <c r="B3310" t="s">
        <v>393</v>
      </c>
      <c r="C3310" s="3">
        <v>62040188703</v>
      </c>
      <c r="D3310">
        <v>1</v>
      </c>
      <c r="E3310">
        <v>1</v>
      </c>
      <c r="F3310">
        <v>1</v>
      </c>
    </row>
    <row r="3311" spans="1:6">
      <c r="A3311" t="s">
        <v>273</v>
      </c>
      <c r="B3311" t="s">
        <v>394</v>
      </c>
      <c r="C3311" s="3">
        <v>1.92487268834116</v>
      </c>
      <c r="D3311">
        <v>1</v>
      </c>
      <c r="E3311">
        <v>1</v>
      </c>
      <c r="F3311">
        <v>1</v>
      </c>
    </row>
    <row r="3312" spans="1:6">
      <c r="A3312" t="s">
        <v>273</v>
      </c>
      <c r="B3312" t="s">
        <v>39</v>
      </c>
      <c r="C3312" s="3">
        <v>12.4749539673159</v>
      </c>
      <c r="D3312">
        <v>1</v>
      </c>
      <c r="E3312">
        <v>1</v>
      </c>
      <c r="F3312">
        <v>1</v>
      </c>
    </row>
    <row r="3313" spans="1:6">
      <c r="A3313" t="s">
        <v>273</v>
      </c>
      <c r="B3313" t="s">
        <v>43</v>
      </c>
      <c r="C3313" s="3">
        <v>1.10000000000001</v>
      </c>
      <c r="D3313">
        <v>1</v>
      </c>
      <c r="E3313">
        <v>1</v>
      </c>
      <c r="F3313">
        <v>1</v>
      </c>
    </row>
    <row r="3314" spans="1:6">
      <c r="A3314" t="s">
        <v>273</v>
      </c>
      <c r="B3314" t="s">
        <v>44</v>
      </c>
      <c r="C3314" s="3">
        <v>0.600000000000009</v>
      </c>
      <c r="D3314">
        <v>1</v>
      </c>
      <c r="E3314">
        <v>1</v>
      </c>
      <c r="F3314">
        <v>1</v>
      </c>
    </row>
    <row r="3315" spans="1:6">
      <c r="A3315" t="s">
        <v>273</v>
      </c>
      <c r="B3315" t="s">
        <v>45</v>
      </c>
      <c r="C3315" s="3">
        <v>-0.299999999999997</v>
      </c>
      <c r="D3315">
        <v>1</v>
      </c>
      <c r="E3315">
        <v>1</v>
      </c>
      <c r="F3315">
        <v>1</v>
      </c>
    </row>
    <row r="3316" spans="1:6">
      <c r="A3316" t="s">
        <v>273</v>
      </c>
      <c r="B3316" t="s">
        <v>396</v>
      </c>
      <c r="C3316" s="3">
        <v>6.4333091458525</v>
      </c>
      <c r="D3316">
        <v>1</v>
      </c>
      <c r="E3316">
        <v>1</v>
      </c>
      <c r="F3316">
        <v>1</v>
      </c>
    </row>
    <row r="3317" spans="1:6">
      <c r="A3317" t="s">
        <v>274</v>
      </c>
      <c r="B3317" t="s">
        <v>34</v>
      </c>
      <c r="C3317" s="3">
        <v>48.25</v>
      </c>
      <c r="D3317">
        <v>1</v>
      </c>
      <c r="E3317">
        <v>1</v>
      </c>
      <c r="F3317">
        <v>1</v>
      </c>
    </row>
    <row r="3318" spans="1:6">
      <c r="A3318" t="s">
        <v>274</v>
      </c>
      <c r="B3318" t="s">
        <v>35</v>
      </c>
      <c r="C3318" s="3">
        <v>6.5892</v>
      </c>
      <c r="D3318">
        <v>1</v>
      </c>
      <c r="E3318">
        <v>1</v>
      </c>
      <c r="F3318">
        <v>1</v>
      </c>
    </row>
    <row r="3319" spans="1:6">
      <c r="A3319" t="s">
        <v>274</v>
      </c>
      <c r="B3319" t="s">
        <v>36</v>
      </c>
      <c r="C3319" s="3">
        <v>317.9289</v>
      </c>
      <c r="D3319">
        <v>1</v>
      </c>
      <c r="E3319">
        <v>1</v>
      </c>
      <c r="F3319">
        <v>1</v>
      </c>
    </row>
    <row r="3320" spans="1:6">
      <c r="A3320" t="s">
        <v>274</v>
      </c>
      <c r="B3320" t="s">
        <v>40</v>
      </c>
      <c r="C3320" s="3">
        <v>92.8</v>
      </c>
      <c r="D3320">
        <v>1</v>
      </c>
      <c r="E3320">
        <v>1</v>
      </c>
      <c r="F3320">
        <v>1</v>
      </c>
    </row>
    <row r="3321" spans="1:6">
      <c r="A3321" t="s">
        <v>274</v>
      </c>
      <c r="B3321" t="s">
        <v>41</v>
      </c>
      <c r="C3321" s="3">
        <v>97.4</v>
      </c>
      <c r="D3321">
        <v>1</v>
      </c>
      <c r="E3321">
        <v>1</v>
      </c>
      <c r="F3321">
        <v>1</v>
      </c>
    </row>
    <row r="3322" spans="1:6">
      <c r="A3322" t="s">
        <v>274</v>
      </c>
      <c r="B3322" t="s">
        <v>42</v>
      </c>
      <c r="C3322" s="3">
        <v>101.9</v>
      </c>
      <c r="D3322">
        <v>1</v>
      </c>
      <c r="E3322">
        <v>1</v>
      </c>
      <c r="F3322">
        <v>1</v>
      </c>
    </row>
    <row r="3323" spans="1:6">
      <c r="A3323" t="s">
        <v>274</v>
      </c>
      <c r="B3323" t="s">
        <v>46</v>
      </c>
      <c r="C3323" s="3">
        <v>96.6</v>
      </c>
      <c r="D3323">
        <v>1</v>
      </c>
      <c r="E3323">
        <v>1</v>
      </c>
      <c r="F3323">
        <v>1</v>
      </c>
    </row>
    <row r="3324" spans="1:6">
      <c r="A3324" t="s">
        <v>274</v>
      </c>
      <c r="B3324" t="s">
        <v>392</v>
      </c>
      <c r="C3324" s="3">
        <v>30622851822</v>
      </c>
      <c r="D3324">
        <v>1</v>
      </c>
      <c r="E3324">
        <v>1</v>
      </c>
      <c r="F3324">
        <v>1</v>
      </c>
    </row>
    <row r="3325" spans="1:6">
      <c r="A3325" t="s">
        <v>274</v>
      </c>
      <c r="B3325" t="s">
        <v>393</v>
      </c>
      <c r="C3325" s="3">
        <v>64376030028</v>
      </c>
      <c r="D3325">
        <v>1</v>
      </c>
      <c r="E3325">
        <v>1</v>
      </c>
      <c r="F3325">
        <v>1</v>
      </c>
    </row>
    <row r="3326" spans="1:6">
      <c r="A3326" t="s">
        <v>274</v>
      </c>
      <c r="B3326" t="s">
        <v>394</v>
      </c>
      <c r="C3326" s="3">
        <v>2.10222190938308</v>
      </c>
      <c r="D3326">
        <v>1</v>
      </c>
      <c r="E3326">
        <v>1</v>
      </c>
      <c r="F3326">
        <v>1</v>
      </c>
    </row>
    <row r="3327" spans="1:6">
      <c r="A3327" t="s">
        <v>274</v>
      </c>
      <c r="B3327" t="s">
        <v>39</v>
      </c>
      <c r="C3327" s="3">
        <v>4.14485690333437</v>
      </c>
      <c r="D3327">
        <v>1</v>
      </c>
      <c r="E3327">
        <v>1</v>
      </c>
      <c r="F3327">
        <v>1</v>
      </c>
    </row>
    <row r="3328" spans="1:6">
      <c r="A3328" t="s">
        <v>274</v>
      </c>
      <c r="B3328" t="s">
        <v>43</v>
      </c>
      <c r="C3328" s="3">
        <v>1.09999999999999</v>
      </c>
      <c r="D3328">
        <v>1</v>
      </c>
      <c r="E3328">
        <v>1</v>
      </c>
      <c r="F3328">
        <v>1</v>
      </c>
    </row>
    <row r="3329" spans="1:6">
      <c r="A3329" t="s">
        <v>274</v>
      </c>
      <c r="B3329" t="s">
        <v>44</v>
      </c>
      <c r="C3329" s="3">
        <v>0.200000000000003</v>
      </c>
      <c r="D3329">
        <v>1</v>
      </c>
      <c r="E3329">
        <v>1</v>
      </c>
      <c r="F3329">
        <v>1</v>
      </c>
    </row>
    <row r="3330" spans="1:6">
      <c r="A3330" t="s">
        <v>274</v>
      </c>
      <c r="B3330" t="s">
        <v>45</v>
      </c>
      <c r="C3330" s="3">
        <v>-0.0999999999999943</v>
      </c>
      <c r="D3330">
        <v>1</v>
      </c>
      <c r="E3330">
        <v>1</v>
      </c>
      <c r="F3330">
        <v>1</v>
      </c>
    </row>
    <row r="3331" spans="1:6">
      <c r="A3331" t="s">
        <v>274</v>
      </c>
      <c r="B3331" t="s">
        <v>396</v>
      </c>
      <c r="C3331" s="3">
        <v>8.81350078479568</v>
      </c>
      <c r="D3331">
        <v>1</v>
      </c>
      <c r="E3331">
        <v>1</v>
      </c>
      <c r="F3331">
        <v>1</v>
      </c>
    </row>
    <row r="3332" spans="1:6">
      <c r="A3332" t="s">
        <v>275</v>
      </c>
      <c r="B3332" t="s">
        <v>34</v>
      </c>
      <c r="C3332" s="3">
        <v>44.95</v>
      </c>
      <c r="D3332">
        <v>1</v>
      </c>
      <c r="E3332">
        <v>1</v>
      </c>
      <c r="F3332">
        <v>1</v>
      </c>
    </row>
    <row r="3333" spans="1:6">
      <c r="A3333" t="s">
        <v>275</v>
      </c>
      <c r="B3333" t="s">
        <v>35</v>
      </c>
      <c r="C3333" s="3">
        <v>6.6771</v>
      </c>
      <c r="D3333">
        <v>1</v>
      </c>
      <c r="E3333">
        <v>1</v>
      </c>
      <c r="F3333">
        <v>1</v>
      </c>
    </row>
    <row r="3334" spans="1:6">
      <c r="A3334" t="s">
        <v>275</v>
      </c>
      <c r="B3334" t="s">
        <v>36</v>
      </c>
      <c r="C3334" s="3">
        <v>300.135645</v>
      </c>
      <c r="D3334">
        <v>1</v>
      </c>
      <c r="E3334">
        <v>1</v>
      </c>
      <c r="F3334">
        <v>1</v>
      </c>
    </row>
    <row r="3335" spans="1:6">
      <c r="A3335" t="s">
        <v>275</v>
      </c>
      <c r="B3335" t="s">
        <v>40</v>
      </c>
      <c r="C3335" s="3">
        <v>93.8</v>
      </c>
      <c r="D3335">
        <v>1</v>
      </c>
      <c r="E3335">
        <v>1</v>
      </c>
      <c r="F3335">
        <v>1</v>
      </c>
    </row>
    <row r="3336" spans="1:6">
      <c r="A3336" t="s">
        <v>275</v>
      </c>
      <c r="B3336" t="s">
        <v>41</v>
      </c>
      <c r="C3336" s="3">
        <v>98.3</v>
      </c>
      <c r="D3336">
        <v>1</v>
      </c>
      <c r="E3336">
        <v>1</v>
      </c>
      <c r="F3336">
        <v>1</v>
      </c>
    </row>
    <row r="3337" spans="1:6">
      <c r="A3337" t="s">
        <v>275</v>
      </c>
      <c r="B3337" t="s">
        <v>42</v>
      </c>
      <c r="C3337" s="3">
        <v>101.8</v>
      </c>
      <c r="D3337">
        <v>1</v>
      </c>
      <c r="E3337">
        <v>1</v>
      </c>
      <c r="F3337">
        <v>1</v>
      </c>
    </row>
    <row r="3338" spans="1:6">
      <c r="A3338" t="s">
        <v>275</v>
      </c>
      <c r="B3338" t="s">
        <v>46</v>
      </c>
      <c r="C3338" s="3">
        <v>97.4</v>
      </c>
      <c r="D3338">
        <v>1</v>
      </c>
      <c r="E3338">
        <v>1</v>
      </c>
      <c r="F3338">
        <v>1</v>
      </c>
    </row>
    <row r="3339" spans="1:6">
      <c r="A3339" t="s">
        <v>275</v>
      </c>
      <c r="B3339" t="s">
        <v>392</v>
      </c>
      <c r="C3339" s="3">
        <v>31071818403</v>
      </c>
      <c r="D3339">
        <v>1</v>
      </c>
      <c r="E3339">
        <v>1</v>
      </c>
      <c r="F3339">
        <v>1</v>
      </c>
    </row>
    <row r="3340" spans="1:6">
      <c r="A3340" t="s">
        <v>275</v>
      </c>
      <c r="B3340" t="s">
        <v>393</v>
      </c>
      <c r="C3340" s="3">
        <v>70229118975</v>
      </c>
      <c r="D3340">
        <v>1</v>
      </c>
      <c r="E3340">
        <v>1</v>
      </c>
      <c r="F3340">
        <v>1</v>
      </c>
    </row>
    <row r="3341" spans="1:6">
      <c r="A3341" t="s">
        <v>275</v>
      </c>
      <c r="B3341" t="s">
        <v>394</v>
      </c>
      <c r="C3341" s="3">
        <v>2.26021914984607</v>
      </c>
      <c r="D3341">
        <v>1</v>
      </c>
      <c r="E3341">
        <v>1</v>
      </c>
      <c r="F3341">
        <v>1</v>
      </c>
    </row>
    <row r="3342" spans="1:6">
      <c r="A3342" t="s">
        <v>275</v>
      </c>
      <c r="B3342" t="s">
        <v>39</v>
      </c>
      <c r="C3342" s="3">
        <v>-5.75932504084932</v>
      </c>
      <c r="D3342">
        <v>1</v>
      </c>
      <c r="E3342">
        <v>1</v>
      </c>
      <c r="F3342">
        <v>1</v>
      </c>
    </row>
    <row r="3343" spans="1:6">
      <c r="A3343" t="s">
        <v>275</v>
      </c>
      <c r="B3343" t="s">
        <v>43</v>
      </c>
      <c r="C3343" s="3">
        <v>1</v>
      </c>
      <c r="D3343">
        <v>1</v>
      </c>
      <c r="E3343">
        <v>1</v>
      </c>
      <c r="F3343">
        <v>1</v>
      </c>
    </row>
    <row r="3344" spans="1:6">
      <c r="A3344" t="s">
        <v>275</v>
      </c>
      <c r="B3344" t="s">
        <v>44</v>
      </c>
      <c r="C3344" s="3">
        <v>0.899999999999991</v>
      </c>
      <c r="D3344">
        <v>1</v>
      </c>
      <c r="E3344">
        <v>1</v>
      </c>
      <c r="F3344">
        <v>1</v>
      </c>
    </row>
    <row r="3345" spans="1:6">
      <c r="A3345" t="s">
        <v>275</v>
      </c>
      <c r="B3345" t="s">
        <v>45</v>
      </c>
      <c r="C3345" s="3">
        <v>-0.100000000000009</v>
      </c>
      <c r="D3345">
        <v>1</v>
      </c>
      <c r="E3345">
        <v>1</v>
      </c>
      <c r="F3345">
        <v>1</v>
      </c>
    </row>
    <row r="3346" spans="1:6">
      <c r="A3346" t="s">
        <v>275</v>
      </c>
      <c r="B3346" t="s">
        <v>396</v>
      </c>
      <c r="C3346" s="3">
        <v>7.24669400674884</v>
      </c>
      <c r="D3346">
        <v>1</v>
      </c>
      <c r="E3346">
        <v>1</v>
      </c>
      <c r="F3346">
        <v>1</v>
      </c>
    </row>
    <row r="3347" spans="1:6">
      <c r="A3347" t="s">
        <v>276</v>
      </c>
      <c r="B3347" t="s">
        <v>34</v>
      </c>
      <c r="C3347" s="3">
        <v>45.84</v>
      </c>
      <c r="D3347">
        <v>1</v>
      </c>
      <c r="E3347">
        <v>1</v>
      </c>
      <c r="F3347">
        <v>1</v>
      </c>
    </row>
    <row r="3348" spans="1:6">
      <c r="A3348" t="s">
        <v>276</v>
      </c>
      <c r="B3348" t="s">
        <v>35</v>
      </c>
      <c r="C3348" s="3">
        <v>6.6466</v>
      </c>
      <c r="D3348">
        <v>1</v>
      </c>
      <c r="E3348">
        <v>1</v>
      </c>
      <c r="F3348">
        <v>1</v>
      </c>
    </row>
    <row r="3349" spans="1:6">
      <c r="A3349" t="s">
        <v>276</v>
      </c>
      <c r="B3349" t="s">
        <v>36</v>
      </c>
      <c r="C3349" s="3">
        <v>304.680144</v>
      </c>
      <c r="D3349">
        <v>1</v>
      </c>
      <c r="E3349">
        <v>1</v>
      </c>
      <c r="F3349">
        <v>1</v>
      </c>
    </row>
    <row r="3350" spans="1:6">
      <c r="A3350" t="s">
        <v>276</v>
      </c>
      <c r="B3350" t="s">
        <v>40</v>
      </c>
      <c r="C3350" s="3">
        <v>95</v>
      </c>
      <c r="D3350">
        <v>1</v>
      </c>
      <c r="E3350">
        <v>1</v>
      </c>
      <c r="F3350">
        <v>1</v>
      </c>
    </row>
    <row r="3351" spans="1:6">
      <c r="A3351" t="s">
        <v>276</v>
      </c>
      <c r="B3351" t="s">
        <v>41</v>
      </c>
      <c r="C3351" s="3">
        <v>99.2</v>
      </c>
      <c r="D3351">
        <v>1</v>
      </c>
      <c r="E3351">
        <v>1</v>
      </c>
      <c r="F3351">
        <v>1</v>
      </c>
    </row>
    <row r="3352" spans="1:6">
      <c r="A3352" t="s">
        <v>276</v>
      </c>
      <c r="B3352" t="s">
        <v>42</v>
      </c>
      <c r="C3352" s="3">
        <v>101.3</v>
      </c>
      <c r="D3352">
        <v>1</v>
      </c>
      <c r="E3352">
        <v>1</v>
      </c>
      <c r="F3352">
        <v>1</v>
      </c>
    </row>
    <row r="3353" spans="1:6">
      <c r="A3353" t="s">
        <v>276</v>
      </c>
      <c r="B3353" t="s">
        <v>46</v>
      </c>
      <c r="C3353" s="3">
        <v>98.3</v>
      </c>
      <c r="D3353">
        <v>1</v>
      </c>
      <c r="E3353">
        <v>1</v>
      </c>
      <c r="F3353">
        <v>1</v>
      </c>
    </row>
    <row r="3354" spans="1:6">
      <c r="A3354" t="s">
        <v>276</v>
      </c>
      <c r="B3354" t="s">
        <v>392</v>
      </c>
      <c r="C3354" s="3">
        <v>32852965395</v>
      </c>
      <c r="D3354">
        <v>1</v>
      </c>
      <c r="E3354">
        <v>1</v>
      </c>
      <c r="F3354">
        <v>1</v>
      </c>
    </row>
    <row r="3355" spans="1:6">
      <c r="A3355" t="s">
        <v>276</v>
      </c>
      <c r="B3355" t="s">
        <v>393</v>
      </c>
      <c r="C3355" s="3">
        <v>72210176903</v>
      </c>
      <c r="D3355">
        <v>1</v>
      </c>
      <c r="E3355">
        <v>1</v>
      </c>
      <c r="F3355">
        <v>1</v>
      </c>
    </row>
    <row r="3356" spans="1:6">
      <c r="A3356" t="s">
        <v>276</v>
      </c>
      <c r="B3356" t="s">
        <v>394</v>
      </c>
      <c r="C3356" s="3">
        <v>2.19798048775195</v>
      </c>
      <c r="D3356">
        <v>1</v>
      </c>
      <c r="E3356">
        <v>1</v>
      </c>
      <c r="F3356">
        <v>1</v>
      </c>
    </row>
    <row r="3357" spans="1:6">
      <c r="A3357" t="s">
        <v>276</v>
      </c>
      <c r="B3357" t="s">
        <v>39</v>
      </c>
      <c r="C3357" s="3">
        <v>1.50279956643025</v>
      </c>
      <c r="D3357">
        <v>1</v>
      </c>
      <c r="E3357">
        <v>1</v>
      </c>
      <c r="F3357">
        <v>1</v>
      </c>
    </row>
    <row r="3358" spans="1:6">
      <c r="A3358" t="s">
        <v>276</v>
      </c>
      <c r="B3358" t="s">
        <v>43</v>
      </c>
      <c r="C3358" s="3">
        <v>1.2</v>
      </c>
      <c r="D3358">
        <v>1</v>
      </c>
      <c r="E3358">
        <v>1</v>
      </c>
      <c r="F3358">
        <v>1</v>
      </c>
    </row>
    <row r="3359" spans="1:6">
      <c r="A3359" t="s">
        <v>276</v>
      </c>
      <c r="B3359" t="s">
        <v>44</v>
      </c>
      <c r="C3359" s="3">
        <v>0.900000000000006</v>
      </c>
      <c r="D3359">
        <v>1</v>
      </c>
      <c r="E3359">
        <v>1</v>
      </c>
      <c r="F3359">
        <v>1</v>
      </c>
    </row>
    <row r="3360" spans="1:6">
      <c r="A3360" t="s">
        <v>276</v>
      </c>
      <c r="B3360" t="s">
        <v>45</v>
      </c>
      <c r="C3360" s="3">
        <v>-0.5</v>
      </c>
      <c r="D3360">
        <v>1</v>
      </c>
      <c r="E3360">
        <v>1</v>
      </c>
      <c r="F3360">
        <v>1</v>
      </c>
    </row>
    <row r="3361" spans="1:6">
      <c r="A3361" t="s">
        <v>276</v>
      </c>
      <c r="B3361" t="s">
        <v>396</v>
      </c>
      <c r="C3361" s="3">
        <v>-2.79227988733272</v>
      </c>
      <c r="D3361">
        <v>1</v>
      </c>
      <c r="E3361">
        <v>1</v>
      </c>
      <c r="F3361">
        <v>1</v>
      </c>
    </row>
    <row r="3362" spans="1:6">
      <c r="A3362" t="s">
        <v>277</v>
      </c>
      <c r="B3362" t="s">
        <v>34</v>
      </c>
      <c r="C3362" s="3">
        <v>46.57</v>
      </c>
      <c r="D3362">
        <v>1</v>
      </c>
      <c r="E3362">
        <v>1</v>
      </c>
      <c r="F3362">
        <v>1</v>
      </c>
    </row>
    <row r="3363" spans="1:6">
      <c r="A3363" t="s">
        <v>277</v>
      </c>
      <c r="B3363" t="s">
        <v>35</v>
      </c>
      <c r="C3363" s="3">
        <v>6.6702</v>
      </c>
      <c r="D3363">
        <v>1</v>
      </c>
      <c r="E3363">
        <v>1</v>
      </c>
      <c r="F3363">
        <v>1</v>
      </c>
    </row>
    <row r="3364" spans="1:6">
      <c r="A3364" t="s">
        <v>277</v>
      </c>
      <c r="B3364" t="s">
        <v>36</v>
      </c>
      <c r="C3364" s="3">
        <v>310.631214</v>
      </c>
      <c r="D3364">
        <v>1</v>
      </c>
      <c r="E3364">
        <v>1</v>
      </c>
      <c r="F3364">
        <v>1</v>
      </c>
    </row>
    <row r="3365" spans="1:6">
      <c r="A3365" t="s">
        <v>277</v>
      </c>
      <c r="B3365" t="s">
        <v>40</v>
      </c>
      <c r="C3365" s="3">
        <v>98.1</v>
      </c>
      <c r="D3365">
        <v>1</v>
      </c>
      <c r="E3365">
        <v>1</v>
      </c>
      <c r="F3365">
        <v>1</v>
      </c>
    </row>
    <row r="3366" spans="1:6">
      <c r="A3366" t="s">
        <v>277</v>
      </c>
      <c r="B3366" t="s">
        <v>41</v>
      </c>
      <c r="C3366" s="3">
        <v>100.1</v>
      </c>
      <c r="D3366">
        <v>1</v>
      </c>
      <c r="E3366">
        <v>1</v>
      </c>
      <c r="F3366">
        <v>1</v>
      </c>
    </row>
    <row r="3367" spans="1:6">
      <c r="A3367" t="s">
        <v>277</v>
      </c>
      <c r="B3367" t="s">
        <v>42</v>
      </c>
      <c r="C3367" s="3">
        <v>101.9</v>
      </c>
      <c r="D3367">
        <v>1</v>
      </c>
      <c r="E3367">
        <v>1</v>
      </c>
      <c r="F3367">
        <v>1</v>
      </c>
    </row>
    <row r="3368" spans="1:6">
      <c r="A3368" t="s">
        <v>277</v>
      </c>
      <c r="B3368" t="s">
        <v>46</v>
      </c>
      <c r="C3368" s="3">
        <v>99.4</v>
      </c>
      <c r="D3368">
        <v>1</v>
      </c>
      <c r="E3368">
        <v>1</v>
      </c>
      <c r="F3368">
        <v>1</v>
      </c>
    </row>
    <row r="3369" spans="1:6">
      <c r="A3369" t="s">
        <v>277</v>
      </c>
      <c r="B3369" t="s">
        <v>392</v>
      </c>
      <c r="C3369" s="3">
        <v>33044724917</v>
      </c>
      <c r="D3369">
        <v>1</v>
      </c>
      <c r="E3369">
        <v>1</v>
      </c>
      <c r="F3369">
        <v>1</v>
      </c>
    </row>
    <row r="3370" spans="1:6">
      <c r="A3370" t="s">
        <v>277</v>
      </c>
      <c r="B3370" t="s">
        <v>393</v>
      </c>
      <c r="C3370" s="3">
        <v>70296171074</v>
      </c>
      <c r="D3370">
        <v>1</v>
      </c>
      <c r="E3370">
        <v>1</v>
      </c>
      <c r="F3370">
        <v>1</v>
      </c>
    </row>
    <row r="3371" spans="1:6">
      <c r="A3371" t="s">
        <v>277</v>
      </c>
      <c r="B3371" t="s">
        <v>394</v>
      </c>
      <c r="C3371" s="3">
        <v>2.12730386621666</v>
      </c>
      <c r="D3371">
        <v>1</v>
      </c>
      <c r="E3371">
        <v>1</v>
      </c>
      <c r="F3371">
        <v>1</v>
      </c>
    </row>
    <row r="3372" spans="1:6">
      <c r="A3372" t="s">
        <v>277</v>
      </c>
      <c r="B3372" t="s">
        <v>39</v>
      </c>
      <c r="C3372" s="3">
        <v>1.93438833482787</v>
      </c>
      <c r="D3372">
        <v>1</v>
      </c>
      <c r="E3372">
        <v>1</v>
      </c>
      <c r="F3372">
        <v>1</v>
      </c>
    </row>
    <row r="3373" spans="1:6">
      <c r="A3373" t="s">
        <v>277</v>
      </c>
      <c r="B3373" t="s">
        <v>43</v>
      </c>
      <c r="C3373" s="3">
        <v>3.09999999999999</v>
      </c>
      <c r="D3373">
        <v>1</v>
      </c>
      <c r="E3373">
        <v>1</v>
      </c>
      <c r="F3373">
        <v>1</v>
      </c>
    </row>
    <row r="3374" spans="1:6">
      <c r="A3374" t="s">
        <v>277</v>
      </c>
      <c r="B3374" t="s">
        <v>44</v>
      </c>
      <c r="C3374" s="3">
        <v>0.899999999999991</v>
      </c>
      <c r="D3374">
        <v>1</v>
      </c>
      <c r="E3374">
        <v>1</v>
      </c>
      <c r="F3374">
        <v>1</v>
      </c>
    </row>
    <row r="3375" spans="1:6">
      <c r="A3375" t="s">
        <v>277</v>
      </c>
      <c r="B3375" t="s">
        <v>45</v>
      </c>
      <c r="C3375" s="3">
        <v>0.600000000000009</v>
      </c>
      <c r="D3375">
        <v>1</v>
      </c>
      <c r="E3375">
        <v>1</v>
      </c>
      <c r="F3375">
        <v>1</v>
      </c>
    </row>
    <row r="3376" spans="1:6">
      <c r="A3376" t="s">
        <v>277</v>
      </c>
      <c r="B3376" t="s">
        <v>396</v>
      </c>
      <c r="C3376" s="3">
        <v>-3.26835912448714</v>
      </c>
      <c r="D3376">
        <v>1</v>
      </c>
      <c r="E3376">
        <v>1</v>
      </c>
      <c r="F3376">
        <v>1</v>
      </c>
    </row>
    <row r="3377" spans="1:6">
      <c r="A3377" t="s">
        <v>278</v>
      </c>
      <c r="B3377" t="s">
        <v>34</v>
      </c>
      <c r="C3377" s="3">
        <v>49.52</v>
      </c>
      <c r="D3377">
        <v>1</v>
      </c>
      <c r="E3377">
        <v>1</v>
      </c>
      <c r="F3377">
        <v>1</v>
      </c>
    </row>
    <row r="3378" spans="1:6">
      <c r="A3378" t="s">
        <v>278</v>
      </c>
      <c r="B3378" t="s">
        <v>35</v>
      </c>
      <c r="C3378" s="3">
        <v>6.7303</v>
      </c>
      <c r="D3378">
        <v>1</v>
      </c>
      <c r="E3378">
        <v>1</v>
      </c>
      <c r="F3378">
        <v>1</v>
      </c>
    </row>
    <row r="3379" spans="1:6">
      <c r="A3379" t="s">
        <v>278</v>
      </c>
      <c r="B3379" t="s">
        <v>36</v>
      </c>
      <c r="C3379" s="3">
        <v>333.284456</v>
      </c>
      <c r="D3379">
        <v>1</v>
      </c>
      <c r="E3379">
        <v>1</v>
      </c>
      <c r="F3379">
        <v>1</v>
      </c>
    </row>
    <row r="3380" spans="1:6">
      <c r="A3380" t="s">
        <v>278</v>
      </c>
      <c r="B3380" t="s">
        <v>40</v>
      </c>
      <c r="C3380" s="3">
        <v>101.8</v>
      </c>
      <c r="D3380">
        <v>1</v>
      </c>
      <c r="E3380">
        <v>1</v>
      </c>
      <c r="F3380">
        <v>1</v>
      </c>
    </row>
    <row r="3381" spans="1:6">
      <c r="A3381" t="s">
        <v>278</v>
      </c>
      <c r="B3381" t="s">
        <v>41</v>
      </c>
      <c r="C3381" s="3">
        <v>101.2</v>
      </c>
      <c r="D3381">
        <v>1</v>
      </c>
      <c r="E3381">
        <v>1</v>
      </c>
      <c r="F3381">
        <v>1</v>
      </c>
    </row>
    <row r="3382" spans="1:6">
      <c r="A3382" t="s">
        <v>278</v>
      </c>
      <c r="B3382" t="s">
        <v>42</v>
      </c>
      <c r="C3382" s="3">
        <v>102.1</v>
      </c>
      <c r="D3382">
        <v>1</v>
      </c>
      <c r="E3382">
        <v>1</v>
      </c>
      <c r="F3382">
        <v>1</v>
      </c>
    </row>
    <row r="3383" spans="1:6">
      <c r="A3383" t="s">
        <v>278</v>
      </c>
      <c r="B3383" t="s">
        <v>46</v>
      </c>
      <c r="C3383" s="3">
        <v>100.9</v>
      </c>
      <c r="D3383">
        <v>1</v>
      </c>
      <c r="E3383">
        <v>1</v>
      </c>
      <c r="F3383">
        <v>1</v>
      </c>
    </row>
    <row r="3384" spans="1:6">
      <c r="A3384" t="s">
        <v>278</v>
      </c>
      <c r="B3384" t="s">
        <v>392</v>
      </c>
      <c r="C3384" s="3">
        <v>28788192274</v>
      </c>
      <c r="D3384">
        <v>1</v>
      </c>
      <c r="E3384">
        <v>1</v>
      </c>
      <c r="F3384">
        <v>1</v>
      </c>
    </row>
    <row r="3385" spans="1:6">
      <c r="A3385" t="s">
        <v>278</v>
      </c>
      <c r="B3385" t="s">
        <v>393</v>
      </c>
      <c r="C3385" s="3">
        <v>63100110652</v>
      </c>
      <c r="D3385">
        <v>1</v>
      </c>
      <c r="E3385">
        <v>1</v>
      </c>
      <c r="F3385">
        <v>1</v>
      </c>
    </row>
    <row r="3386" spans="1:6">
      <c r="A3386" t="s">
        <v>278</v>
      </c>
      <c r="B3386" t="s">
        <v>394</v>
      </c>
      <c r="C3386" s="3">
        <v>2.19187471208426</v>
      </c>
      <c r="D3386">
        <v>1</v>
      </c>
      <c r="E3386">
        <v>1</v>
      </c>
      <c r="F3386">
        <v>1</v>
      </c>
    </row>
    <row r="3387" spans="1:6">
      <c r="A3387" t="s">
        <v>278</v>
      </c>
      <c r="B3387" t="s">
        <v>39</v>
      </c>
      <c r="C3387" s="3">
        <v>7.03899460827317</v>
      </c>
      <c r="D3387">
        <v>1</v>
      </c>
      <c r="E3387">
        <v>1</v>
      </c>
      <c r="F3387">
        <v>1</v>
      </c>
    </row>
    <row r="3388" spans="1:6">
      <c r="A3388" t="s">
        <v>278</v>
      </c>
      <c r="B3388" t="s">
        <v>43</v>
      </c>
      <c r="C3388" s="3">
        <v>3.7</v>
      </c>
      <c r="D3388">
        <v>1</v>
      </c>
      <c r="E3388">
        <v>1</v>
      </c>
      <c r="F3388">
        <v>1</v>
      </c>
    </row>
    <row r="3389" spans="1:6">
      <c r="A3389" t="s">
        <v>278</v>
      </c>
      <c r="B3389" t="s">
        <v>44</v>
      </c>
      <c r="C3389" s="3">
        <v>1.10000000000001</v>
      </c>
      <c r="D3389">
        <v>1</v>
      </c>
      <c r="E3389">
        <v>1</v>
      </c>
      <c r="F3389">
        <v>1</v>
      </c>
    </row>
    <row r="3390" spans="1:6">
      <c r="A3390" t="s">
        <v>278</v>
      </c>
      <c r="B3390" t="s">
        <v>45</v>
      </c>
      <c r="C3390" s="3">
        <v>0.199999999999989</v>
      </c>
      <c r="D3390">
        <v>1</v>
      </c>
      <c r="E3390">
        <v>1</v>
      </c>
      <c r="F3390">
        <v>1</v>
      </c>
    </row>
    <row r="3391" spans="1:6">
      <c r="A3391" t="s">
        <v>278</v>
      </c>
      <c r="B3391" t="s">
        <v>396</v>
      </c>
      <c r="C3391" s="3">
        <v>2.99018231331372</v>
      </c>
      <c r="D3391">
        <v>1</v>
      </c>
      <c r="E3391">
        <v>1</v>
      </c>
      <c r="F3391">
        <v>1</v>
      </c>
    </row>
    <row r="3392" spans="1:6">
      <c r="A3392" t="s">
        <v>279</v>
      </c>
      <c r="B3392" t="s">
        <v>34</v>
      </c>
      <c r="C3392" s="3">
        <v>44.73</v>
      </c>
      <c r="D3392">
        <v>1</v>
      </c>
      <c r="E3392">
        <v>1</v>
      </c>
      <c r="F3392">
        <v>1</v>
      </c>
    </row>
    <row r="3393" spans="1:6">
      <c r="A3393" t="s">
        <v>279</v>
      </c>
      <c r="B3393" t="s">
        <v>35</v>
      </c>
      <c r="C3393" s="3">
        <v>6.8402</v>
      </c>
      <c r="D3393">
        <v>1</v>
      </c>
      <c r="E3393">
        <v>1</v>
      </c>
      <c r="F3393">
        <v>1</v>
      </c>
    </row>
    <row r="3394" spans="1:6">
      <c r="A3394" t="s">
        <v>279</v>
      </c>
      <c r="B3394" t="s">
        <v>36</v>
      </c>
      <c r="C3394" s="3">
        <v>305.962146</v>
      </c>
      <c r="D3394">
        <v>1</v>
      </c>
      <c r="E3394">
        <v>1</v>
      </c>
      <c r="F3394">
        <v>1</v>
      </c>
    </row>
    <row r="3395" spans="1:6">
      <c r="A3395" t="s">
        <v>279</v>
      </c>
      <c r="B3395" t="s">
        <v>40</v>
      </c>
      <c r="C3395" s="3">
        <v>106</v>
      </c>
      <c r="D3395">
        <v>1</v>
      </c>
      <c r="E3395">
        <v>1</v>
      </c>
      <c r="F3395">
        <v>1</v>
      </c>
    </row>
    <row r="3396" spans="1:6">
      <c r="A3396" t="s">
        <v>279</v>
      </c>
      <c r="B3396" t="s">
        <v>41</v>
      </c>
      <c r="C3396" s="3">
        <v>103.3</v>
      </c>
      <c r="D3396">
        <v>1</v>
      </c>
      <c r="E3396">
        <v>1</v>
      </c>
      <c r="F3396">
        <v>1</v>
      </c>
    </row>
    <row r="3397" spans="1:6">
      <c r="A3397" t="s">
        <v>279</v>
      </c>
      <c r="B3397" t="s">
        <v>42</v>
      </c>
      <c r="C3397" s="3">
        <v>102.3</v>
      </c>
      <c r="D3397">
        <v>1</v>
      </c>
      <c r="E3397">
        <v>1</v>
      </c>
      <c r="F3397">
        <v>1</v>
      </c>
    </row>
    <row r="3398" spans="1:6">
      <c r="A3398" t="s">
        <v>279</v>
      </c>
      <c r="B3398" t="s">
        <v>46</v>
      </c>
      <c r="C3398" s="3">
        <v>103.5</v>
      </c>
      <c r="D3398">
        <v>1</v>
      </c>
      <c r="E3398">
        <v>1</v>
      </c>
      <c r="F3398">
        <v>1</v>
      </c>
    </row>
    <row r="3399" spans="1:6">
      <c r="A3399" t="s">
        <v>279</v>
      </c>
      <c r="B3399" t="s">
        <v>392</v>
      </c>
      <c r="C3399" s="3">
        <v>32347172813</v>
      </c>
      <c r="D3399">
        <v>1</v>
      </c>
      <c r="E3399">
        <v>1</v>
      </c>
      <c r="F3399">
        <v>1</v>
      </c>
    </row>
    <row r="3400" spans="1:6">
      <c r="A3400" t="s">
        <v>279</v>
      </c>
      <c r="B3400" t="s">
        <v>393</v>
      </c>
      <c r="C3400" s="3">
        <v>76344019058</v>
      </c>
      <c r="D3400">
        <v>1</v>
      </c>
      <c r="E3400">
        <v>1</v>
      </c>
      <c r="F3400">
        <v>1</v>
      </c>
    </row>
    <row r="3401" spans="1:6">
      <c r="A3401" t="s">
        <v>279</v>
      </c>
      <c r="B3401" t="s">
        <v>394</v>
      </c>
      <c r="C3401" s="3">
        <v>2.36014502718204</v>
      </c>
      <c r="D3401">
        <v>1</v>
      </c>
      <c r="E3401">
        <v>1</v>
      </c>
      <c r="F3401">
        <v>1</v>
      </c>
    </row>
    <row r="3402" spans="1:6">
      <c r="A3402" t="s">
        <v>279</v>
      </c>
      <c r="B3402" t="s">
        <v>39</v>
      </c>
      <c r="C3402" s="3">
        <v>-8.55349591446806</v>
      </c>
      <c r="D3402">
        <v>1</v>
      </c>
      <c r="E3402">
        <v>1</v>
      </c>
      <c r="F3402">
        <v>1</v>
      </c>
    </row>
    <row r="3403" spans="1:6">
      <c r="A3403" t="s">
        <v>279</v>
      </c>
      <c r="B3403" t="s">
        <v>43</v>
      </c>
      <c r="C3403" s="3">
        <v>4.2</v>
      </c>
      <c r="D3403">
        <v>1</v>
      </c>
      <c r="E3403">
        <v>1</v>
      </c>
      <c r="F3403">
        <v>1</v>
      </c>
    </row>
    <row r="3404" spans="1:6">
      <c r="A3404" t="s">
        <v>279</v>
      </c>
      <c r="B3404" t="s">
        <v>44</v>
      </c>
      <c r="C3404" s="3">
        <v>2.09999999999999</v>
      </c>
      <c r="D3404">
        <v>1</v>
      </c>
      <c r="E3404">
        <v>1</v>
      </c>
      <c r="F3404">
        <v>1</v>
      </c>
    </row>
    <row r="3405" spans="1:6">
      <c r="A3405" t="s">
        <v>279</v>
      </c>
      <c r="B3405" t="s">
        <v>45</v>
      </c>
      <c r="C3405" s="3">
        <v>0.200000000000003</v>
      </c>
      <c r="D3405">
        <v>1</v>
      </c>
      <c r="E3405">
        <v>1</v>
      </c>
      <c r="F3405">
        <v>1</v>
      </c>
    </row>
    <row r="3406" spans="1:6">
      <c r="A3406" t="s">
        <v>279</v>
      </c>
      <c r="B3406" t="s">
        <v>396</v>
      </c>
      <c r="C3406" s="3">
        <v>7.39658587888054</v>
      </c>
      <c r="D3406">
        <v>1</v>
      </c>
      <c r="E3406">
        <v>1</v>
      </c>
      <c r="F3406">
        <v>1</v>
      </c>
    </row>
    <row r="3407" spans="1:6">
      <c r="A3407" t="s">
        <v>280</v>
      </c>
      <c r="B3407" t="s">
        <v>34</v>
      </c>
      <c r="C3407" s="3">
        <v>53.31</v>
      </c>
      <c r="D3407">
        <v>1</v>
      </c>
      <c r="E3407">
        <v>1</v>
      </c>
      <c r="F3407">
        <v>1</v>
      </c>
    </row>
    <row r="3408" spans="1:6">
      <c r="A3408" t="s">
        <v>280</v>
      </c>
      <c r="B3408" t="s">
        <v>35</v>
      </c>
      <c r="C3408" s="3">
        <v>6.9198</v>
      </c>
      <c r="D3408">
        <v>1</v>
      </c>
      <c r="E3408">
        <v>1</v>
      </c>
      <c r="F3408">
        <v>1</v>
      </c>
    </row>
    <row r="3409" spans="1:6">
      <c r="A3409" t="s">
        <v>280</v>
      </c>
      <c r="B3409" t="s">
        <v>36</v>
      </c>
      <c r="C3409" s="3">
        <v>368.894538</v>
      </c>
      <c r="D3409">
        <v>1</v>
      </c>
      <c r="E3409">
        <v>1</v>
      </c>
      <c r="F3409">
        <v>1</v>
      </c>
    </row>
    <row r="3410" spans="1:6">
      <c r="A3410" t="s">
        <v>280</v>
      </c>
      <c r="B3410" t="s">
        <v>40</v>
      </c>
      <c r="C3410" s="3">
        <v>110.1</v>
      </c>
      <c r="D3410">
        <v>1</v>
      </c>
      <c r="E3410">
        <v>1</v>
      </c>
      <c r="F3410">
        <v>1</v>
      </c>
    </row>
    <row r="3411" spans="1:6">
      <c r="A3411" t="s">
        <v>280</v>
      </c>
      <c r="B3411" t="s">
        <v>41</v>
      </c>
      <c r="C3411" s="3">
        <v>105.5</v>
      </c>
      <c r="D3411">
        <v>1</v>
      </c>
      <c r="E3411">
        <v>1</v>
      </c>
      <c r="F3411">
        <v>1</v>
      </c>
    </row>
    <row r="3412" spans="1:6">
      <c r="A3412" t="s">
        <v>280</v>
      </c>
      <c r="B3412" t="s">
        <v>42</v>
      </c>
      <c r="C3412" s="3">
        <v>102.1</v>
      </c>
      <c r="D3412">
        <v>1</v>
      </c>
      <c r="E3412">
        <v>1</v>
      </c>
      <c r="F3412">
        <v>1</v>
      </c>
    </row>
    <row r="3413" spans="1:6">
      <c r="A3413" t="s">
        <v>280</v>
      </c>
      <c r="B3413" t="s">
        <v>46</v>
      </c>
      <c r="C3413" s="3">
        <v>106.3</v>
      </c>
      <c r="D3413">
        <v>1</v>
      </c>
      <c r="E3413">
        <v>1</v>
      </c>
      <c r="F3413">
        <v>1</v>
      </c>
    </row>
    <row r="3414" spans="1:6">
      <c r="A3414" t="s">
        <v>280</v>
      </c>
      <c r="B3414" t="s">
        <v>392</v>
      </c>
      <c r="C3414" s="3">
        <v>36378107352</v>
      </c>
      <c r="D3414">
        <v>1</v>
      </c>
      <c r="E3414">
        <v>1</v>
      </c>
      <c r="F3414">
        <v>1</v>
      </c>
    </row>
    <row r="3415" spans="1:6">
      <c r="A3415" t="s">
        <v>280</v>
      </c>
      <c r="B3415" t="s">
        <v>393</v>
      </c>
      <c r="C3415" s="3">
        <v>85054591795</v>
      </c>
      <c r="D3415">
        <v>1</v>
      </c>
      <c r="E3415">
        <v>1</v>
      </c>
      <c r="F3415">
        <v>1</v>
      </c>
    </row>
    <row r="3416" spans="1:6">
      <c r="A3416" t="s">
        <v>280</v>
      </c>
      <c r="B3416" t="s">
        <v>394</v>
      </c>
      <c r="C3416" s="3">
        <v>2.33807083397712</v>
      </c>
      <c r="D3416">
        <v>1</v>
      </c>
      <c r="E3416">
        <v>1</v>
      </c>
      <c r="F3416">
        <v>1</v>
      </c>
    </row>
    <row r="3417" spans="1:6">
      <c r="A3417" t="s">
        <v>280</v>
      </c>
      <c r="B3417" t="s">
        <v>39</v>
      </c>
      <c r="C3417" s="3">
        <v>18.7049409894656</v>
      </c>
      <c r="D3417">
        <v>1</v>
      </c>
      <c r="E3417">
        <v>1</v>
      </c>
      <c r="F3417">
        <v>1</v>
      </c>
    </row>
    <row r="3418" spans="1:6">
      <c r="A3418" t="s">
        <v>280</v>
      </c>
      <c r="B3418" t="s">
        <v>43</v>
      </c>
      <c r="C3418" s="3">
        <v>4.09999999999999</v>
      </c>
      <c r="D3418">
        <v>1</v>
      </c>
      <c r="E3418">
        <v>1</v>
      </c>
      <c r="F3418">
        <v>1</v>
      </c>
    </row>
    <row r="3419" spans="1:6">
      <c r="A3419" t="s">
        <v>280</v>
      </c>
      <c r="B3419" t="s">
        <v>44</v>
      </c>
      <c r="C3419" s="3">
        <v>2.2</v>
      </c>
      <c r="D3419">
        <v>1</v>
      </c>
      <c r="E3419">
        <v>1</v>
      </c>
      <c r="F3419">
        <v>1</v>
      </c>
    </row>
    <row r="3420" spans="1:6">
      <c r="A3420" t="s">
        <v>280</v>
      </c>
      <c r="B3420" t="s">
        <v>45</v>
      </c>
      <c r="C3420" s="3">
        <v>-0.200000000000003</v>
      </c>
      <c r="D3420">
        <v>1</v>
      </c>
      <c r="E3420">
        <v>1</v>
      </c>
      <c r="F3420">
        <v>1</v>
      </c>
    </row>
    <row r="3421" spans="1:6">
      <c r="A3421" t="s">
        <v>280</v>
      </c>
      <c r="B3421" t="s">
        <v>396</v>
      </c>
      <c r="C3421" s="3">
        <v>-0.939690992913458</v>
      </c>
      <c r="D3421">
        <v>1</v>
      </c>
      <c r="E3421">
        <v>1</v>
      </c>
      <c r="F3421">
        <v>1</v>
      </c>
    </row>
    <row r="3422" spans="1:6">
      <c r="A3422" t="s">
        <v>281</v>
      </c>
      <c r="B3422" t="s">
        <v>34</v>
      </c>
      <c r="C3422" s="3">
        <v>54.58</v>
      </c>
      <c r="D3422">
        <v>1</v>
      </c>
      <c r="E3422">
        <v>1</v>
      </c>
      <c r="F3422">
        <v>1</v>
      </c>
    </row>
    <row r="3423" spans="1:6">
      <c r="A3423" t="s">
        <v>281</v>
      </c>
      <c r="B3423" t="s">
        <v>35</v>
      </c>
      <c r="C3423" s="3">
        <v>6.8907</v>
      </c>
      <c r="D3423">
        <v>1</v>
      </c>
      <c r="E3423">
        <v>1</v>
      </c>
      <c r="F3423">
        <v>1</v>
      </c>
    </row>
    <row r="3424" spans="1:6">
      <c r="A3424" t="s">
        <v>281</v>
      </c>
      <c r="B3424" t="s">
        <v>36</v>
      </c>
      <c r="C3424" s="3">
        <v>376.094406</v>
      </c>
      <c r="D3424">
        <v>1</v>
      </c>
      <c r="E3424">
        <v>1</v>
      </c>
      <c r="F3424">
        <v>1</v>
      </c>
    </row>
    <row r="3425" spans="1:6">
      <c r="A3425" t="s">
        <v>281</v>
      </c>
      <c r="B3425" t="s">
        <v>40</v>
      </c>
      <c r="C3425" s="3">
        <v>114.7</v>
      </c>
      <c r="D3425">
        <v>1</v>
      </c>
      <c r="E3425">
        <v>1</v>
      </c>
      <c r="F3425">
        <v>1</v>
      </c>
    </row>
    <row r="3426" spans="1:6">
      <c r="A3426" t="s">
        <v>281</v>
      </c>
      <c r="B3426" t="s">
        <v>41</v>
      </c>
      <c r="C3426" s="3">
        <v>106.9</v>
      </c>
      <c r="D3426">
        <v>1</v>
      </c>
      <c r="E3426">
        <v>1</v>
      </c>
      <c r="F3426">
        <v>1</v>
      </c>
    </row>
    <row r="3427" spans="1:6">
      <c r="A3427" t="s">
        <v>281</v>
      </c>
      <c r="B3427" t="s">
        <v>42</v>
      </c>
      <c r="C3427" s="3">
        <v>102.5</v>
      </c>
      <c r="D3427">
        <v>1</v>
      </c>
      <c r="E3427">
        <v>1</v>
      </c>
      <c r="F3427">
        <v>1</v>
      </c>
    </row>
    <row r="3428" spans="1:6">
      <c r="A3428" t="s">
        <v>281</v>
      </c>
      <c r="B3428" t="s">
        <v>46</v>
      </c>
      <c r="C3428" s="3">
        <v>108.4</v>
      </c>
      <c r="D3428">
        <v>1</v>
      </c>
      <c r="E3428">
        <v>1</v>
      </c>
      <c r="F3428">
        <v>1</v>
      </c>
    </row>
    <row r="3429" spans="1:6">
      <c r="A3429" t="s">
        <v>281</v>
      </c>
      <c r="B3429" t="s">
        <v>392</v>
      </c>
      <c r="C3429" s="3">
        <v>33992941722</v>
      </c>
      <c r="D3429">
        <v>1</v>
      </c>
      <c r="E3429">
        <v>1</v>
      </c>
      <c r="F3429">
        <v>1</v>
      </c>
    </row>
    <row r="3430" spans="1:6">
      <c r="A3430" t="s">
        <v>281</v>
      </c>
      <c r="B3430" t="s">
        <v>393</v>
      </c>
      <c r="C3430" s="3">
        <v>91149547800</v>
      </c>
      <c r="D3430">
        <v>1</v>
      </c>
      <c r="E3430">
        <v>1</v>
      </c>
      <c r="F3430">
        <v>1</v>
      </c>
    </row>
    <row r="3431" spans="1:6">
      <c r="A3431" t="s">
        <v>281</v>
      </c>
      <c r="B3431" t="s">
        <v>394</v>
      </c>
      <c r="C3431" s="3">
        <v>2.68142570729642</v>
      </c>
      <c r="D3431">
        <v>1</v>
      </c>
      <c r="E3431">
        <v>1</v>
      </c>
      <c r="F3431">
        <v>1</v>
      </c>
    </row>
    <row r="3432" spans="1:6">
      <c r="A3432" t="s">
        <v>281</v>
      </c>
      <c r="B3432" t="s">
        <v>39</v>
      </c>
      <c r="C3432" s="3">
        <v>1.93293933493932</v>
      </c>
      <c r="D3432">
        <v>1</v>
      </c>
      <c r="E3432">
        <v>1</v>
      </c>
      <c r="F3432">
        <v>1</v>
      </c>
    </row>
    <row r="3433" spans="1:6">
      <c r="A3433" t="s">
        <v>281</v>
      </c>
      <c r="B3433" t="s">
        <v>43</v>
      </c>
      <c r="C3433" s="3">
        <v>4.60000000000001</v>
      </c>
      <c r="D3433">
        <v>1</v>
      </c>
      <c r="E3433">
        <v>1</v>
      </c>
      <c r="F3433">
        <v>1</v>
      </c>
    </row>
    <row r="3434" spans="1:6">
      <c r="A3434" t="s">
        <v>281</v>
      </c>
      <c r="B3434" t="s">
        <v>44</v>
      </c>
      <c r="C3434" s="3">
        <v>1.40000000000001</v>
      </c>
      <c r="D3434">
        <v>1</v>
      </c>
      <c r="E3434">
        <v>1</v>
      </c>
      <c r="F3434">
        <v>1</v>
      </c>
    </row>
    <row r="3435" spans="1:6">
      <c r="A3435" t="s">
        <v>281</v>
      </c>
      <c r="B3435" t="s">
        <v>45</v>
      </c>
      <c r="C3435" s="3">
        <v>0.400000000000006</v>
      </c>
      <c r="D3435">
        <v>1</v>
      </c>
      <c r="E3435">
        <v>1</v>
      </c>
      <c r="F3435">
        <v>1</v>
      </c>
    </row>
    <row r="3436" spans="1:6">
      <c r="A3436" t="s">
        <v>281</v>
      </c>
      <c r="B3436" t="s">
        <v>396</v>
      </c>
      <c r="C3436" s="3">
        <v>13.7022473989824</v>
      </c>
      <c r="D3436">
        <v>1</v>
      </c>
      <c r="E3436">
        <v>1</v>
      </c>
      <c r="F3436">
        <v>1</v>
      </c>
    </row>
    <row r="3437" spans="1:6">
      <c r="A3437" t="s">
        <v>282</v>
      </c>
      <c r="B3437" t="s">
        <v>34</v>
      </c>
      <c r="C3437" s="3">
        <v>54.87</v>
      </c>
      <c r="D3437">
        <v>1</v>
      </c>
      <c r="E3437">
        <v>1</v>
      </c>
      <c r="F3437">
        <v>1</v>
      </c>
    </row>
    <row r="3438" spans="1:6">
      <c r="A3438" t="s">
        <v>282</v>
      </c>
      <c r="B3438" t="s">
        <v>35</v>
      </c>
      <c r="C3438" s="3">
        <v>6.8694</v>
      </c>
      <c r="D3438">
        <v>1</v>
      </c>
      <c r="E3438">
        <v>1</v>
      </c>
      <c r="F3438">
        <v>1</v>
      </c>
    </row>
    <row r="3439" spans="1:6">
      <c r="A3439" t="s">
        <v>282</v>
      </c>
      <c r="B3439" t="s">
        <v>36</v>
      </c>
      <c r="C3439" s="3">
        <v>376.923978</v>
      </c>
      <c r="D3439">
        <v>1</v>
      </c>
      <c r="E3439">
        <v>1</v>
      </c>
      <c r="F3439">
        <v>1</v>
      </c>
    </row>
    <row r="3440" spans="1:6">
      <c r="A3440" t="s">
        <v>282</v>
      </c>
      <c r="B3440" t="s">
        <v>40</v>
      </c>
      <c r="C3440" s="3">
        <v>118.7</v>
      </c>
      <c r="D3440">
        <v>1</v>
      </c>
      <c r="E3440">
        <v>1</v>
      </c>
      <c r="F3440">
        <v>1</v>
      </c>
    </row>
    <row r="3441" spans="1:6">
      <c r="A3441" t="s">
        <v>282</v>
      </c>
      <c r="B3441" t="s">
        <v>41</v>
      </c>
      <c r="C3441" s="3">
        <v>107.8</v>
      </c>
      <c r="D3441">
        <v>1</v>
      </c>
      <c r="E3441">
        <v>1</v>
      </c>
      <c r="F3441">
        <v>1</v>
      </c>
    </row>
    <row r="3442" spans="1:6">
      <c r="A3442" t="s">
        <v>282</v>
      </c>
      <c r="B3442" t="s">
        <v>42</v>
      </c>
      <c r="C3442" s="3">
        <v>100.8</v>
      </c>
      <c r="D3442">
        <v>1</v>
      </c>
      <c r="E3442">
        <v>1</v>
      </c>
      <c r="F3442">
        <v>1</v>
      </c>
    </row>
    <row r="3443" spans="1:6">
      <c r="A3443" t="s">
        <v>282</v>
      </c>
      <c r="B3443" t="s">
        <v>46</v>
      </c>
      <c r="C3443" s="3">
        <v>109.9</v>
      </c>
      <c r="D3443">
        <v>1</v>
      </c>
      <c r="E3443">
        <v>1</v>
      </c>
      <c r="F3443">
        <v>1</v>
      </c>
    </row>
    <row r="3444" spans="1:6">
      <c r="A3444" t="s">
        <v>282</v>
      </c>
      <c r="B3444" t="s">
        <v>392</v>
      </c>
      <c r="C3444" s="3">
        <v>31781720323</v>
      </c>
      <c r="D3444">
        <v>1</v>
      </c>
      <c r="E3444">
        <v>1</v>
      </c>
      <c r="F3444">
        <v>1</v>
      </c>
    </row>
    <row r="3445" spans="1:6">
      <c r="A3445" t="s">
        <v>282</v>
      </c>
      <c r="B3445" t="s">
        <v>393</v>
      </c>
      <c r="C3445" s="3">
        <v>86514502735</v>
      </c>
      <c r="D3445">
        <v>1</v>
      </c>
      <c r="E3445">
        <v>1</v>
      </c>
      <c r="F3445">
        <v>1</v>
      </c>
    </row>
    <row r="3446" spans="1:6">
      <c r="A3446" t="s">
        <v>282</v>
      </c>
      <c r="B3446" t="s">
        <v>394</v>
      </c>
      <c r="C3446" s="3">
        <v>2.72214662566238</v>
      </c>
      <c r="D3446">
        <v>1</v>
      </c>
      <c r="E3446">
        <v>1</v>
      </c>
      <c r="F3446">
        <v>1</v>
      </c>
    </row>
    <row r="3447" spans="1:6">
      <c r="A3447" t="s">
        <v>282</v>
      </c>
      <c r="B3447" t="s">
        <v>39</v>
      </c>
      <c r="C3447" s="3">
        <v>0.220332558469463</v>
      </c>
      <c r="D3447">
        <v>1</v>
      </c>
      <c r="E3447">
        <v>1</v>
      </c>
      <c r="F3447">
        <v>1</v>
      </c>
    </row>
    <row r="3448" spans="1:6">
      <c r="A3448" t="s">
        <v>282</v>
      </c>
      <c r="B3448" t="s">
        <v>43</v>
      </c>
      <c r="C3448" s="3">
        <v>4</v>
      </c>
      <c r="D3448">
        <v>1</v>
      </c>
      <c r="E3448">
        <v>1</v>
      </c>
      <c r="F3448">
        <v>1</v>
      </c>
    </row>
    <row r="3449" spans="1:6">
      <c r="A3449" t="s">
        <v>282</v>
      </c>
      <c r="B3449" t="s">
        <v>44</v>
      </c>
      <c r="C3449" s="3">
        <v>0.899999999999991</v>
      </c>
      <c r="D3449">
        <v>1</v>
      </c>
      <c r="E3449">
        <v>1</v>
      </c>
      <c r="F3449">
        <v>1</v>
      </c>
    </row>
    <row r="3450" spans="1:6">
      <c r="A3450" t="s">
        <v>282</v>
      </c>
      <c r="B3450" t="s">
        <v>45</v>
      </c>
      <c r="C3450" s="3">
        <v>-1.7</v>
      </c>
      <c r="D3450">
        <v>1</v>
      </c>
      <c r="E3450">
        <v>1</v>
      </c>
      <c r="F3450">
        <v>1</v>
      </c>
    </row>
    <row r="3451" spans="1:6">
      <c r="A3451" t="s">
        <v>282</v>
      </c>
      <c r="B3451" t="s">
        <v>396</v>
      </c>
      <c r="C3451" s="3">
        <v>1.50721362581464</v>
      </c>
      <c r="D3451">
        <v>1</v>
      </c>
      <c r="E3451">
        <v>1</v>
      </c>
      <c r="F3451">
        <v>1</v>
      </c>
    </row>
    <row r="3452" spans="1:6">
      <c r="A3452" t="s">
        <v>283</v>
      </c>
      <c r="B3452" t="s">
        <v>34</v>
      </c>
      <c r="C3452" s="3">
        <v>51.59</v>
      </c>
      <c r="D3452">
        <v>1</v>
      </c>
      <c r="E3452">
        <v>1</v>
      </c>
      <c r="F3452">
        <v>1</v>
      </c>
    </row>
    <row r="3453" spans="1:6">
      <c r="A3453" t="s">
        <v>283</v>
      </c>
      <c r="B3453" t="s">
        <v>35</v>
      </c>
      <c r="C3453" s="3">
        <v>6.894</v>
      </c>
      <c r="D3453">
        <v>1</v>
      </c>
      <c r="E3453">
        <v>1</v>
      </c>
      <c r="F3453">
        <v>1</v>
      </c>
    </row>
    <row r="3454" spans="1:6">
      <c r="A3454" t="s">
        <v>283</v>
      </c>
      <c r="B3454" t="s">
        <v>36</v>
      </c>
      <c r="C3454" s="3">
        <v>355.66146</v>
      </c>
      <c r="D3454">
        <v>1</v>
      </c>
      <c r="E3454">
        <v>1</v>
      </c>
      <c r="F3454">
        <v>1</v>
      </c>
    </row>
    <row r="3455" spans="1:6">
      <c r="A3455" t="s">
        <v>283</v>
      </c>
      <c r="B3455" t="s">
        <v>40</v>
      </c>
      <c r="C3455" s="3">
        <v>119</v>
      </c>
      <c r="D3455">
        <v>1</v>
      </c>
      <c r="E3455">
        <v>1</v>
      </c>
      <c r="F3455">
        <v>1</v>
      </c>
    </row>
    <row r="3456" spans="1:6">
      <c r="A3456" t="s">
        <v>283</v>
      </c>
      <c r="B3456" t="s">
        <v>41</v>
      </c>
      <c r="C3456" s="3">
        <v>107.6</v>
      </c>
      <c r="D3456">
        <v>1</v>
      </c>
      <c r="E3456">
        <v>1</v>
      </c>
      <c r="F3456">
        <v>1</v>
      </c>
    </row>
    <row r="3457" spans="1:6">
      <c r="A3457" t="s">
        <v>283</v>
      </c>
      <c r="B3457" t="s">
        <v>42</v>
      </c>
      <c r="C3457" s="3">
        <v>100.9</v>
      </c>
      <c r="D3457">
        <v>1</v>
      </c>
      <c r="E3457">
        <v>1</v>
      </c>
      <c r="F3457">
        <v>1</v>
      </c>
    </row>
    <row r="3458" spans="1:6">
      <c r="A3458" t="s">
        <v>283</v>
      </c>
      <c r="B3458" t="s">
        <v>46</v>
      </c>
      <c r="C3458" s="3">
        <v>110</v>
      </c>
      <c r="D3458">
        <v>1</v>
      </c>
      <c r="E3458">
        <v>1</v>
      </c>
      <c r="F3458">
        <v>1</v>
      </c>
    </row>
    <row r="3459" spans="1:6">
      <c r="A3459" t="s">
        <v>283</v>
      </c>
      <c r="B3459" t="s">
        <v>392</v>
      </c>
      <c r="C3459" s="3">
        <v>38949846790</v>
      </c>
      <c r="D3459">
        <v>1</v>
      </c>
      <c r="E3459">
        <v>1</v>
      </c>
      <c r="F3459">
        <v>1</v>
      </c>
    </row>
    <row r="3460" spans="1:6">
      <c r="A3460" t="s">
        <v>283</v>
      </c>
      <c r="B3460" t="s">
        <v>393</v>
      </c>
      <c r="C3460" s="3">
        <v>106414428318</v>
      </c>
      <c r="D3460">
        <v>1</v>
      </c>
      <c r="E3460">
        <v>1</v>
      </c>
      <c r="F3460">
        <v>1</v>
      </c>
    </row>
    <row r="3461" spans="1:6">
      <c r="A3461" t="s">
        <v>283</v>
      </c>
      <c r="B3461" t="s">
        <v>394</v>
      </c>
      <c r="C3461" s="3">
        <v>2.73208849553988</v>
      </c>
      <c r="D3461">
        <v>1</v>
      </c>
      <c r="E3461">
        <v>1</v>
      </c>
      <c r="F3461">
        <v>1</v>
      </c>
    </row>
    <row r="3462" spans="1:6">
      <c r="A3462" t="s">
        <v>283</v>
      </c>
      <c r="B3462" t="s">
        <v>39</v>
      </c>
      <c r="C3462" s="3">
        <v>-5.80641938953363</v>
      </c>
      <c r="D3462">
        <v>1</v>
      </c>
      <c r="E3462">
        <v>1</v>
      </c>
      <c r="F3462">
        <v>1</v>
      </c>
    </row>
    <row r="3463" spans="1:6">
      <c r="A3463" t="s">
        <v>283</v>
      </c>
      <c r="B3463" t="s">
        <v>43</v>
      </c>
      <c r="C3463" s="3">
        <v>0.299999999999997</v>
      </c>
      <c r="D3463">
        <v>1</v>
      </c>
      <c r="E3463">
        <v>1</v>
      </c>
      <c r="F3463">
        <v>1</v>
      </c>
    </row>
    <row r="3464" spans="1:6">
      <c r="A3464" t="s">
        <v>283</v>
      </c>
      <c r="B3464" t="s">
        <v>44</v>
      </c>
      <c r="C3464" s="3">
        <v>-0.200000000000003</v>
      </c>
      <c r="D3464">
        <v>1</v>
      </c>
      <c r="E3464">
        <v>1</v>
      </c>
      <c r="F3464">
        <v>1</v>
      </c>
    </row>
    <row r="3465" spans="1:6">
      <c r="A3465" t="s">
        <v>283</v>
      </c>
      <c r="B3465" t="s">
        <v>45</v>
      </c>
      <c r="C3465" s="3">
        <v>0.100000000000009</v>
      </c>
      <c r="D3465">
        <v>1</v>
      </c>
      <c r="E3465">
        <v>1</v>
      </c>
      <c r="F3465">
        <v>1</v>
      </c>
    </row>
    <row r="3466" spans="1:6">
      <c r="A3466" t="s">
        <v>283</v>
      </c>
      <c r="B3466" t="s">
        <v>396</v>
      </c>
      <c r="C3466" s="3">
        <v>0.36455637380147</v>
      </c>
      <c r="D3466">
        <v>1</v>
      </c>
      <c r="E3466">
        <v>1</v>
      </c>
      <c r="F3466">
        <v>1</v>
      </c>
    </row>
    <row r="3467" spans="1:6">
      <c r="A3467" t="s">
        <v>284</v>
      </c>
      <c r="B3467" t="s">
        <v>34</v>
      </c>
      <c r="C3467" s="3">
        <v>52.31</v>
      </c>
      <c r="D3467">
        <v>1</v>
      </c>
      <c r="E3467">
        <v>1</v>
      </c>
      <c r="F3467">
        <v>1</v>
      </c>
    </row>
    <row r="3468" spans="1:6">
      <c r="A3468" t="s">
        <v>284</v>
      </c>
      <c r="B3468" t="s">
        <v>35</v>
      </c>
      <c r="C3468" s="3">
        <v>6.8876</v>
      </c>
      <c r="D3468">
        <v>1</v>
      </c>
      <c r="E3468">
        <v>1</v>
      </c>
      <c r="F3468">
        <v>1</v>
      </c>
    </row>
    <row r="3469" spans="1:6">
      <c r="A3469" t="s">
        <v>284</v>
      </c>
      <c r="B3469" t="s">
        <v>36</v>
      </c>
      <c r="C3469" s="3">
        <v>360.290356</v>
      </c>
      <c r="D3469">
        <v>1</v>
      </c>
      <c r="E3469">
        <v>1</v>
      </c>
      <c r="F3469">
        <v>1</v>
      </c>
    </row>
    <row r="3470" spans="1:6">
      <c r="A3470" t="s">
        <v>284</v>
      </c>
      <c r="B3470" t="s">
        <v>40</v>
      </c>
      <c r="C3470" s="3">
        <v>117.6</v>
      </c>
      <c r="D3470">
        <v>1</v>
      </c>
      <c r="E3470">
        <v>1</v>
      </c>
      <c r="F3470">
        <v>1</v>
      </c>
    </row>
    <row r="3471" spans="1:6">
      <c r="A3471" t="s">
        <v>284</v>
      </c>
      <c r="B3471" t="s">
        <v>41</v>
      </c>
      <c r="C3471" s="3">
        <v>106.4</v>
      </c>
      <c r="D3471">
        <v>1</v>
      </c>
      <c r="E3471">
        <v>1</v>
      </c>
      <c r="F3471">
        <v>1</v>
      </c>
    </row>
    <row r="3472" spans="1:6">
      <c r="A3472" t="s">
        <v>284</v>
      </c>
      <c r="B3472" t="s">
        <v>42</v>
      </c>
      <c r="C3472" s="3">
        <v>101.2</v>
      </c>
      <c r="D3472">
        <v>1</v>
      </c>
      <c r="E3472">
        <v>1</v>
      </c>
      <c r="F3472">
        <v>1</v>
      </c>
    </row>
    <row r="3473" spans="1:6">
      <c r="A3473" t="s">
        <v>284</v>
      </c>
      <c r="B3473" t="s">
        <v>46</v>
      </c>
      <c r="C3473" s="3">
        <v>109</v>
      </c>
      <c r="D3473">
        <v>1</v>
      </c>
      <c r="E3473">
        <v>1</v>
      </c>
      <c r="F3473">
        <v>1</v>
      </c>
    </row>
    <row r="3474" spans="1:6">
      <c r="A3474" t="s">
        <v>284</v>
      </c>
      <c r="B3474" t="s">
        <v>392</v>
      </c>
      <c r="C3474" s="3">
        <v>34383852835</v>
      </c>
      <c r="D3474">
        <v>1</v>
      </c>
      <c r="E3474">
        <v>1</v>
      </c>
      <c r="F3474">
        <v>1</v>
      </c>
    </row>
    <row r="3475" spans="1:6">
      <c r="A3475" t="s">
        <v>284</v>
      </c>
      <c r="B3475" t="s">
        <v>393</v>
      </c>
      <c r="C3475" s="3">
        <v>91015982813</v>
      </c>
      <c r="D3475">
        <v>1</v>
      </c>
      <c r="E3475">
        <v>1</v>
      </c>
      <c r="F3475">
        <v>1</v>
      </c>
    </row>
    <row r="3476" spans="1:6">
      <c r="A3476" t="s">
        <v>284</v>
      </c>
      <c r="B3476" t="s">
        <v>394</v>
      </c>
      <c r="C3476" s="3">
        <v>2.64705596693204</v>
      </c>
      <c r="D3476">
        <v>1</v>
      </c>
      <c r="E3476">
        <v>1</v>
      </c>
      <c r="F3476">
        <v>1</v>
      </c>
    </row>
    <row r="3477" spans="1:6">
      <c r="A3477" t="s">
        <v>284</v>
      </c>
      <c r="B3477" t="s">
        <v>39</v>
      </c>
      <c r="C3477" s="3">
        <v>1.29309274611812</v>
      </c>
      <c r="D3477">
        <v>1</v>
      </c>
      <c r="E3477">
        <v>1</v>
      </c>
      <c r="F3477">
        <v>1</v>
      </c>
    </row>
    <row r="3478" spans="1:6">
      <c r="A3478" t="s">
        <v>284</v>
      </c>
      <c r="B3478" t="s">
        <v>43</v>
      </c>
      <c r="C3478" s="3">
        <v>-1.40000000000001</v>
      </c>
      <c r="D3478">
        <v>1</v>
      </c>
      <c r="E3478">
        <v>1</v>
      </c>
      <c r="F3478">
        <v>1</v>
      </c>
    </row>
    <row r="3479" spans="1:6">
      <c r="A3479" t="s">
        <v>284</v>
      </c>
      <c r="B3479" t="s">
        <v>44</v>
      </c>
      <c r="C3479" s="3">
        <v>-1.19999999999999</v>
      </c>
      <c r="D3479">
        <v>1</v>
      </c>
      <c r="E3479">
        <v>1</v>
      </c>
      <c r="F3479">
        <v>1</v>
      </c>
    </row>
    <row r="3480" spans="1:6">
      <c r="A3480" t="s">
        <v>284</v>
      </c>
      <c r="B3480" t="s">
        <v>45</v>
      </c>
      <c r="C3480" s="3">
        <v>0.299999999999997</v>
      </c>
      <c r="D3480">
        <v>1</v>
      </c>
      <c r="E3480">
        <v>1</v>
      </c>
      <c r="F3480">
        <v>1</v>
      </c>
    </row>
    <row r="3481" spans="1:6">
      <c r="A3481" t="s">
        <v>284</v>
      </c>
      <c r="B3481" t="s">
        <v>396</v>
      </c>
      <c r="C3481" s="3">
        <v>-3.16182668475236</v>
      </c>
      <c r="D3481">
        <v>1</v>
      </c>
      <c r="E3481">
        <v>1</v>
      </c>
      <c r="F3481">
        <v>1</v>
      </c>
    </row>
    <row r="3482" spans="1:6">
      <c r="A3482" t="s">
        <v>285</v>
      </c>
      <c r="B3482" t="s">
        <v>34</v>
      </c>
      <c r="C3482" s="3">
        <v>50.33</v>
      </c>
      <c r="D3482">
        <v>1</v>
      </c>
      <c r="E3482">
        <v>1</v>
      </c>
      <c r="F3482">
        <v>1</v>
      </c>
    </row>
    <row r="3483" spans="1:6">
      <c r="A3483" t="s">
        <v>285</v>
      </c>
      <c r="B3483" t="s">
        <v>35</v>
      </c>
      <c r="C3483" s="3">
        <v>6.8843</v>
      </c>
      <c r="D3483">
        <v>1</v>
      </c>
      <c r="E3483">
        <v>1</v>
      </c>
      <c r="F3483">
        <v>1</v>
      </c>
    </row>
    <row r="3484" spans="1:6">
      <c r="A3484" t="s">
        <v>285</v>
      </c>
      <c r="B3484" t="s">
        <v>36</v>
      </c>
      <c r="C3484" s="3">
        <v>346.486819</v>
      </c>
      <c r="D3484">
        <v>1</v>
      </c>
      <c r="E3484">
        <v>1</v>
      </c>
      <c r="F3484">
        <v>1</v>
      </c>
    </row>
    <row r="3485" spans="1:6">
      <c r="A3485" t="s">
        <v>285</v>
      </c>
      <c r="B3485" t="s">
        <v>40</v>
      </c>
      <c r="C3485" s="3">
        <v>115.8</v>
      </c>
      <c r="D3485">
        <v>1</v>
      </c>
      <c r="E3485">
        <v>1</v>
      </c>
      <c r="F3485">
        <v>1</v>
      </c>
    </row>
    <row r="3486" spans="1:6">
      <c r="A3486" t="s">
        <v>285</v>
      </c>
      <c r="B3486" t="s">
        <v>41</v>
      </c>
      <c r="C3486" s="3">
        <v>105.5</v>
      </c>
      <c r="D3486">
        <v>1</v>
      </c>
      <c r="E3486">
        <v>1</v>
      </c>
      <c r="F3486">
        <v>1</v>
      </c>
    </row>
    <row r="3487" spans="1:6">
      <c r="A3487" t="s">
        <v>285</v>
      </c>
      <c r="B3487" t="s">
        <v>42</v>
      </c>
      <c r="C3487" s="3">
        <v>101.5</v>
      </c>
      <c r="D3487">
        <v>1</v>
      </c>
      <c r="E3487">
        <v>1</v>
      </c>
      <c r="F3487">
        <v>1</v>
      </c>
    </row>
    <row r="3488" spans="1:6">
      <c r="A3488" t="s">
        <v>285</v>
      </c>
      <c r="B3488" t="s">
        <v>46</v>
      </c>
      <c r="C3488" s="3">
        <v>108</v>
      </c>
      <c r="D3488">
        <v>1</v>
      </c>
      <c r="E3488">
        <v>1</v>
      </c>
      <c r="F3488">
        <v>1</v>
      </c>
    </row>
    <row r="3489" spans="1:6">
      <c r="A3489" t="s">
        <v>285</v>
      </c>
      <c r="B3489" t="s">
        <v>392</v>
      </c>
      <c r="C3489" s="3">
        <v>37195782597</v>
      </c>
      <c r="D3489">
        <v>1</v>
      </c>
      <c r="E3489">
        <v>1</v>
      </c>
      <c r="F3489">
        <v>1</v>
      </c>
    </row>
    <row r="3490" spans="1:6">
      <c r="A3490" t="s">
        <v>285</v>
      </c>
      <c r="B3490" t="s">
        <v>393</v>
      </c>
      <c r="C3490" s="3">
        <v>97495081944</v>
      </c>
      <c r="D3490">
        <v>1</v>
      </c>
      <c r="E3490">
        <v>1</v>
      </c>
      <c r="F3490">
        <v>1</v>
      </c>
    </row>
    <row r="3491" spans="1:6">
      <c r="A3491" t="s">
        <v>285</v>
      </c>
      <c r="B3491" t="s">
        <v>394</v>
      </c>
      <c r="C3491" s="3">
        <v>2.62113269669082</v>
      </c>
      <c r="D3491">
        <v>1</v>
      </c>
      <c r="E3491">
        <v>1</v>
      </c>
      <c r="F3491">
        <v>1</v>
      </c>
    </row>
    <row r="3492" spans="1:6">
      <c r="A3492" t="s">
        <v>285</v>
      </c>
      <c r="B3492" t="s">
        <v>39</v>
      </c>
      <c r="C3492" s="3">
        <v>-3.90654733100506</v>
      </c>
      <c r="D3492">
        <v>1</v>
      </c>
      <c r="E3492">
        <v>1</v>
      </c>
      <c r="F3492">
        <v>1</v>
      </c>
    </row>
    <row r="3493" spans="1:6">
      <c r="A3493" t="s">
        <v>285</v>
      </c>
      <c r="B3493" t="s">
        <v>43</v>
      </c>
      <c r="C3493" s="3">
        <v>-1.8</v>
      </c>
      <c r="D3493">
        <v>1</v>
      </c>
      <c r="E3493">
        <v>1</v>
      </c>
      <c r="F3493">
        <v>1</v>
      </c>
    </row>
    <row r="3494" spans="1:6">
      <c r="A3494" t="s">
        <v>285</v>
      </c>
      <c r="B3494" t="s">
        <v>44</v>
      </c>
      <c r="C3494" s="3">
        <v>-0.900000000000006</v>
      </c>
      <c r="D3494">
        <v>1</v>
      </c>
      <c r="E3494">
        <v>1</v>
      </c>
      <c r="F3494">
        <v>1</v>
      </c>
    </row>
    <row r="3495" spans="1:6">
      <c r="A3495" t="s">
        <v>285</v>
      </c>
      <c r="B3495" t="s">
        <v>45</v>
      </c>
      <c r="C3495" s="3">
        <v>0.299999999999997</v>
      </c>
      <c r="D3495">
        <v>1</v>
      </c>
      <c r="E3495">
        <v>1</v>
      </c>
      <c r="F3495">
        <v>1</v>
      </c>
    </row>
    <row r="3496" spans="1:6">
      <c r="A3496" t="s">
        <v>285</v>
      </c>
      <c r="B3496" t="s">
        <v>396</v>
      </c>
      <c r="C3496" s="3">
        <v>-0.984151522666508</v>
      </c>
      <c r="D3496">
        <v>1</v>
      </c>
      <c r="E3496">
        <v>1</v>
      </c>
      <c r="F3496">
        <v>1</v>
      </c>
    </row>
    <row r="3497" spans="1:6">
      <c r="A3497" t="s">
        <v>286</v>
      </c>
      <c r="B3497" t="s">
        <v>34</v>
      </c>
      <c r="C3497" s="3">
        <v>46.37</v>
      </c>
      <c r="D3497">
        <v>1</v>
      </c>
      <c r="E3497">
        <v>1</v>
      </c>
      <c r="F3497">
        <v>1</v>
      </c>
    </row>
    <row r="3498" spans="1:6">
      <c r="A3498" t="s">
        <v>286</v>
      </c>
      <c r="B3498" t="s">
        <v>35</v>
      </c>
      <c r="C3498" s="3">
        <v>6.8066</v>
      </c>
      <c r="D3498">
        <v>1</v>
      </c>
      <c r="E3498">
        <v>1</v>
      </c>
      <c r="F3498">
        <v>1</v>
      </c>
    </row>
    <row r="3499" spans="1:6">
      <c r="A3499" t="s">
        <v>286</v>
      </c>
      <c r="B3499" t="s">
        <v>36</v>
      </c>
      <c r="C3499" s="3">
        <v>315.622042</v>
      </c>
      <c r="D3499">
        <v>1</v>
      </c>
      <c r="E3499">
        <v>1</v>
      </c>
      <c r="F3499">
        <v>1</v>
      </c>
    </row>
    <row r="3500" spans="1:6">
      <c r="A3500" t="s">
        <v>286</v>
      </c>
      <c r="B3500" t="s">
        <v>40</v>
      </c>
      <c r="C3500" s="3">
        <v>112.5</v>
      </c>
      <c r="D3500">
        <v>1</v>
      </c>
      <c r="E3500">
        <v>1</v>
      </c>
      <c r="F3500">
        <v>1</v>
      </c>
    </row>
    <row r="3501" spans="1:6">
      <c r="A3501" t="s">
        <v>286</v>
      </c>
      <c r="B3501" t="s">
        <v>41</v>
      </c>
      <c r="C3501" s="3">
        <v>105.5</v>
      </c>
      <c r="D3501">
        <v>1</v>
      </c>
      <c r="E3501">
        <v>1</v>
      </c>
      <c r="F3501">
        <v>1</v>
      </c>
    </row>
    <row r="3502" spans="1:6">
      <c r="A3502" t="s">
        <v>286</v>
      </c>
      <c r="B3502" t="s">
        <v>42</v>
      </c>
      <c r="C3502" s="3">
        <v>101.5</v>
      </c>
      <c r="D3502">
        <v>1</v>
      </c>
      <c r="E3502">
        <v>1</v>
      </c>
      <c r="F3502">
        <v>1</v>
      </c>
    </row>
    <row r="3503" spans="1:6">
      <c r="A3503" t="s">
        <v>286</v>
      </c>
      <c r="B3503" t="s">
        <v>46</v>
      </c>
      <c r="C3503" s="3">
        <v>107.3</v>
      </c>
      <c r="D3503">
        <v>1</v>
      </c>
      <c r="E3503">
        <v>1</v>
      </c>
      <c r="F3503">
        <v>1</v>
      </c>
    </row>
    <row r="3504" spans="1:6">
      <c r="A3504" t="s">
        <v>286</v>
      </c>
      <c r="B3504" t="s">
        <v>392</v>
      </c>
      <c r="C3504" s="3">
        <v>36102328773</v>
      </c>
      <c r="D3504">
        <v>1</v>
      </c>
      <c r="E3504">
        <v>1</v>
      </c>
      <c r="F3504">
        <v>1</v>
      </c>
    </row>
    <row r="3505" spans="1:6">
      <c r="A3505" t="s">
        <v>286</v>
      </c>
      <c r="B3505" t="s">
        <v>393</v>
      </c>
      <c r="C3505" s="3">
        <v>90875500436</v>
      </c>
      <c r="D3505">
        <v>1</v>
      </c>
      <c r="E3505">
        <v>1</v>
      </c>
      <c r="F3505">
        <v>1</v>
      </c>
    </row>
    <row r="3506" spans="1:6">
      <c r="A3506" t="s">
        <v>286</v>
      </c>
      <c r="B3506" t="s">
        <v>394</v>
      </c>
      <c r="C3506" s="3">
        <v>2.51716450225126</v>
      </c>
      <c r="D3506">
        <v>1</v>
      </c>
      <c r="E3506">
        <v>1</v>
      </c>
      <c r="F3506">
        <v>1</v>
      </c>
    </row>
    <row r="3507" spans="1:6">
      <c r="A3507" t="s">
        <v>286</v>
      </c>
      <c r="B3507" t="s">
        <v>39</v>
      </c>
      <c r="C3507" s="3">
        <v>-9.3299349397843</v>
      </c>
      <c r="D3507">
        <v>1</v>
      </c>
      <c r="E3507">
        <v>1</v>
      </c>
      <c r="F3507">
        <v>1</v>
      </c>
    </row>
    <row r="3508" spans="1:6">
      <c r="A3508" t="s">
        <v>286</v>
      </c>
      <c r="B3508" t="s">
        <v>43</v>
      </c>
      <c r="C3508" s="3">
        <v>-3.3</v>
      </c>
      <c r="D3508">
        <v>1</v>
      </c>
      <c r="E3508">
        <v>1</v>
      </c>
      <c r="F3508">
        <v>1</v>
      </c>
    </row>
    <row r="3509" spans="1:6">
      <c r="A3509" t="s">
        <v>286</v>
      </c>
      <c r="B3509" t="s">
        <v>44</v>
      </c>
      <c r="C3509" s="3">
        <v>0</v>
      </c>
      <c r="D3509">
        <v>1</v>
      </c>
      <c r="E3509">
        <v>1</v>
      </c>
      <c r="F3509">
        <v>1</v>
      </c>
    </row>
    <row r="3510" spans="1:6">
      <c r="A3510" t="s">
        <v>286</v>
      </c>
      <c r="B3510" t="s">
        <v>45</v>
      </c>
      <c r="C3510" s="3">
        <v>0</v>
      </c>
      <c r="D3510">
        <v>1</v>
      </c>
      <c r="E3510">
        <v>1</v>
      </c>
      <c r="F3510">
        <v>1</v>
      </c>
    </row>
    <row r="3511" spans="1:6">
      <c r="A3511" t="s">
        <v>286</v>
      </c>
      <c r="B3511" t="s">
        <v>396</v>
      </c>
      <c r="C3511" s="3">
        <v>-4.04734808338479</v>
      </c>
      <c r="D3511">
        <v>1</v>
      </c>
      <c r="E3511">
        <v>1</v>
      </c>
      <c r="F3511">
        <v>1</v>
      </c>
    </row>
    <row r="3512" spans="1:6">
      <c r="A3512" t="s">
        <v>287</v>
      </c>
      <c r="B3512" t="s">
        <v>34</v>
      </c>
      <c r="C3512" s="3">
        <v>48.48</v>
      </c>
      <c r="D3512">
        <v>1</v>
      </c>
      <c r="E3512">
        <v>1</v>
      </c>
      <c r="F3512">
        <v>1</v>
      </c>
    </row>
    <row r="3513" spans="1:6">
      <c r="A3513" t="s">
        <v>287</v>
      </c>
      <c r="B3513" t="s">
        <v>35</v>
      </c>
      <c r="C3513" s="3">
        <v>6.7694</v>
      </c>
      <c r="D3513">
        <v>1</v>
      </c>
      <c r="E3513">
        <v>1</v>
      </c>
      <c r="F3513">
        <v>1</v>
      </c>
    </row>
    <row r="3514" spans="1:6">
      <c r="A3514" t="s">
        <v>287</v>
      </c>
      <c r="B3514" t="s">
        <v>36</v>
      </c>
      <c r="C3514" s="3">
        <v>328.180512</v>
      </c>
      <c r="D3514">
        <v>1</v>
      </c>
      <c r="E3514">
        <v>1</v>
      </c>
      <c r="F3514">
        <v>1</v>
      </c>
    </row>
    <row r="3515" spans="1:6">
      <c r="A3515" t="s">
        <v>287</v>
      </c>
      <c r="B3515" t="s">
        <v>40</v>
      </c>
      <c r="C3515" s="3">
        <v>110.7</v>
      </c>
      <c r="D3515">
        <v>1</v>
      </c>
      <c r="E3515">
        <v>1</v>
      </c>
      <c r="F3515">
        <v>1</v>
      </c>
    </row>
    <row r="3516" spans="1:6">
      <c r="A3516" t="s">
        <v>287</v>
      </c>
      <c r="B3516" t="s">
        <v>41</v>
      </c>
      <c r="C3516" s="3">
        <v>105.5</v>
      </c>
      <c r="D3516">
        <v>1</v>
      </c>
      <c r="E3516">
        <v>1</v>
      </c>
      <c r="F3516">
        <v>1</v>
      </c>
    </row>
    <row r="3517" spans="1:6">
      <c r="A3517" t="s">
        <v>287</v>
      </c>
      <c r="B3517" t="s">
        <v>42</v>
      </c>
      <c r="C3517" s="3">
        <v>101.4</v>
      </c>
      <c r="D3517">
        <v>1</v>
      </c>
      <c r="E3517">
        <v>1</v>
      </c>
      <c r="F3517">
        <v>1</v>
      </c>
    </row>
    <row r="3518" spans="1:6">
      <c r="A3518" t="s">
        <v>287</v>
      </c>
      <c r="B3518" t="s">
        <v>46</v>
      </c>
      <c r="C3518" s="3">
        <v>107</v>
      </c>
      <c r="D3518">
        <v>1</v>
      </c>
      <c r="E3518">
        <v>1</v>
      </c>
      <c r="F3518">
        <v>1</v>
      </c>
    </row>
    <row r="3519" spans="1:6">
      <c r="A3519" t="s">
        <v>287</v>
      </c>
      <c r="B3519" t="s">
        <v>392</v>
      </c>
      <c r="C3519" s="3">
        <v>34683473554</v>
      </c>
      <c r="D3519">
        <v>1</v>
      </c>
      <c r="E3519">
        <v>1</v>
      </c>
      <c r="F3519">
        <v>1</v>
      </c>
    </row>
    <row r="3520" spans="1:6">
      <c r="A3520" t="s">
        <v>287</v>
      </c>
      <c r="B3520" t="s">
        <v>393</v>
      </c>
      <c r="C3520" s="3">
        <v>82885518103</v>
      </c>
      <c r="D3520">
        <v>1</v>
      </c>
      <c r="E3520">
        <v>1</v>
      </c>
      <c r="F3520">
        <v>1</v>
      </c>
    </row>
    <row r="3521" spans="1:6">
      <c r="A3521" t="s">
        <v>287</v>
      </c>
      <c r="B3521" t="s">
        <v>394</v>
      </c>
      <c r="C3521" s="3">
        <v>2.38976981281741</v>
      </c>
      <c r="D3521">
        <v>1</v>
      </c>
      <c r="E3521">
        <v>1</v>
      </c>
      <c r="F3521">
        <v>1</v>
      </c>
    </row>
    <row r="3522" spans="1:6">
      <c r="A3522" t="s">
        <v>287</v>
      </c>
      <c r="B3522" t="s">
        <v>39</v>
      </c>
      <c r="C3522" s="3">
        <v>3.90183703607141</v>
      </c>
      <c r="D3522">
        <v>1</v>
      </c>
      <c r="E3522">
        <v>1</v>
      </c>
      <c r="F3522">
        <v>1</v>
      </c>
    </row>
    <row r="3523" spans="1:6">
      <c r="A3523" t="s">
        <v>287</v>
      </c>
      <c r="B3523" t="s">
        <v>43</v>
      </c>
      <c r="C3523" s="3">
        <v>-1.8</v>
      </c>
      <c r="D3523">
        <v>1</v>
      </c>
      <c r="E3523">
        <v>1</v>
      </c>
      <c r="F3523">
        <v>1</v>
      </c>
    </row>
    <row r="3524" spans="1:6">
      <c r="A3524" t="s">
        <v>287</v>
      </c>
      <c r="B3524" t="s">
        <v>44</v>
      </c>
      <c r="C3524" s="3">
        <v>0</v>
      </c>
      <c r="D3524">
        <v>1</v>
      </c>
      <c r="E3524">
        <v>1</v>
      </c>
      <c r="F3524">
        <v>1</v>
      </c>
    </row>
    <row r="3525" spans="1:6">
      <c r="A3525" t="s">
        <v>287</v>
      </c>
      <c r="B3525" t="s">
        <v>45</v>
      </c>
      <c r="C3525" s="3">
        <v>-0.0999999999999943</v>
      </c>
      <c r="D3525">
        <v>1</v>
      </c>
      <c r="E3525">
        <v>1</v>
      </c>
      <c r="F3525">
        <v>1</v>
      </c>
    </row>
    <row r="3526" spans="1:6">
      <c r="A3526" t="s">
        <v>287</v>
      </c>
      <c r="B3526" t="s">
        <v>396</v>
      </c>
      <c r="C3526" s="3">
        <v>-5.19360218176431</v>
      </c>
      <c r="D3526">
        <v>1</v>
      </c>
      <c r="E3526">
        <v>1</v>
      </c>
      <c r="F3526">
        <v>1</v>
      </c>
    </row>
    <row r="3527" spans="1:6">
      <c r="A3527" t="s">
        <v>288</v>
      </c>
      <c r="B3527" t="s">
        <v>34</v>
      </c>
      <c r="C3527" s="3">
        <v>51.7</v>
      </c>
      <c r="D3527">
        <v>1</v>
      </c>
      <c r="E3527">
        <v>1</v>
      </c>
      <c r="F3527">
        <v>1</v>
      </c>
    </row>
    <row r="3528" spans="1:6">
      <c r="A3528" t="s">
        <v>288</v>
      </c>
      <c r="B3528" t="s">
        <v>35</v>
      </c>
      <c r="C3528" s="3">
        <v>6.667</v>
      </c>
      <c r="D3528">
        <v>1</v>
      </c>
      <c r="E3528">
        <v>1</v>
      </c>
      <c r="F3528">
        <v>1</v>
      </c>
    </row>
    <row r="3529" spans="1:6">
      <c r="A3529" t="s">
        <v>288</v>
      </c>
      <c r="B3529" t="s">
        <v>36</v>
      </c>
      <c r="C3529" s="3">
        <v>344.6839</v>
      </c>
      <c r="D3529">
        <v>1</v>
      </c>
      <c r="E3529">
        <v>1</v>
      </c>
      <c r="F3529">
        <v>1</v>
      </c>
    </row>
    <row r="3530" spans="1:6">
      <c r="A3530" t="s">
        <v>288</v>
      </c>
      <c r="B3530" t="s">
        <v>40</v>
      </c>
      <c r="C3530" s="3">
        <v>111.8</v>
      </c>
      <c r="D3530">
        <v>1</v>
      </c>
      <c r="E3530">
        <v>1</v>
      </c>
      <c r="F3530">
        <v>1</v>
      </c>
    </row>
    <row r="3531" spans="1:6">
      <c r="A3531" t="s">
        <v>288</v>
      </c>
      <c r="B3531" t="s">
        <v>41</v>
      </c>
      <c r="C3531" s="3">
        <v>106.3</v>
      </c>
      <c r="D3531">
        <v>1</v>
      </c>
      <c r="E3531">
        <v>1</v>
      </c>
      <c r="F3531">
        <v>1</v>
      </c>
    </row>
    <row r="3532" spans="1:6">
      <c r="A3532" t="s">
        <v>288</v>
      </c>
      <c r="B3532" t="s">
        <v>42</v>
      </c>
      <c r="C3532" s="3">
        <v>101.8</v>
      </c>
      <c r="D3532">
        <v>1</v>
      </c>
      <c r="E3532">
        <v>1</v>
      </c>
      <c r="F3532">
        <v>1</v>
      </c>
    </row>
    <row r="3533" spans="1:6">
      <c r="A3533" t="s">
        <v>288</v>
      </c>
      <c r="B3533" t="s">
        <v>46</v>
      </c>
      <c r="C3533" s="3">
        <v>107.7</v>
      </c>
      <c r="D3533">
        <v>1</v>
      </c>
      <c r="E3533">
        <v>1</v>
      </c>
      <c r="F3533">
        <v>1</v>
      </c>
    </row>
    <row r="3534" spans="1:6">
      <c r="A3534" t="s">
        <v>288</v>
      </c>
      <c r="B3534" t="s">
        <v>392</v>
      </c>
      <c r="C3534" s="3">
        <v>33819610849</v>
      </c>
      <c r="D3534">
        <v>1</v>
      </c>
      <c r="E3534">
        <v>1</v>
      </c>
      <c r="F3534">
        <v>1</v>
      </c>
    </row>
    <row r="3535" spans="1:6">
      <c r="A3535" t="s">
        <v>288</v>
      </c>
      <c r="B3535" t="s">
        <v>393</v>
      </c>
      <c r="C3535" s="3">
        <v>82142545681</v>
      </c>
      <c r="D3535">
        <v>1</v>
      </c>
      <c r="E3535">
        <v>1</v>
      </c>
      <c r="F3535">
        <v>1</v>
      </c>
    </row>
    <row r="3536" spans="1:6">
      <c r="A3536" t="s">
        <v>288</v>
      </c>
      <c r="B3536" t="s">
        <v>394</v>
      </c>
      <c r="C3536" s="3">
        <v>2.4288436093412</v>
      </c>
      <c r="D3536">
        <v>1</v>
      </c>
      <c r="E3536">
        <v>1</v>
      </c>
      <c r="F3536">
        <v>1</v>
      </c>
    </row>
    <row r="3537" spans="1:6">
      <c r="A3537" t="s">
        <v>288</v>
      </c>
      <c r="B3537" t="s">
        <v>39</v>
      </c>
      <c r="C3537" s="3">
        <v>4.90639666850725</v>
      </c>
      <c r="D3537">
        <v>1</v>
      </c>
      <c r="E3537">
        <v>1</v>
      </c>
      <c r="F3537">
        <v>1</v>
      </c>
    </row>
    <row r="3538" spans="1:6">
      <c r="A3538" t="s">
        <v>288</v>
      </c>
      <c r="B3538" t="s">
        <v>43</v>
      </c>
      <c r="C3538" s="3">
        <v>1.09999999999999</v>
      </c>
      <c r="D3538">
        <v>1</v>
      </c>
      <c r="E3538">
        <v>1</v>
      </c>
      <c r="F3538">
        <v>1</v>
      </c>
    </row>
    <row r="3539" spans="1:6">
      <c r="A3539" t="s">
        <v>288</v>
      </c>
      <c r="B3539" t="s">
        <v>44</v>
      </c>
      <c r="C3539" s="3">
        <v>0.799999999999997</v>
      </c>
      <c r="D3539">
        <v>1</v>
      </c>
      <c r="E3539">
        <v>1</v>
      </c>
      <c r="F3539">
        <v>1</v>
      </c>
    </row>
    <row r="3540" spans="1:6">
      <c r="A3540" t="s">
        <v>288</v>
      </c>
      <c r="B3540" t="s">
        <v>45</v>
      </c>
      <c r="C3540" s="3">
        <v>0.399999999999991</v>
      </c>
      <c r="D3540">
        <v>1</v>
      </c>
      <c r="E3540">
        <v>1</v>
      </c>
      <c r="F3540">
        <v>1</v>
      </c>
    </row>
    <row r="3541" spans="1:6">
      <c r="A3541" t="s">
        <v>288</v>
      </c>
      <c r="B3541" t="s">
        <v>396</v>
      </c>
      <c r="C3541" s="3">
        <v>1.62182144792853</v>
      </c>
      <c r="D3541">
        <v>1</v>
      </c>
      <c r="E3541">
        <v>1</v>
      </c>
      <c r="F3541">
        <v>1</v>
      </c>
    </row>
    <row r="3542" spans="1:6">
      <c r="A3542" t="s">
        <v>289</v>
      </c>
      <c r="B3542" t="s">
        <v>34</v>
      </c>
      <c r="C3542" s="3">
        <v>56.15</v>
      </c>
      <c r="D3542">
        <v>1</v>
      </c>
      <c r="E3542">
        <v>1</v>
      </c>
      <c r="F3542">
        <v>1</v>
      </c>
    </row>
    <row r="3543" spans="1:6">
      <c r="A3543" t="s">
        <v>289</v>
      </c>
      <c r="B3543" t="s">
        <v>35</v>
      </c>
      <c r="C3543" s="3">
        <v>6.569</v>
      </c>
      <c r="D3543">
        <v>1</v>
      </c>
      <c r="E3543">
        <v>1</v>
      </c>
      <c r="F3543">
        <v>1</v>
      </c>
    </row>
    <row r="3544" spans="1:6">
      <c r="A3544" t="s">
        <v>289</v>
      </c>
      <c r="B3544" t="s">
        <v>36</v>
      </c>
      <c r="C3544" s="3">
        <v>368.84935</v>
      </c>
      <c r="D3544">
        <v>1</v>
      </c>
      <c r="E3544">
        <v>1</v>
      </c>
      <c r="F3544">
        <v>1</v>
      </c>
    </row>
    <row r="3545" spans="1:6">
      <c r="A3545" t="s">
        <v>289</v>
      </c>
      <c r="B3545" t="s">
        <v>40</v>
      </c>
      <c r="C3545" s="3">
        <v>111.9</v>
      </c>
      <c r="D3545">
        <v>1</v>
      </c>
      <c r="E3545">
        <v>1</v>
      </c>
      <c r="F3545">
        <v>1</v>
      </c>
    </row>
    <row r="3546" spans="1:6">
      <c r="A3546" t="s">
        <v>289</v>
      </c>
      <c r="B3546" t="s">
        <v>41</v>
      </c>
      <c r="C3546" s="3">
        <v>106.9</v>
      </c>
      <c r="D3546">
        <v>1</v>
      </c>
      <c r="E3546">
        <v>1</v>
      </c>
      <c r="F3546">
        <v>1</v>
      </c>
    </row>
    <row r="3547" spans="1:6">
      <c r="A3547" t="s">
        <v>289</v>
      </c>
      <c r="B3547" t="s">
        <v>42</v>
      </c>
      <c r="C3547" s="3">
        <v>101.6</v>
      </c>
      <c r="D3547">
        <v>1</v>
      </c>
      <c r="E3547">
        <v>1</v>
      </c>
      <c r="F3547">
        <v>1</v>
      </c>
    </row>
    <row r="3548" spans="1:6">
      <c r="A3548" t="s">
        <v>289</v>
      </c>
      <c r="B3548" t="s">
        <v>46</v>
      </c>
      <c r="C3548" s="3">
        <v>108.5</v>
      </c>
      <c r="D3548">
        <v>1</v>
      </c>
      <c r="E3548">
        <v>1</v>
      </c>
      <c r="F3548">
        <v>1</v>
      </c>
    </row>
    <row r="3549" spans="1:6">
      <c r="A3549" t="s">
        <v>289</v>
      </c>
      <c r="B3549" t="s">
        <v>392</v>
      </c>
      <c r="C3549" s="3">
        <v>36889589913</v>
      </c>
      <c r="D3549">
        <v>1</v>
      </c>
      <c r="E3549">
        <v>1</v>
      </c>
      <c r="F3549">
        <v>1</v>
      </c>
    </row>
    <row r="3550" spans="1:6">
      <c r="A3550" t="s">
        <v>289</v>
      </c>
      <c r="B3550" t="s">
        <v>393</v>
      </c>
      <c r="C3550" s="3">
        <v>94130914214</v>
      </c>
      <c r="D3550">
        <v>1</v>
      </c>
      <c r="E3550">
        <v>1</v>
      </c>
      <c r="F3550">
        <v>1</v>
      </c>
    </row>
    <row r="3551" spans="1:6">
      <c r="A3551" t="s">
        <v>289</v>
      </c>
      <c r="B3551" t="s">
        <v>394</v>
      </c>
      <c r="C3551" s="3">
        <v>2.55169315885585</v>
      </c>
      <c r="D3551">
        <v>1</v>
      </c>
      <c r="E3551">
        <v>1</v>
      </c>
      <c r="F3551">
        <v>1</v>
      </c>
    </row>
    <row r="3552" spans="1:6">
      <c r="A3552" t="s">
        <v>289</v>
      </c>
      <c r="B3552" t="s">
        <v>39</v>
      </c>
      <c r="C3552" s="3">
        <v>6.77605299444818</v>
      </c>
      <c r="D3552">
        <v>1</v>
      </c>
      <c r="E3552">
        <v>1</v>
      </c>
      <c r="F3552">
        <v>1</v>
      </c>
    </row>
    <row r="3553" spans="1:6">
      <c r="A3553" t="s">
        <v>289</v>
      </c>
      <c r="B3553" t="s">
        <v>43</v>
      </c>
      <c r="C3553" s="3">
        <v>0.100000000000009</v>
      </c>
      <c r="D3553">
        <v>1</v>
      </c>
      <c r="E3553">
        <v>1</v>
      </c>
      <c r="F3553">
        <v>1</v>
      </c>
    </row>
    <row r="3554" spans="1:6">
      <c r="A3554" t="s">
        <v>289</v>
      </c>
      <c r="B3554" t="s">
        <v>44</v>
      </c>
      <c r="C3554" s="3">
        <v>0.600000000000009</v>
      </c>
      <c r="D3554">
        <v>1</v>
      </c>
      <c r="E3554">
        <v>1</v>
      </c>
      <c r="F3554">
        <v>1</v>
      </c>
    </row>
    <row r="3555" spans="1:6">
      <c r="A3555" t="s">
        <v>289</v>
      </c>
      <c r="B3555" t="s">
        <v>45</v>
      </c>
      <c r="C3555" s="3">
        <v>-0.200000000000003</v>
      </c>
      <c r="D3555">
        <v>1</v>
      </c>
      <c r="E3555">
        <v>1</v>
      </c>
      <c r="F3555">
        <v>1</v>
      </c>
    </row>
    <row r="3556" spans="1:6">
      <c r="A3556" t="s">
        <v>289</v>
      </c>
      <c r="B3556" t="s">
        <v>396</v>
      </c>
      <c r="C3556" s="3">
        <v>4.93418595399735</v>
      </c>
      <c r="D3556">
        <v>1</v>
      </c>
      <c r="E3556">
        <v>1</v>
      </c>
      <c r="F3556">
        <v>1</v>
      </c>
    </row>
    <row r="3557" spans="1:6">
      <c r="A3557" t="s">
        <v>290</v>
      </c>
      <c r="B3557" t="s">
        <v>34</v>
      </c>
      <c r="C3557" s="3">
        <v>57.51</v>
      </c>
      <c r="D3557">
        <v>1</v>
      </c>
      <c r="E3557">
        <v>1</v>
      </c>
      <c r="F3557">
        <v>1</v>
      </c>
    </row>
    <row r="3558" spans="1:6">
      <c r="A3558" t="s">
        <v>290</v>
      </c>
      <c r="B3558" t="s">
        <v>35</v>
      </c>
      <c r="C3558" s="3">
        <v>6.6254</v>
      </c>
      <c r="D3558">
        <v>1</v>
      </c>
      <c r="E3558">
        <v>1</v>
      </c>
      <c r="F3558">
        <v>1</v>
      </c>
    </row>
    <row r="3559" spans="1:6">
      <c r="A3559" t="s">
        <v>290</v>
      </c>
      <c r="B3559" t="s">
        <v>36</v>
      </c>
      <c r="C3559" s="3">
        <v>381.026754</v>
      </c>
      <c r="D3559">
        <v>1</v>
      </c>
      <c r="E3559">
        <v>1</v>
      </c>
      <c r="F3559">
        <v>1</v>
      </c>
    </row>
    <row r="3560" spans="1:6">
      <c r="A3560" t="s">
        <v>290</v>
      </c>
      <c r="B3560" t="s">
        <v>40</v>
      </c>
      <c r="C3560" s="3">
        <v>110.6</v>
      </c>
      <c r="D3560">
        <v>1</v>
      </c>
      <c r="E3560">
        <v>1</v>
      </c>
      <c r="F3560">
        <v>1</v>
      </c>
    </row>
    <row r="3561" spans="1:6">
      <c r="A3561" t="s">
        <v>290</v>
      </c>
      <c r="B3561" t="s">
        <v>41</v>
      </c>
      <c r="C3561" s="3">
        <v>106.9</v>
      </c>
      <c r="D3561">
        <v>1</v>
      </c>
      <c r="E3561">
        <v>1</v>
      </c>
      <c r="F3561">
        <v>1</v>
      </c>
    </row>
    <row r="3562" spans="1:6">
      <c r="A3562" t="s">
        <v>290</v>
      </c>
      <c r="B3562" t="s">
        <v>42</v>
      </c>
      <c r="C3562" s="3">
        <v>101.9</v>
      </c>
      <c r="D3562">
        <v>1</v>
      </c>
      <c r="E3562">
        <v>1</v>
      </c>
      <c r="F3562">
        <v>1</v>
      </c>
    </row>
    <row r="3563" spans="1:6">
      <c r="A3563" t="s">
        <v>290</v>
      </c>
      <c r="B3563" t="s">
        <v>46</v>
      </c>
      <c r="C3563" s="3">
        <v>108.4</v>
      </c>
      <c r="D3563">
        <v>1</v>
      </c>
      <c r="E3563">
        <v>1</v>
      </c>
      <c r="F3563">
        <v>1</v>
      </c>
    </row>
    <row r="3564" spans="1:6">
      <c r="A3564" t="s">
        <v>290</v>
      </c>
      <c r="B3564" t="s">
        <v>392</v>
      </c>
      <c r="C3564" s="3">
        <v>31028693482</v>
      </c>
      <c r="D3564">
        <v>1</v>
      </c>
      <c r="E3564">
        <v>1</v>
      </c>
      <c r="F3564">
        <v>1</v>
      </c>
    </row>
    <row r="3565" spans="1:6">
      <c r="A3565" t="s">
        <v>290</v>
      </c>
      <c r="B3565" t="s">
        <v>393</v>
      </c>
      <c r="C3565" s="3">
        <v>82690140959</v>
      </c>
      <c r="D3565">
        <v>1</v>
      </c>
      <c r="E3565">
        <v>1</v>
      </c>
      <c r="F3565">
        <v>1</v>
      </c>
    </row>
    <row r="3566" spans="1:6">
      <c r="A3566" t="s">
        <v>290</v>
      </c>
      <c r="B3566" t="s">
        <v>394</v>
      </c>
      <c r="C3566" s="3">
        <v>2.66495722763736</v>
      </c>
      <c r="D3566">
        <v>1</v>
      </c>
      <c r="E3566">
        <v>1</v>
      </c>
      <c r="F3566">
        <v>1</v>
      </c>
    </row>
    <row r="3567" spans="1:6">
      <c r="A3567" t="s">
        <v>290</v>
      </c>
      <c r="B3567" t="s">
        <v>39</v>
      </c>
      <c r="C3567" s="3">
        <v>3.24812980390118</v>
      </c>
      <c r="D3567">
        <v>1</v>
      </c>
      <c r="E3567">
        <v>1</v>
      </c>
      <c r="F3567">
        <v>1</v>
      </c>
    </row>
    <row r="3568" spans="1:6">
      <c r="A3568" t="s">
        <v>290</v>
      </c>
      <c r="B3568" t="s">
        <v>43</v>
      </c>
      <c r="C3568" s="3">
        <v>-1.30000000000001</v>
      </c>
      <c r="D3568">
        <v>1</v>
      </c>
      <c r="E3568">
        <v>1</v>
      </c>
      <c r="F3568">
        <v>1</v>
      </c>
    </row>
    <row r="3569" spans="1:6">
      <c r="A3569" t="s">
        <v>290</v>
      </c>
      <c r="B3569" t="s">
        <v>44</v>
      </c>
      <c r="C3569" s="3">
        <v>0</v>
      </c>
      <c r="D3569">
        <v>1</v>
      </c>
      <c r="E3569">
        <v>1</v>
      </c>
      <c r="F3569">
        <v>1</v>
      </c>
    </row>
    <row r="3570" spans="1:6">
      <c r="A3570" t="s">
        <v>290</v>
      </c>
      <c r="B3570" t="s">
        <v>45</v>
      </c>
      <c r="C3570" s="3">
        <v>0.300000000000011</v>
      </c>
      <c r="D3570">
        <v>1</v>
      </c>
      <c r="E3570">
        <v>1</v>
      </c>
      <c r="F3570">
        <v>1</v>
      </c>
    </row>
    <row r="3571" spans="1:6">
      <c r="A3571" t="s">
        <v>290</v>
      </c>
      <c r="B3571" t="s">
        <v>396</v>
      </c>
      <c r="C3571" s="3">
        <v>4.34308851263589</v>
      </c>
      <c r="D3571">
        <v>1</v>
      </c>
      <c r="E3571">
        <v>1</v>
      </c>
      <c r="F3571">
        <v>1</v>
      </c>
    </row>
    <row r="3572" spans="1:6">
      <c r="A3572" t="s">
        <v>291</v>
      </c>
      <c r="B3572" t="s">
        <v>34</v>
      </c>
      <c r="C3572" s="3">
        <v>62.71</v>
      </c>
      <c r="D3572">
        <v>1</v>
      </c>
      <c r="E3572">
        <v>1</v>
      </c>
      <c r="F3572">
        <v>1</v>
      </c>
    </row>
    <row r="3573" spans="1:6">
      <c r="A3573" t="s">
        <v>291</v>
      </c>
      <c r="B3573" t="s">
        <v>35</v>
      </c>
      <c r="C3573" s="3">
        <v>6.62</v>
      </c>
      <c r="D3573">
        <v>1</v>
      </c>
      <c r="E3573">
        <v>1</v>
      </c>
      <c r="F3573">
        <v>1</v>
      </c>
    </row>
    <row r="3574" spans="1:6">
      <c r="A3574" t="s">
        <v>291</v>
      </c>
      <c r="B3574" t="s">
        <v>36</v>
      </c>
      <c r="C3574" s="3">
        <v>415.1402</v>
      </c>
      <c r="D3574">
        <v>1</v>
      </c>
      <c r="E3574">
        <v>1</v>
      </c>
      <c r="F3574">
        <v>1</v>
      </c>
    </row>
    <row r="3575" spans="1:6">
      <c r="A3575" t="s">
        <v>291</v>
      </c>
      <c r="B3575" t="s">
        <v>40</v>
      </c>
      <c r="C3575" s="3">
        <v>108</v>
      </c>
      <c r="D3575">
        <v>1</v>
      </c>
      <c r="E3575">
        <v>1</v>
      </c>
      <c r="F3575">
        <v>1</v>
      </c>
    </row>
    <row r="3576" spans="1:6">
      <c r="A3576" t="s">
        <v>291</v>
      </c>
      <c r="B3576" t="s">
        <v>41</v>
      </c>
      <c r="C3576" s="3">
        <v>105.8</v>
      </c>
      <c r="D3576">
        <v>1</v>
      </c>
      <c r="E3576">
        <v>1</v>
      </c>
      <c r="F3576">
        <v>1</v>
      </c>
    </row>
    <row r="3577" spans="1:6">
      <c r="A3577" t="s">
        <v>291</v>
      </c>
      <c r="B3577" t="s">
        <v>42</v>
      </c>
      <c r="C3577" s="3">
        <v>101.7</v>
      </c>
      <c r="D3577">
        <v>1</v>
      </c>
      <c r="E3577">
        <v>1</v>
      </c>
      <c r="F3577">
        <v>1</v>
      </c>
    </row>
    <row r="3578" spans="1:6">
      <c r="A3578" t="s">
        <v>291</v>
      </c>
      <c r="B3578" t="s">
        <v>46</v>
      </c>
      <c r="C3578" s="3">
        <v>107.1</v>
      </c>
      <c r="D3578">
        <v>1</v>
      </c>
      <c r="E3578">
        <v>1</v>
      </c>
      <c r="F3578">
        <v>1</v>
      </c>
    </row>
    <row r="3579" spans="1:6">
      <c r="A3579" t="s">
        <v>291</v>
      </c>
      <c r="B3579" t="s">
        <v>392</v>
      </c>
      <c r="C3579" s="3">
        <v>36960128327</v>
      </c>
      <c r="D3579">
        <v>1</v>
      </c>
      <c r="E3579">
        <v>1</v>
      </c>
      <c r="F3579">
        <v>1</v>
      </c>
    </row>
    <row r="3580" spans="1:6">
      <c r="A3580" t="s">
        <v>291</v>
      </c>
      <c r="B3580" t="s">
        <v>393</v>
      </c>
      <c r="C3580" s="3">
        <v>103818820091</v>
      </c>
      <c r="D3580">
        <v>1</v>
      </c>
      <c r="E3580">
        <v>1</v>
      </c>
      <c r="F3580">
        <v>1</v>
      </c>
    </row>
    <row r="3581" spans="1:6">
      <c r="A3581" t="s">
        <v>291</v>
      </c>
      <c r="B3581" t="s">
        <v>394</v>
      </c>
      <c r="C3581" s="3">
        <v>2.80894100725182</v>
      </c>
      <c r="D3581">
        <v>1</v>
      </c>
      <c r="E3581">
        <v>1</v>
      </c>
      <c r="F3581">
        <v>1</v>
      </c>
    </row>
    <row r="3582" spans="1:6">
      <c r="A3582" t="s">
        <v>291</v>
      </c>
      <c r="B3582" t="s">
        <v>39</v>
      </c>
      <c r="C3582" s="3">
        <v>8.57467013700464</v>
      </c>
      <c r="D3582">
        <v>1</v>
      </c>
      <c r="E3582">
        <v>1</v>
      </c>
      <c r="F3582">
        <v>1</v>
      </c>
    </row>
    <row r="3583" spans="1:6">
      <c r="A3583" t="s">
        <v>291</v>
      </c>
      <c r="B3583" t="s">
        <v>43</v>
      </c>
      <c r="C3583" s="3">
        <v>-2.59999999999999</v>
      </c>
      <c r="D3583">
        <v>1</v>
      </c>
      <c r="E3583">
        <v>1</v>
      </c>
      <c r="F3583">
        <v>1</v>
      </c>
    </row>
    <row r="3584" spans="1:6">
      <c r="A3584" t="s">
        <v>291</v>
      </c>
      <c r="B3584" t="s">
        <v>44</v>
      </c>
      <c r="C3584" s="3">
        <v>-1.10000000000001</v>
      </c>
      <c r="D3584">
        <v>1</v>
      </c>
      <c r="E3584">
        <v>1</v>
      </c>
      <c r="F3584">
        <v>1</v>
      </c>
    </row>
    <row r="3585" spans="1:6">
      <c r="A3585" t="s">
        <v>291</v>
      </c>
      <c r="B3585" t="s">
        <v>45</v>
      </c>
      <c r="C3585" s="3">
        <v>-0.200000000000003</v>
      </c>
      <c r="D3585">
        <v>1</v>
      </c>
      <c r="E3585">
        <v>1</v>
      </c>
      <c r="F3585">
        <v>1</v>
      </c>
    </row>
    <row r="3586" spans="1:6">
      <c r="A3586" t="s">
        <v>291</v>
      </c>
      <c r="B3586" t="s">
        <v>396</v>
      </c>
      <c r="C3586" s="3">
        <v>5.26195387452526</v>
      </c>
      <c r="D3586">
        <v>1</v>
      </c>
      <c r="E3586">
        <v>1</v>
      </c>
      <c r="F3586">
        <v>1</v>
      </c>
    </row>
    <row r="3587" spans="1:6">
      <c r="A3587" t="s">
        <v>292</v>
      </c>
      <c r="B3587" t="s">
        <v>34</v>
      </c>
      <c r="C3587" s="3">
        <v>64.37</v>
      </c>
      <c r="D3587">
        <v>1</v>
      </c>
      <c r="E3587">
        <v>1</v>
      </c>
      <c r="F3587">
        <v>1</v>
      </c>
    </row>
    <row r="3588" spans="1:6">
      <c r="A3588" t="s">
        <v>292</v>
      </c>
      <c r="B3588" t="s">
        <v>35</v>
      </c>
      <c r="C3588" s="3">
        <v>6.5932</v>
      </c>
      <c r="D3588">
        <v>1</v>
      </c>
      <c r="E3588">
        <v>1</v>
      </c>
      <c r="F3588">
        <v>1</v>
      </c>
    </row>
    <row r="3589" spans="1:6">
      <c r="A3589" t="s">
        <v>292</v>
      </c>
      <c r="B3589" t="s">
        <v>36</v>
      </c>
      <c r="C3589" s="3">
        <v>424.404284</v>
      </c>
      <c r="D3589">
        <v>1</v>
      </c>
      <c r="E3589">
        <v>1</v>
      </c>
      <c r="F3589">
        <v>1</v>
      </c>
    </row>
    <row r="3590" spans="1:6">
      <c r="A3590" t="s">
        <v>292</v>
      </c>
      <c r="B3590" t="s">
        <v>40</v>
      </c>
      <c r="C3590" s="3">
        <v>107.1</v>
      </c>
      <c r="D3590">
        <v>1</v>
      </c>
      <c r="E3590">
        <v>1</v>
      </c>
      <c r="F3590">
        <v>1</v>
      </c>
    </row>
    <row r="3591" spans="1:6">
      <c r="A3591" t="s">
        <v>292</v>
      </c>
      <c r="B3591" t="s">
        <v>41</v>
      </c>
      <c r="C3591" s="3">
        <v>104.9</v>
      </c>
      <c r="D3591">
        <v>1</v>
      </c>
      <c r="E3591">
        <v>1</v>
      </c>
      <c r="F3591">
        <v>1</v>
      </c>
    </row>
    <row r="3592" spans="1:6">
      <c r="A3592" t="s">
        <v>292</v>
      </c>
      <c r="B3592" t="s">
        <v>42</v>
      </c>
      <c r="C3592" s="3">
        <v>101.8</v>
      </c>
      <c r="D3592">
        <v>1</v>
      </c>
      <c r="E3592">
        <v>1</v>
      </c>
      <c r="F3592">
        <v>1</v>
      </c>
    </row>
    <row r="3593" spans="1:6">
      <c r="A3593" t="s">
        <v>292</v>
      </c>
      <c r="B3593" t="s">
        <v>46</v>
      </c>
      <c r="C3593" s="3">
        <v>105.9</v>
      </c>
      <c r="D3593">
        <v>1</v>
      </c>
      <c r="E3593">
        <v>1</v>
      </c>
      <c r="F3593">
        <v>1</v>
      </c>
    </row>
    <row r="3594" spans="1:6">
      <c r="A3594" t="s">
        <v>292</v>
      </c>
      <c r="B3594" t="s">
        <v>392</v>
      </c>
      <c r="C3594" s="3">
        <v>33674294650</v>
      </c>
      <c r="D3594">
        <v>1</v>
      </c>
      <c r="E3594">
        <v>1</v>
      </c>
      <c r="F3594">
        <v>1</v>
      </c>
    </row>
    <row r="3595" spans="1:6">
      <c r="A3595" t="s">
        <v>292</v>
      </c>
      <c r="B3595" t="s">
        <v>393</v>
      </c>
      <c r="C3595" s="3">
        <v>101077366082</v>
      </c>
      <c r="D3595">
        <v>1</v>
      </c>
      <c r="E3595">
        <v>1</v>
      </c>
      <c r="F3595">
        <v>1</v>
      </c>
    </row>
    <row r="3596" spans="1:6">
      <c r="A3596" t="s">
        <v>292</v>
      </c>
      <c r="B3596" t="s">
        <v>394</v>
      </c>
      <c r="C3596" s="3">
        <v>3.00161791457152</v>
      </c>
      <c r="D3596">
        <v>1</v>
      </c>
      <c r="E3596">
        <v>1</v>
      </c>
      <c r="F3596">
        <v>1</v>
      </c>
    </row>
    <row r="3597" spans="1:6">
      <c r="A3597" t="s">
        <v>292</v>
      </c>
      <c r="B3597" t="s">
        <v>39</v>
      </c>
      <c r="C3597" s="3">
        <v>2.20702064357422</v>
      </c>
      <c r="D3597">
        <v>1</v>
      </c>
      <c r="E3597">
        <v>1</v>
      </c>
      <c r="F3597">
        <v>1</v>
      </c>
    </row>
    <row r="3598" spans="1:6">
      <c r="A3598" t="s">
        <v>292</v>
      </c>
      <c r="B3598" t="s">
        <v>43</v>
      </c>
      <c r="C3598" s="3">
        <v>-0.900000000000006</v>
      </c>
      <c r="D3598">
        <v>1</v>
      </c>
      <c r="E3598">
        <v>1</v>
      </c>
      <c r="F3598">
        <v>1</v>
      </c>
    </row>
    <row r="3599" spans="1:6">
      <c r="A3599" t="s">
        <v>292</v>
      </c>
      <c r="B3599" t="s">
        <v>44</v>
      </c>
      <c r="C3599" s="3">
        <v>-0.899999999999991</v>
      </c>
      <c r="D3599">
        <v>1</v>
      </c>
      <c r="E3599">
        <v>1</v>
      </c>
      <c r="F3599">
        <v>1</v>
      </c>
    </row>
    <row r="3600" spans="1:6">
      <c r="A3600" t="s">
        <v>292</v>
      </c>
      <c r="B3600" t="s">
        <v>45</v>
      </c>
      <c r="C3600" s="3">
        <v>0.0999999999999943</v>
      </c>
      <c r="D3600">
        <v>1</v>
      </c>
      <c r="E3600">
        <v>1</v>
      </c>
      <c r="F3600">
        <v>1</v>
      </c>
    </row>
    <row r="3601" spans="1:6">
      <c r="A3601" t="s">
        <v>292</v>
      </c>
      <c r="B3601" t="s">
        <v>396</v>
      </c>
      <c r="C3601" s="3">
        <v>6.63439015854544</v>
      </c>
      <c r="D3601">
        <v>1</v>
      </c>
      <c r="E3601">
        <v>1</v>
      </c>
      <c r="F3601">
        <v>1</v>
      </c>
    </row>
    <row r="3602" spans="1:6">
      <c r="A3602" t="s">
        <v>293</v>
      </c>
      <c r="B3602" t="s">
        <v>34</v>
      </c>
      <c r="C3602" s="3">
        <v>69.08</v>
      </c>
      <c r="D3602">
        <v>1</v>
      </c>
      <c r="E3602">
        <v>1</v>
      </c>
      <c r="F3602">
        <v>1</v>
      </c>
    </row>
    <row r="3603" spans="1:6">
      <c r="A3603" t="s">
        <v>293</v>
      </c>
      <c r="B3603" t="s">
        <v>35</v>
      </c>
      <c r="C3603" s="3">
        <v>6.4233</v>
      </c>
      <c r="D3603">
        <v>1</v>
      </c>
      <c r="E3603">
        <v>1</v>
      </c>
      <c r="F3603">
        <v>1</v>
      </c>
    </row>
    <row r="3604" spans="1:6">
      <c r="A3604" t="s">
        <v>293</v>
      </c>
      <c r="B3604" t="s">
        <v>36</v>
      </c>
      <c r="C3604" s="3">
        <v>443.721564</v>
      </c>
      <c r="D3604">
        <v>1</v>
      </c>
      <c r="E3604">
        <v>1</v>
      </c>
      <c r="F3604">
        <v>1</v>
      </c>
    </row>
    <row r="3605" spans="1:6">
      <c r="A3605" t="s">
        <v>293</v>
      </c>
      <c r="B3605" t="s">
        <v>40</v>
      </c>
      <c r="C3605" s="3">
        <v>106.2</v>
      </c>
      <c r="D3605">
        <v>1</v>
      </c>
      <c r="E3605">
        <v>1</v>
      </c>
      <c r="F3605">
        <v>1</v>
      </c>
    </row>
    <row r="3606" spans="1:6">
      <c r="A3606" t="s">
        <v>293</v>
      </c>
      <c r="B3606" t="s">
        <v>41</v>
      </c>
      <c r="C3606" s="3">
        <v>104.3</v>
      </c>
      <c r="D3606">
        <v>1</v>
      </c>
      <c r="E3606">
        <v>1</v>
      </c>
      <c r="F3606">
        <v>1</v>
      </c>
    </row>
    <row r="3607" spans="1:6">
      <c r="A3607" t="s">
        <v>293</v>
      </c>
      <c r="B3607" t="s">
        <v>42</v>
      </c>
      <c r="C3607" s="3">
        <v>101.5</v>
      </c>
      <c r="D3607">
        <v>1</v>
      </c>
      <c r="E3607">
        <v>1</v>
      </c>
      <c r="F3607">
        <v>1</v>
      </c>
    </row>
    <row r="3608" spans="1:6">
      <c r="A3608" t="s">
        <v>293</v>
      </c>
      <c r="B3608" t="s">
        <v>46</v>
      </c>
      <c r="C3608" s="3">
        <v>105.2</v>
      </c>
      <c r="D3608">
        <v>1</v>
      </c>
      <c r="E3608">
        <v>1</v>
      </c>
      <c r="F3608">
        <v>1</v>
      </c>
    </row>
    <row r="3609" spans="1:6">
      <c r="A3609" t="s">
        <v>293</v>
      </c>
      <c r="B3609" t="s">
        <v>392</v>
      </c>
      <c r="C3609" s="3">
        <v>40535091645</v>
      </c>
      <c r="D3609">
        <v>1</v>
      </c>
      <c r="E3609">
        <v>1</v>
      </c>
      <c r="F3609">
        <v>1</v>
      </c>
    </row>
    <row r="3610" spans="1:6">
      <c r="A3610" t="s">
        <v>293</v>
      </c>
      <c r="B3610" t="s">
        <v>393</v>
      </c>
      <c r="C3610" s="3">
        <v>126477471984</v>
      </c>
      <c r="D3610">
        <v>1</v>
      </c>
      <c r="E3610">
        <v>1</v>
      </c>
      <c r="F3610">
        <v>1</v>
      </c>
    </row>
    <row r="3611" spans="1:6">
      <c r="A3611" t="s">
        <v>293</v>
      </c>
      <c r="B3611" t="s">
        <v>394</v>
      </c>
      <c r="C3611" s="3">
        <v>3.12019701575292</v>
      </c>
      <c r="D3611">
        <v>1</v>
      </c>
      <c r="E3611">
        <v>1</v>
      </c>
      <c r="F3611">
        <v>1</v>
      </c>
    </row>
    <row r="3612" spans="1:6">
      <c r="A3612" t="s">
        <v>293</v>
      </c>
      <c r="B3612" t="s">
        <v>39</v>
      </c>
      <c r="C3612" s="3">
        <v>4.45107566699933</v>
      </c>
      <c r="D3612">
        <v>1</v>
      </c>
      <c r="E3612">
        <v>1</v>
      </c>
      <c r="F3612">
        <v>1</v>
      </c>
    </row>
    <row r="3613" spans="1:6">
      <c r="A3613" t="s">
        <v>293</v>
      </c>
      <c r="B3613" t="s">
        <v>43</v>
      </c>
      <c r="C3613" s="3">
        <v>-0.899999999999991</v>
      </c>
      <c r="D3613">
        <v>1</v>
      </c>
      <c r="E3613">
        <v>1</v>
      </c>
      <c r="F3613">
        <v>1</v>
      </c>
    </row>
    <row r="3614" spans="1:6">
      <c r="A3614" t="s">
        <v>293</v>
      </c>
      <c r="B3614" t="s">
        <v>44</v>
      </c>
      <c r="C3614" s="3">
        <v>-0.600000000000009</v>
      </c>
      <c r="D3614">
        <v>1</v>
      </c>
      <c r="E3614">
        <v>1</v>
      </c>
      <c r="F3614">
        <v>1</v>
      </c>
    </row>
    <row r="3615" spans="1:6">
      <c r="A3615" t="s">
        <v>293</v>
      </c>
      <c r="B3615" t="s">
        <v>45</v>
      </c>
      <c r="C3615" s="3">
        <v>-0.299999999999997</v>
      </c>
      <c r="D3615">
        <v>1</v>
      </c>
      <c r="E3615">
        <v>1</v>
      </c>
      <c r="F3615">
        <v>1</v>
      </c>
    </row>
    <row r="3616" spans="1:6">
      <c r="A3616" t="s">
        <v>293</v>
      </c>
      <c r="B3616" t="s">
        <v>396</v>
      </c>
      <c r="C3616" s="3">
        <v>3.87446977497304</v>
      </c>
      <c r="D3616">
        <v>1</v>
      </c>
      <c r="E3616">
        <v>1</v>
      </c>
      <c r="F3616">
        <v>1</v>
      </c>
    </row>
    <row r="3617" spans="1:6">
      <c r="A3617" t="s">
        <v>294</v>
      </c>
      <c r="B3617" t="s">
        <v>34</v>
      </c>
      <c r="C3617" s="3">
        <v>65.32</v>
      </c>
      <c r="D3617">
        <v>1</v>
      </c>
      <c r="E3617">
        <v>1</v>
      </c>
      <c r="F3617">
        <v>1</v>
      </c>
    </row>
    <row r="3618" spans="1:6">
      <c r="A3618" t="s">
        <v>294</v>
      </c>
      <c r="B3618" t="s">
        <v>35</v>
      </c>
      <c r="C3618" s="3">
        <v>6.3183</v>
      </c>
      <c r="D3618">
        <v>1</v>
      </c>
      <c r="E3618">
        <v>1</v>
      </c>
      <c r="F3618">
        <v>1</v>
      </c>
    </row>
    <row r="3619" spans="1:6">
      <c r="A3619" t="s">
        <v>294</v>
      </c>
      <c r="B3619" t="s">
        <v>36</v>
      </c>
      <c r="C3619" s="3">
        <v>412.711356</v>
      </c>
      <c r="D3619">
        <v>1</v>
      </c>
      <c r="E3619">
        <v>1</v>
      </c>
      <c r="F3619">
        <v>1</v>
      </c>
    </row>
    <row r="3620" spans="1:6">
      <c r="A3620" t="s">
        <v>294</v>
      </c>
      <c r="B3620" t="s">
        <v>40</v>
      </c>
      <c r="C3620" s="3">
        <v>106</v>
      </c>
      <c r="D3620">
        <v>1</v>
      </c>
      <c r="E3620">
        <v>1</v>
      </c>
      <c r="F3620">
        <v>1</v>
      </c>
    </row>
    <row r="3621" spans="1:6">
      <c r="A3621" t="s">
        <v>294</v>
      </c>
      <c r="B3621" t="s">
        <v>41</v>
      </c>
      <c r="C3621" s="3">
        <v>103.7</v>
      </c>
      <c r="D3621">
        <v>1</v>
      </c>
      <c r="E3621">
        <v>1</v>
      </c>
      <c r="F3621">
        <v>1</v>
      </c>
    </row>
    <row r="3622" spans="1:6">
      <c r="A3622" t="s">
        <v>294</v>
      </c>
      <c r="B3622" t="s">
        <v>42</v>
      </c>
      <c r="C3622" s="3">
        <v>102.9</v>
      </c>
      <c r="D3622">
        <v>1</v>
      </c>
      <c r="E3622">
        <v>1</v>
      </c>
      <c r="F3622">
        <v>1</v>
      </c>
    </row>
    <row r="3623" spans="1:6">
      <c r="A3623" t="s">
        <v>294</v>
      </c>
      <c r="B3623" t="s">
        <v>46</v>
      </c>
      <c r="C3623" s="3">
        <v>104.4</v>
      </c>
      <c r="D3623">
        <v>1</v>
      </c>
      <c r="E3623">
        <v>1</v>
      </c>
      <c r="F3623">
        <v>1</v>
      </c>
    </row>
    <row r="3624" spans="1:6">
      <c r="A3624" t="s">
        <v>294</v>
      </c>
      <c r="B3624" t="s">
        <v>392</v>
      </c>
      <c r="C3624" s="3">
        <v>32254474571</v>
      </c>
      <c r="D3624">
        <v>1</v>
      </c>
      <c r="E3624">
        <v>1</v>
      </c>
      <c r="F3624">
        <v>1</v>
      </c>
    </row>
    <row r="3625" spans="1:6">
      <c r="A3625" t="s">
        <v>294</v>
      </c>
      <c r="B3625" t="s">
        <v>393</v>
      </c>
      <c r="C3625" s="3">
        <v>103015111101</v>
      </c>
      <c r="D3625">
        <v>1</v>
      </c>
      <c r="E3625">
        <v>1</v>
      </c>
      <c r="F3625">
        <v>1</v>
      </c>
    </row>
    <row r="3626" spans="1:6">
      <c r="A3626" t="s">
        <v>294</v>
      </c>
      <c r="B3626" t="s">
        <v>394</v>
      </c>
      <c r="C3626" s="3">
        <v>3.19382387935784</v>
      </c>
      <c r="D3626">
        <v>1</v>
      </c>
      <c r="E3626">
        <v>1</v>
      </c>
      <c r="F3626">
        <v>1</v>
      </c>
    </row>
    <row r="3627" spans="1:6">
      <c r="A3627" t="s">
        <v>294</v>
      </c>
      <c r="B3627" t="s">
        <v>39</v>
      </c>
      <c r="C3627" s="3">
        <v>-7.24488048739074</v>
      </c>
      <c r="D3627">
        <v>1</v>
      </c>
      <c r="E3627">
        <v>1</v>
      </c>
      <c r="F3627">
        <v>1</v>
      </c>
    </row>
    <row r="3628" spans="1:6">
      <c r="A3628" t="s">
        <v>294</v>
      </c>
      <c r="B3628" t="s">
        <v>43</v>
      </c>
      <c r="C3628" s="3">
        <v>-0.200000000000003</v>
      </c>
      <c r="D3628">
        <v>1</v>
      </c>
      <c r="E3628">
        <v>1</v>
      </c>
      <c r="F3628">
        <v>1</v>
      </c>
    </row>
    <row r="3629" spans="1:6">
      <c r="A3629" t="s">
        <v>294</v>
      </c>
      <c r="B3629" t="s">
        <v>44</v>
      </c>
      <c r="C3629" s="3">
        <v>-0.599999999999994</v>
      </c>
      <c r="D3629">
        <v>1</v>
      </c>
      <c r="E3629">
        <v>1</v>
      </c>
      <c r="F3629">
        <v>1</v>
      </c>
    </row>
    <row r="3630" spans="1:6">
      <c r="A3630" t="s">
        <v>294</v>
      </c>
      <c r="B3630" t="s">
        <v>45</v>
      </c>
      <c r="C3630" s="3">
        <v>1.40000000000001</v>
      </c>
      <c r="D3630">
        <v>1</v>
      </c>
      <c r="E3630">
        <v>1</v>
      </c>
      <c r="F3630">
        <v>1</v>
      </c>
    </row>
    <row r="3631" spans="1:6">
      <c r="A3631" t="s">
        <v>294</v>
      </c>
      <c r="B3631" t="s">
        <v>396</v>
      </c>
      <c r="C3631" s="3">
        <v>2.33227612798611</v>
      </c>
      <c r="D3631">
        <v>1</v>
      </c>
      <c r="E3631">
        <v>1</v>
      </c>
      <c r="F3631">
        <v>1</v>
      </c>
    </row>
    <row r="3632" spans="1:6">
      <c r="A3632" t="s">
        <v>295</v>
      </c>
      <c r="B3632" t="s">
        <v>34</v>
      </c>
      <c r="C3632" s="3">
        <v>66.02</v>
      </c>
      <c r="D3632">
        <v>1</v>
      </c>
      <c r="E3632">
        <v>1</v>
      </c>
      <c r="F3632">
        <v>1</v>
      </c>
    </row>
    <row r="3633" spans="1:6">
      <c r="A3633" t="s">
        <v>295</v>
      </c>
      <c r="B3633" t="s">
        <v>35</v>
      </c>
      <c r="C3633" s="3">
        <v>6.3174</v>
      </c>
      <c r="D3633">
        <v>1</v>
      </c>
      <c r="E3633">
        <v>1</v>
      </c>
      <c r="F3633">
        <v>1</v>
      </c>
    </row>
    <row r="3634" spans="1:6">
      <c r="A3634" t="s">
        <v>295</v>
      </c>
      <c r="B3634" t="s">
        <v>36</v>
      </c>
      <c r="C3634" s="3">
        <v>417.074748</v>
      </c>
      <c r="D3634">
        <v>1</v>
      </c>
      <c r="E3634">
        <v>1</v>
      </c>
      <c r="F3634">
        <v>1</v>
      </c>
    </row>
    <row r="3635" spans="1:6">
      <c r="A3635" t="s">
        <v>295</v>
      </c>
      <c r="B3635" t="s">
        <v>40</v>
      </c>
      <c r="C3635" s="3">
        <v>104.9</v>
      </c>
      <c r="D3635">
        <v>1</v>
      </c>
      <c r="E3635">
        <v>1</v>
      </c>
      <c r="F3635">
        <v>1</v>
      </c>
    </row>
    <row r="3636" spans="1:6">
      <c r="A3636" t="s">
        <v>295</v>
      </c>
      <c r="B3636" t="s">
        <v>41</v>
      </c>
      <c r="C3636" s="3">
        <v>103.1</v>
      </c>
      <c r="D3636">
        <v>1</v>
      </c>
      <c r="E3636">
        <v>1</v>
      </c>
      <c r="F3636">
        <v>1</v>
      </c>
    </row>
    <row r="3637" spans="1:6">
      <c r="A3637" t="s">
        <v>295</v>
      </c>
      <c r="B3637" t="s">
        <v>42</v>
      </c>
      <c r="C3637" s="3">
        <v>102.1</v>
      </c>
      <c r="D3637">
        <v>1</v>
      </c>
      <c r="E3637">
        <v>1</v>
      </c>
      <c r="F3637">
        <v>1</v>
      </c>
    </row>
    <row r="3638" spans="1:6">
      <c r="A3638" t="s">
        <v>295</v>
      </c>
      <c r="B3638" t="s">
        <v>46</v>
      </c>
      <c r="C3638" s="3">
        <v>103.7</v>
      </c>
      <c r="D3638">
        <v>1</v>
      </c>
      <c r="E3638">
        <v>1</v>
      </c>
      <c r="F3638">
        <v>1</v>
      </c>
    </row>
    <row r="3639" spans="1:6">
      <c r="A3639" t="s">
        <v>295</v>
      </c>
      <c r="B3639" t="s">
        <v>392</v>
      </c>
      <c r="C3639" s="3">
        <v>39165875008</v>
      </c>
      <c r="D3639">
        <v>1</v>
      </c>
      <c r="E3639">
        <v>1</v>
      </c>
      <c r="F3639">
        <v>1</v>
      </c>
    </row>
    <row r="3640" spans="1:6">
      <c r="A3640" t="s">
        <v>295</v>
      </c>
      <c r="B3640" t="s">
        <v>393</v>
      </c>
      <c r="C3640" s="3">
        <v>119870841958</v>
      </c>
      <c r="D3640">
        <v>1</v>
      </c>
      <c r="E3640">
        <v>1</v>
      </c>
      <c r="F3640">
        <v>1</v>
      </c>
    </row>
    <row r="3641" spans="1:6">
      <c r="A3641" t="s">
        <v>295</v>
      </c>
      <c r="B3641" t="s">
        <v>394</v>
      </c>
      <c r="C3641" s="3">
        <v>3.06059399754289</v>
      </c>
      <c r="D3641">
        <v>1</v>
      </c>
      <c r="E3641">
        <v>1</v>
      </c>
      <c r="F3641">
        <v>1</v>
      </c>
    </row>
    <row r="3642" spans="1:6">
      <c r="A3642" t="s">
        <v>295</v>
      </c>
      <c r="B3642" t="s">
        <v>39</v>
      </c>
      <c r="C3642" s="3">
        <v>1.05170047980042</v>
      </c>
      <c r="D3642">
        <v>1</v>
      </c>
      <c r="E3642">
        <v>1</v>
      </c>
      <c r="F3642">
        <v>1</v>
      </c>
    </row>
    <row r="3643" spans="1:6">
      <c r="A3643" t="s">
        <v>295</v>
      </c>
      <c r="B3643" t="s">
        <v>43</v>
      </c>
      <c r="C3643" s="3">
        <v>-1.09999999999999</v>
      </c>
      <c r="D3643">
        <v>1</v>
      </c>
      <c r="E3643">
        <v>1</v>
      </c>
      <c r="F3643">
        <v>1</v>
      </c>
    </row>
    <row r="3644" spans="1:6">
      <c r="A3644" t="s">
        <v>295</v>
      </c>
      <c r="B3644" t="s">
        <v>44</v>
      </c>
      <c r="C3644" s="3">
        <v>-0.600000000000009</v>
      </c>
      <c r="D3644">
        <v>1</v>
      </c>
      <c r="E3644">
        <v>1</v>
      </c>
      <c r="F3644">
        <v>1</v>
      </c>
    </row>
    <row r="3645" spans="1:6">
      <c r="A3645" t="s">
        <v>295</v>
      </c>
      <c r="B3645" t="s">
        <v>45</v>
      </c>
      <c r="C3645" s="3">
        <v>-0.800000000000011</v>
      </c>
      <c r="D3645">
        <v>1</v>
      </c>
      <c r="E3645">
        <v>1</v>
      </c>
      <c r="F3645">
        <v>1</v>
      </c>
    </row>
    <row r="3646" spans="1:6">
      <c r="A3646" t="s">
        <v>295</v>
      </c>
      <c r="B3646" t="s">
        <v>396</v>
      </c>
      <c r="C3646" s="3">
        <v>-4.26098932121403</v>
      </c>
      <c r="D3646">
        <v>1</v>
      </c>
      <c r="E3646">
        <v>1</v>
      </c>
      <c r="F3646">
        <v>1</v>
      </c>
    </row>
    <row r="3647" spans="1:6">
      <c r="A3647" t="s">
        <v>296</v>
      </c>
      <c r="B3647" t="s">
        <v>34</v>
      </c>
      <c r="C3647" s="3">
        <v>72.11</v>
      </c>
      <c r="D3647">
        <v>1</v>
      </c>
      <c r="E3647">
        <v>1</v>
      </c>
      <c r="F3647">
        <v>1</v>
      </c>
    </row>
    <row r="3648" spans="1:6">
      <c r="A3648" t="s">
        <v>296</v>
      </c>
      <c r="B3648" t="s">
        <v>35</v>
      </c>
      <c r="C3648" s="3">
        <v>6.2967</v>
      </c>
      <c r="D3648">
        <v>1</v>
      </c>
      <c r="E3648">
        <v>1</v>
      </c>
      <c r="F3648">
        <v>1</v>
      </c>
    </row>
    <row r="3649" spans="1:6">
      <c r="A3649" t="s">
        <v>296</v>
      </c>
      <c r="B3649" t="s">
        <v>36</v>
      </c>
      <c r="C3649" s="3">
        <v>454.055037</v>
      </c>
      <c r="D3649">
        <v>1</v>
      </c>
      <c r="E3649">
        <v>1</v>
      </c>
      <c r="F3649">
        <v>1</v>
      </c>
    </row>
    <row r="3650" spans="1:6">
      <c r="A3650" t="s">
        <v>296</v>
      </c>
      <c r="B3650" t="s">
        <v>40</v>
      </c>
      <c r="C3650" s="3">
        <v>104.6</v>
      </c>
      <c r="D3650">
        <v>1</v>
      </c>
      <c r="E3650">
        <v>1</v>
      </c>
      <c r="F3650">
        <v>1</v>
      </c>
    </row>
    <row r="3651" spans="1:6">
      <c r="A3651" t="s">
        <v>296</v>
      </c>
      <c r="B3651" t="s">
        <v>41</v>
      </c>
      <c r="C3651" s="3">
        <v>103.4</v>
      </c>
      <c r="D3651">
        <v>1</v>
      </c>
      <c r="E3651">
        <v>1</v>
      </c>
      <c r="F3651">
        <v>1</v>
      </c>
    </row>
    <row r="3652" spans="1:6">
      <c r="A3652" t="s">
        <v>296</v>
      </c>
      <c r="B3652" t="s">
        <v>42</v>
      </c>
      <c r="C3652" s="3">
        <v>101.8</v>
      </c>
      <c r="D3652">
        <v>1</v>
      </c>
      <c r="E3652">
        <v>1</v>
      </c>
      <c r="F3652">
        <v>1</v>
      </c>
    </row>
    <row r="3653" spans="1:6">
      <c r="A3653" t="s">
        <v>296</v>
      </c>
      <c r="B3653" t="s">
        <v>46</v>
      </c>
      <c r="C3653" s="3">
        <v>103.7</v>
      </c>
      <c r="D3653">
        <v>1</v>
      </c>
      <c r="E3653">
        <v>1</v>
      </c>
      <c r="F3653">
        <v>1</v>
      </c>
    </row>
    <row r="3654" spans="1:6">
      <c r="A3654" t="s">
        <v>296</v>
      </c>
      <c r="B3654" t="s">
        <v>392</v>
      </c>
      <c r="C3654" s="3">
        <v>39459004639</v>
      </c>
      <c r="D3654">
        <v>1</v>
      </c>
      <c r="E3654">
        <v>1</v>
      </c>
      <c r="F3654">
        <v>1</v>
      </c>
    </row>
    <row r="3655" spans="1:6">
      <c r="A3655" t="s">
        <v>296</v>
      </c>
      <c r="B3655" t="s">
        <v>393</v>
      </c>
      <c r="C3655" s="3">
        <v>122505882015</v>
      </c>
      <c r="D3655">
        <v>1</v>
      </c>
      <c r="E3655">
        <v>1</v>
      </c>
      <c r="F3655">
        <v>1</v>
      </c>
    </row>
    <row r="3656" spans="1:6">
      <c r="A3656" t="s">
        <v>296</v>
      </c>
      <c r="B3656" t="s">
        <v>394</v>
      </c>
      <c r="C3656" s="3">
        <v>3.10463690444739</v>
      </c>
      <c r="D3656">
        <v>1</v>
      </c>
      <c r="E3656">
        <v>1</v>
      </c>
      <c r="F3656">
        <v>1</v>
      </c>
    </row>
    <row r="3657" spans="1:6">
      <c r="A3657" t="s">
        <v>296</v>
      </c>
      <c r="B3657" t="s">
        <v>39</v>
      </c>
      <c r="C3657" s="3">
        <v>8.49529600325327</v>
      </c>
      <c r="D3657">
        <v>1</v>
      </c>
      <c r="E3657">
        <v>1</v>
      </c>
      <c r="F3657">
        <v>1</v>
      </c>
    </row>
    <row r="3658" spans="1:6">
      <c r="A3658" t="s">
        <v>296</v>
      </c>
      <c r="B3658" t="s">
        <v>43</v>
      </c>
      <c r="C3658" s="3">
        <v>-0.300000000000011</v>
      </c>
      <c r="D3658">
        <v>1</v>
      </c>
      <c r="E3658">
        <v>1</v>
      </c>
      <c r="F3658">
        <v>1</v>
      </c>
    </row>
    <row r="3659" spans="1:6">
      <c r="A3659" t="s">
        <v>296</v>
      </c>
      <c r="B3659" t="s">
        <v>44</v>
      </c>
      <c r="C3659" s="3">
        <v>0.300000000000011</v>
      </c>
      <c r="D3659">
        <v>1</v>
      </c>
      <c r="E3659">
        <v>1</v>
      </c>
      <c r="F3659">
        <v>1</v>
      </c>
    </row>
    <row r="3660" spans="1:6">
      <c r="A3660" t="s">
        <v>296</v>
      </c>
      <c r="B3660" t="s">
        <v>45</v>
      </c>
      <c r="C3660" s="3">
        <v>-0.299999999999997</v>
      </c>
      <c r="D3660">
        <v>1</v>
      </c>
      <c r="E3660">
        <v>1</v>
      </c>
      <c r="F3660">
        <v>1</v>
      </c>
    </row>
    <row r="3661" spans="1:6">
      <c r="A3661" t="s">
        <v>296</v>
      </c>
      <c r="B3661" t="s">
        <v>396</v>
      </c>
      <c r="C3661" s="3">
        <v>1.42877555910614</v>
      </c>
      <c r="D3661">
        <v>1</v>
      </c>
      <c r="E3661">
        <v>1</v>
      </c>
      <c r="F3661">
        <v>1</v>
      </c>
    </row>
    <row r="3662" spans="1:6">
      <c r="A3662" t="s">
        <v>297</v>
      </c>
      <c r="B3662" t="s">
        <v>34</v>
      </c>
      <c r="C3662" s="3">
        <v>76.98</v>
      </c>
      <c r="D3662">
        <v>1</v>
      </c>
      <c r="E3662">
        <v>1</v>
      </c>
      <c r="F3662">
        <v>1</v>
      </c>
    </row>
    <row r="3663" spans="1:6">
      <c r="A3663" t="s">
        <v>297</v>
      </c>
      <c r="B3663" t="s">
        <v>35</v>
      </c>
      <c r="C3663" s="3">
        <v>6.3701</v>
      </c>
      <c r="D3663">
        <v>1</v>
      </c>
      <c r="E3663">
        <v>1</v>
      </c>
      <c r="F3663">
        <v>1</v>
      </c>
    </row>
    <row r="3664" spans="1:6">
      <c r="A3664" t="s">
        <v>297</v>
      </c>
      <c r="B3664" t="s">
        <v>36</v>
      </c>
      <c r="C3664" s="3">
        <v>490.370298</v>
      </c>
      <c r="D3664">
        <v>1</v>
      </c>
      <c r="E3664">
        <v>1</v>
      </c>
      <c r="F3664">
        <v>1</v>
      </c>
    </row>
    <row r="3665" spans="1:6">
      <c r="A3665" t="s">
        <v>297</v>
      </c>
      <c r="B3665" t="s">
        <v>40</v>
      </c>
      <c r="C3665" s="3">
        <v>105.5</v>
      </c>
      <c r="D3665">
        <v>1</v>
      </c>
      <c r="E3665">
        <v>1</v>
      </c>
      <c r="F3665">
        <v>1</v>
      </c>
    </row>
    <row r="3666" spans="1:6">
      <c r="A3666" t="s">
        <v>297</v>
      </c>
      <c r="B3666" t="s">
        <v>41</v>
      </c>
      <c r="C3666" s="3">
        <v>104.1</v>
      </c>
      <c r="D3666">
        <v>1</v>
      </c>
      <c r="E3666">
        <v>1</v>
      </c>
      <c r="F3666">
        <v>1</v>
      </c>
    </row>
    <row r="3667" spans="1:6">
      <c r="A3667" t="s">
        <v>297</v>
      </c>
      <c r="B3667" t="s">
        <v>42</v>
      </c>
      <c r="C3667" s="3">
        <v>101.8</v>
      </c>
      <c r="D3667">
        <v>1</v>
      </c>
      <c r="E3667">
        <v>1</v>
      </c>
      <c r="F3667">
        <v>1</v>
      </c>
    </row>
    <row r="3668" spans="1:6">
      <c r="A3668" t="s">
        <v>297</v>
      </c>
      <c r="B3668" t="s">
        <v>46</v>
      </c>
      <c r="C3668" s="3">
        <v>104.3</v>
      </c>
      <c r="D3668">
        <v>1</v>
      </c>
      <c r="E3668">
        <v>1</v>
      </c>
      <c r="F3668">
        <v>1</v>
      </c>
    </row>
    <row r="3669" spans="1:6">
      <c r="A3669" t="s">
        <v>297</v>
      </c>
      <c r="B3669" t="s">
        <v>392</v>
      </c>
      <c r="C3669" s="3">
        <v>39038337009</v>
      </c>
      <c r="D3669">
        <v>1</v>
      </c>
      <c r="E3669">
        <v>1</v>
      </c>
      <c r="F3669">
        <v>1</v>
      </c>
    </row>
    <row r="3670" spans="1:6">
      <c r="A3670" t="s">
        <v>297</v>
      </c>
      <c r="B3670" t="s">
        <v>393</v>
      </c>
      <c r="C3670" s="3">
        <v>127741559837</v>
      </c>
      <c r="D3670">
        <v>1</v>
      </c>
      <c r="E3670">
        <v>1</v>
      </c>
      <c r="F3670">
        <v>1</v>
      </c>
    </row>
    <row r="3671" spans="1:6">
      <c r="A3671" t="s">
        <v>297</v>
      </c>
      <c r="B3671" t="s">
        <v>394</v>
      </c>
      <c r="C3671" s="3">
        <v>3.27220802995656</v>
      </c>
      <c r="D3671">
        <v>1</v>
      </c>
      <c r="E3671">
        <v>1</v>
      </c>
      <c r="F3671">
        <v>1</v>
      </c>
    </row>
    <row r="3672" spans="1:6">
      <c r="A3672" t="s">
        <v>297</v>
      </c>
      <c r="B3672" t="s">
        <v>39</v>
      </c>
      <c r="C3672" s="3">
        <v>7.69423983373664</v>
      </c>
      <c r="D3672">
        <v>1</v>
      </c>
      <c r="E3672">
        <v>1</v>
      </c>
      <c r="F3672">
        <v>1</v>
      </c>
    </row>
    <row r="3673" spans="1:6">
      <c r="A3673" t="s">
        <v>297</v>
      </c>
      <c r="B3673" t="s">
        <v>43</v>
      </c>
      <c r="C3673" s="3">
        <v>0.900000000000006</v>
      </c>
      <c r="D3673">
        <v>1</v>
      </c>
      <c r="E3673">
        <v>1</v>
      </c>
      <c r="F3673">
        <v>1</v>
      </c>
    </row>
    <row r="3674" spans="1:6">
      <c r="A3674" t="s">
        <v>297</v>
      </c>
      <c r="B3674" t="s">
        <v>44</v>
      </c>
      <c r="C3674" s="3">
        <v>0.699999999999989</v>
      </c>
      <c r="D3674">
        <v>1</v>
      </c>
      <c r="E3674">
        <v>1</v>
      </c>
      <c r="F3674">
        <v>1</v>
      </c>
    </row>
    <row r="3675" spans="1:6">
      <c r="A3675" t="s">
        <v>297</v>
      </c>
      <c r="B3675" t="s">
        <v>45</v>
      </c>
      <c r="C3675" s="3">
        <v>0</v>
      </c>
      <c r="D3675">
        <v>1</v>
      </c>
      <c r="E3675">
        <v>1</v>
      </c>
      <c r="F3675">
        <v>1</v>
      </c>
    </row>
    <row r="3676" spans="1:6">
      <c r="A3676" t="s">
        <v>297</v>
      </c>
      <c r="B3676" t="s">
        <v>396</v>
      </c>
      <c r="C3676" s="3">
        <v>5.25682259958335</v>
      </c>
      <c r="D3676">
        <v>1</v>
      </c>
      <c r="E3676">
        <v>1</v>
      </c>
      <c r="F3676">
        <v>1</v>
      </c>
    </row>
    <row r="3677" spans="1:6">
      <c r="A3677" t="s">
        <v>298</v>
      </c>
      <c r="B3677" t="s">
        <v>34</v>
      </c>
      <c r="C3677" s="3">
        <v>74.41</v>
      </c>
      <c r="D3677">
        <v>1</v>
      </c>
      <c r="E3677">
        <v>1</v>
      </c>
      <c r="F3677">
        <v>1</v>
      </c>
    </row>
    <row r="3678" spans="1:6">
      <c r="A3678" t="s">
        <v>298</v>
      </c>
      <c r="B3678" t="s">
        <v>35</v>
      </c>
      <c r="C3678" s="3">
        <v>6.4651</v>
      </c>
      <c r="D3678">
        <v>1</v>
      </c>
      <c r="E3678">
        <v>1</v>
      </c>
      <c r="F3678">
        <v>1</v>
      </c>
    </row>
    <row r="3679" spans="1:6">
      <c r="A3679" t="s">
        <v>298</v>
      </c>
      <c r="B3679" t="s">
        <v>36</v>
      </c>
      <c r="C3679" s="3">
        <v>481.068091</v>
      </c>
      <c r="D3679">
        <v>1</v>
      </c>
      <c r="E3679">
        <v>1</v>
      </c>
      <c r="F3679">
        <v>1</v>
      </c>
    </row>
    <row r="3680" spans="1:6">
      <c r="A3680" t="s">
        <v>298</v>
      </c>
      <c r="B3680" t="s">
        <v>40</v>
      </c>
      <c r="C3680" s="3">
        <v>108.1</v>
      </c>
      <c r="D3680">
        <v>1</v>
      </c>
      <c r="E3680">
        <v>1</v>
      </c>
      <c r="F3680">
        <v>1</v>
      </c>
    </row>
    <row r="3681" spans="1:6">
      <c r="A3681" t="s">
        <v>298</v>
      </c>
      <c r="B3681" t="s">
        <v>41</v>
      </c>
      <c r="C3681" s="3">
        <v>104.7</v>
      </c>
      <c r="D3681">
        <v>1</v>
      </c>
      <c r="E3681">
        <v>1</v>
      </c>
      <c r="F3681">
        <v>1</v>
      </c>
    </row>
    <row r="3682" spans="1:6">
      <c r="A3682" t="s">
        <v>298</v>
      </c>
      <c r="B3682" t="s">
        <v>42</v>
      </c>
      <c r="C3682" s="3">
        <v>101.9</v>
      </c>
      <c r="D3682">
        <v>1</v>
      </c>
      <c r="E3682">
        <v>1</v>
      </c>
      <c r="F3682">
        <v>1</v>
      </c>
    </row>
    <row r="3683" spans="1:6">
      <c r="A3683" t="s">
        <v>298</v>
      </c>
      <c r="B3683" t="s">
        <v>46</v>
      </c>
      <c r="C3683" s="3">
        <v>105.1</v>
      </c>
      <c r="D3683">
        <v>1</v>
      </c>
      <c r="E3683">
        <v>1</v>
      </c>
      <c r="F3683">
        <v>1</v>
      </c>
    </row>
    <row r="3684" spans="1:6">
      <c r="A3684" t="s">
        <v>298</v>
      </c>
      <c r="B3684" t="s">
        <v>392</v>
      </c>
      <c r="C3684" s="3">
        <v>34341383973</v>
      </c>
      <c r="D3684">
        <v>1</v>
      </c>
      <c r="E3684">
        <v>1</v>
      </c>
      <c r="F3684">
        <v>1</v>
      </c>
    </row>
    <row r="3685" spans="1:6">
      <c r="A3685" t="s">
        <v>298</v>
      </c>
      <c r="B3685" t="s">
        <v>393</v>
      </c>
      <c r="C3685" s="3">
        <v>119597874900</v>
      </c>
      <c r="D3685">
        <v>1</v>
      </c>
      <c r="E3685">
        <v>1</v>
      </c>
      <c r="F3685">
        <v>1</v>
      </c>
    </row>
    <row r="3686" spans="1:6">
      <c r="A3686" t="s">
        <v>298</v>
      </c>
      <c r="B3686" t="s">
        <v>394</v>
      </c>
      <c r="C3686" s="3">
        <v>3.48261662937145</v>
      </c>
      <c r="D3686">
        <v>1</v>
      </c>
      <c r="E3686">
        <v>1</v>
      </c>
      <c r="F3686">
        <v>1</v>
      </c>
    </row>
    <row r="3687" spans="1:6">
      <c r="A3687" t="s">
        <v>298</v>
      </c>
      <c r="B3687" t="s">
        <v>39</v>
      </c>
      <c r="C3687" s="3">
        <v>-1.91519944861149</v>
      </c>
      <c r="D3687">
        <v>1</v>
      </c>
      <c r="E3687">
        <v>1</v>
      </c>
      <c r="F3687">
        <v>1</v>
      </c>
    </row>
    <row r="3688" spans="1:6">
      <c r="A3688" t="s">
        <v>298</v>
      </c>
      <c r="B3688" t="s">
        <v>43</v>
      </c>
      <c r="C3688" s="3">
        <v>2.59999999999999</v>
      </c>
      <c r="D3688">
        <v>1</v>
      </c>
      <c r="E3688">
        <v>1</v>
      </c>
      <c r="F3688">
        <v>1</v>
      </c>
    </row>
    <row r="3689" spans="1:6">
      <c r="A3689" t="s">
        <v>298</v>
      </c>
      <c r="B3689" t="s">
        <v>44</v>
      </c>
      <c r="C3689" s="3">
        <v>0.600000000000009</v>
      </c>
      <c r="D3689">
        <v>1</v>
      </c>
      <c r="E3689">
        <v>1</v>
      </c>
      <c r="F3689">
        <v>1</v>
      </c>
    </row>
    <row r="3690" spans="1:6">
      <c r="A3690" t="s">
        <v>298</v>
      </c>
      <c r="B3690" t="s">
        <v>45</v>
      </c>
      <c r="C3690" s="3">
        <v>0.100000000000009</v>
      </c>
      <c r="D3690">
        <v>1</v>
      </c>
      <c r="E3690">
        <v>1</v>
      </c>
      <c r="F3690">
        <v>1</v>
      </c>
    </row>
    <row r="3691" spans="1:6">
      <c r="A3691" t="s">
        <v>298</v>
      </c>
      <c r="B3691" t="s">
        <v>396</v>
      </c>
      <c r="C3691" s="3">
        <v>6.23189206822099</v>
      </c>
      <c r="D3691">
        <v>1</v>
      </c>
      <c r="E3691">
        <v>1</v>
      </c>
      <c r="F3691">
        <v>1</v>
      </c>
    </row>
    <row r="3692" spans="1:6">
      <c r="A3692" t="s">
        <v>299</v>
      </c>
      <c r="B3692" t="s">
        <v>34</v>
      </c>
      <c r="C3692" s="3">
        <v>74.25</v>
      </c>
      <c r="D3692">
        <v>1</v>
      </c>
      <c r="E3692">
        <v>1</v>
      </c>
      <c r="F3692">
        <v>1</v>
      </c>
    </row>
    <row r="3693" spans="1:6">
      <c r="A3693" t="s">
        <v>299</v>
      </c>
      <c r="B3693" t="s">
        <v>35</v>
      </c>
      <c r="C3693" s="3">
        <v>6.7164</v>
      </c>
      <c r="D3693">
        <v>1</v>
      </c>
      <c r="E3693">
        <v>1</v>
      </c>
      <c r="F3693">
        <v>1</v>
      </c>
    </row>
    <row r="3694" spans="1:6">
      <c r="A3694" t="s">
        <v>299</v>
      </c>
      <c r="B3694" t="s">
        <v>36</v>
      </c>
      <c r="C3694" s="3">
        <v>498.6927</v>
      </c>
      <c r="D3694">
        <v>1</v>
      </c>
      <c r="E3694">
        <v>1</v>
      </c>
      <c r="F3694">
        <v>1</v>
      </c>
    </row>
    <row r="3695" spans="1:6">
      <c r="A3695" t="s">
        <v>299</v>
      </c>
      <c r="B3695" t="s">
        <v>40</v>
      </c>
      <c r="C3695" s="3">
        <v>109.9</v>
      </c>
      <c r="D3695">
        <v>1</v>
      </c>
      <c r="E3695">
        <v>1</v>
      </c>
      <c r="F3695">
        <v>1</v>
      </c>
    </row>
    <row r="3696" spans="1:6">
      <c r="A3696" t="s">
        <v>299</v>
      </c>
      <c r="B3696" t="s">
        <v>41</v>
      </c>
      <c r="C3696" s="3">
        <v>104.6</v>
      </c>
      <c r="D3696">
        <v>1</v>
      </c>
      <c r="E3696">
        <v>1</v>
      </c>
      <c r="F3696">
        <v>1</v>
      </c>
    </row>
    <row r="3697" spans="1:6">
      <c r="A3697" t="s">
        <v>299</v>
      </c>
      <c r="B3697" t="s">
        <v>42</v>
      </c>
      <c r="C3697" s="3">
        <v>102.1</v>
      </c>
      <c r="D3697">
        <v>1</v>
      </c>
      <c r="E3697">
        <v>1</v>
      </c>
      <c r="F3697">
        <v>1</v>
      </c>
    </row>
    <row r="3698" spans="1:6">
      <c r="A3698" t="s">
        <v>299</v>
      </c>
      <c r="B3698" t="s">
        <v>46</v>
      </c>
      <c r="C3698" s="3">
        <v>105.2</v>
      </c>
      <c r="D3698">
        <v>1</v>
      </c>
      <c r="E3698">
        <v>1</v>
      </c>
      <c r="F3698">
        <v>1</v>
      </c>
    </row>
    <row r="3699" spans="1:6">
      <c r="A3699" t="s">
        <v>299</v>
      </c>
      <c r="B3699" t="s">
        <v>392</v>
      </c>
      <c r="C3699" s="3">
        <v>36024610050</v>
      </c>
      <c r="D3699">
        <v>1</v>
      </c>
      <c r="E3699">
        <v>1</v>
      </c>
      <c r="F3699">
        <v>1</v>
      </c>
    </row>
    <row r="3700" spans="1:6">
      <c r="A3700" t="s">
        <v>299</v>
      </c>
      <c r="B3700" t="s">
        <v>393</v>
      </c>
      <c r="C3700" s="3">
        <v>125843148032</v>
      </c>
      <c r="D3700">
        <v>1</v>
      </c>
      <c r="E3700">
        <v>1</v>
      </c>
      <c r="F3700">
        <v>1</v>
      </c>
    </row>
    <row r="3701" spans="1:6">
      <c r="A3701" t="s">
        <v>299</v>
      </c>
      <c r="B3701" t="s">
        <v>394</v>
      </c>
      <c r="C3701" s="3">
        <v>3.49325496812699</v>
      </c>
      <c r="D3701">
        <v>1</v>
      </c>
      <c r="E3701">
        <v>1</v>
      </c>
      <c r="F3701">
        <v>1</v>
      </c>
    </row>
    <row r="3702" spans="1:6">
      <c r="A3702" t="s">
        <v>299</v>
      </c>
      <c r="B3702" t="s">
        <v>39</v>
      </c>
      <c r="C3702" s="3">
        <v>3.59812529685234</v>
      </c>
      <c r="D3702">
        <v>1</v>
      </c>
      <c r="E3702">
        <v>1</v>
      </c>
      <c r="F3702">
        <v>1</v>
      </c>
    </row>
    <row r="3703" spans="1:6">
      <c r="A3703" t="s">
        <v>299</v>
      </c>
      <c r="B3703" t="s">
        <v>43</v>
      </c>
      <c r="C3703" s="3">
        <v>1.80000000000001</v>
      </c>
      <c r="D3703">
        <v>1</v>
      </c>
      <c r="E3703">
        <v>1</v>
      </c>
      <c r="F3703">
        <v>1</v>
      </c>
    </row>
    <row r="3704" spans="1:6">
      <c r="A3704" t="s">
        <v>299</v>
      </c>
      <c r="B3704" t="s">
        <v>44</v>
      </c>
      <c r="C3704" s="3">
        <v>-0.100000000000009</v>
      </c>
      <c r="D3704">
        <v>1</v>
      </c>
      <c r="E3704">
        <v>1</v>
      </c>
      <c r="F3704">
        <v>1</v>
      </c>
    </row>
    <row r="3705" spans="1:6">
      <c r="A3705" t="s">
        <v>299</v>
      </c>
      <c r="B3705" t="s">
        <v>45</v>
      </c>
      <c r="C3705" s="3">
        <v>0.199999999999989</v>
      </c>
      <c r="D3705">
        <v>1</v>
      </c>
      <c r="E3705">
        <v>1</v>
      </c>
      <c r="F3705">
        <v>1</v>
      </c>
    </row>
    <row r="3706" spans="1:6">
      <c r="A3706" t="s">
        <v>299</v>
      </c>
      <c r="B3706" t="s">
        <v>396</v>
      </c>
      <c r="C3706" s="3">
        <v>0.305004094585213</v>
      </c>
      <c r="D3706">
        <v>1</v>
      </c>
      <c r="E3706">
        <v>1</v>
      </c>
      <c r="F3706">
        <v>1</v>
      </c>
    </row>
    <row r="3707" spans="1:6">
      <c r="A3707" t="s">
        <v>300</v>
      </c>
      <c r="B3707" t="s">
        <v>34</v>
      </c>
      <c r="C3707" s="3">
        <v>72.53</v>
      </c>
      <c r="D3707">
        <v>1</v>
      </c>
      <c r="E3707">
        <v>1</v>
      </c>
      <c r="F3707">
        <v>1</v>
      </c>
    </row>
    <row r="3708" spans="1:6">
      <c r="A3708" t="s">
        <v>300</v>
      </c>
      <c r="B3708" t="s">
        <v>35</v>
      </c>
      <c r="C3708" s="3">
        <v>6.8453</v>
      </c>
      <c r="D3708">
        <v>1</v>
      </c>
      <c r="E3708">
        <v>1</v>
      </c>
      <c r="F3708">
        <v>1</v>
      </c>
    </row>
    <row r="3709" spans="1:6">
      <c r="A3709" t="s">
        <v>300</v>
      </c>
      <c r="B3709" t="s">
        <v>36</v>
      </c>
      <c r="C3709" s="3">
        <v>496.489609</v>
      </c>
      <c r="D3709">
        <v>1</v>
      </c>
      <c r="E3709">
        <v>1</v>
      </c>
      <c r="F3709">
        <v>1</v>
      </c>
    </row>
    <row r="3710" spans="1:6">
      <c r="A3710" t="s">
        <v>300</v>
      </c>
      <c r="B3710" t="s">
        <v>40</v>
      </c>
      <c r="C3710" s="3">
        <v>109.7</v>
      </c>
      <c r="D3710">
        <v>1</v>
      </c>
      <c r="E3710">
        <v>1</v>
      </c>
      <c r="F3710">
        <v>1</v>
      </c>
    </row>
    <row r="3711" spans="1:6">
      <c r="A3711" t="s">
        <v>300</v>
      </c>
      <c r="B3711" t="s">
        <v>41</v>
      </c>
      <c r="C3711" s="3">
        <v>104.1</v>
      </c>
      <c r="D3711">
        <v>1</v>
      </c>
      <c r="E3711">
        <v>1</v>
      </c>
      <c r="F3711">
        <v>1</v>
      </c>
    </row>
    <row r="3712" spans="1:6">
      <c r="A3712" t="s">
        <v>300</v>
      </c>
      <c r="B3712" t="s">
        <v>42</v>
      </c>
      <c r="C3712" s="3">
        <v>102.3</v>
      </c>
      <c r="D3712">
        <v>1</v>
      </c>
      <c r="E3712">
        <v>1</v>
      </c>
      <c r="F3712">
        <v>1</v>
      </c>
    </row>
    <row r="3713" spans="1:6">
      <c r="A3713" t="s">
        <v>300</v>
      </c>
      <c r="B3713" t="s">
        <v>46</v>
      </c>
      <c r="C3713" s="3">
        <v>104.8</v>
      </c>
      <c r="D3713">
        <v>1</v>
      </c>
      <c r="E3713">
        <v>1</v>
      </c>
      <c r="F3713">
        <v>1</v>
      </c>
    </row>
    <row r="3714" spans="1:6">
      <c r="A3714" t="s">
        <v>300</v>
      </c>
      <c r="B3714" t="s">
        <v>392</v>
      </c>
      <c r="C3714" s="3">
        <v>38338325147</v>
      </c>
      <c r="D3714">
        <v>1</v>
      </c>
      <c r="E3714">
        <v>1</v>
      </c>
      <c r="F3714">
        <v>1</v>
      </c>
    </row>
    <row r="3715" spans="1:6">
      <c r="A3715" t="s">
        <v>300</v>
      </c>
      <c r="B3715" t="s">
        <v>393</v>
      </c>
      <c r="C3715" s="3">
        <v>138744891097</v>
      </c>
      <c r="D3715">
        <v>1</v>
      </c>
      <c r="E3715">
        <v>1</v>
      </c>
      <c r="F3715">
        <v>1</v>
      </c>
    </row>
    <row r="3716" spans="1:6">
      <c r="A3716" t="s">
        <v>300</v>
      </c>
      <c r="B3716" t="s">
        <v>394</v>
      </c>
      <c r="C3716" s="3">
        <v>3.61896067616446</v>
      </c>
      <c r="D3716">
        <v>1</v>
      </c>
      <c r="E3716">
        <v>1</v>
      </c>
      <c r="F3716">
        <v>1</v>
      </c>
    </row>
    <row r="3717" spans="1:6">
      <c r="A3717" t="s">
        <v>300</v>
      </c>
      <c r="B3717" t="s">
        <v>39</v>
      </c>
      <c r="C3717" s="3">
        <v>-0.442751961925942</v>
      </c>
      <c r="D3717">
        <v>1</v>
      </c>
      <c r="E3717">
        <v>1</v>
      </c>
      <c r="F3717">
        <v>1</v>
      </c>
    </row>
    <row r="3718" spans="1:6">
      <c r="A3718" t="s">
        <v>300</v>
      </c>
      <c r="B3718" t="s">
        <v>43</v>
      </c>
      <c r="C3718" s="3">
        <v>-0.200000000000003</v>
      </c>
      <c r="D3718">
        <v>1</v>
      </c>
      <c r="E3718">
        <v>1</v>
      </c>
      <c r="F3718">
        <v>1</v>
      </c>
    </row>
    <row r="3719" spans="1:6">
      <c r="A3719" t="s">
        <v>300</v>
      </c>
      <c r="B3719" t="s">
        <v>44</v>
      </c>
      <c r="C3719" s="3">
        <v>-0.5</v>
      </c>
      <c r="D3719">
        <v>1</v>
      </c>
      <c r="E3719">
        <v>1</v>
      </c>
      <c r="F3719">
        <v>1</v>
      </c>
    </row>
    <row r="3720" spans="1:6">
      <c r="A3720" t="s">
        <v>300</v>
      </c>
      <c r="B3720" t="s">
        <v>45</v>
      </c>
      <c r="C3720" s="3">
        <v>0.200000000000003</v>
      </c>
      <c r="D3720">
        <v>1</v>
      </c>
      <c r="E3720">
        <v>1</v>
      </c>
      <c r="F3720">
        <v>1</v>
      </c>
    </row>
    <row r="3721" spans="1:6">
      <c r="A3721" t="s">
        <v>300</v>
      </c>
      <c r="B3721" t="s">
        <v>396</v>
      </c>
      <c r="C3721" s="3">
        <v>3.53529213978429</v>
      </c>
      <c r="D3721">
        <v>1</v>
      </c>
      <c r="E3721">
        <v>1</v>
      </c>
      <c r="F3721">
        <v>1</v>
      </c>
    </row>
    <row r="3722" spans="1:6">
      <c r="A3722" t="s">
        <v>301</v>
      </c>
      <c r="B3722" t="s">
        <v>34</v>
      </c>
      <c r="C3722" s="3">
        <v>78.89</v>
      </c>
      <c r="D3722">
        <v>1</v>
      </c>
      <c r="E3722">
        <v>1</v>
      </c>
      <c r="F3722">
        <v>1</v>
      </c>
    </row>
    <row r="3723" spans="1:6">
      <c r="A3723" t="s">
        <v>301</v>
      </c>
      <c r="B3723" t="s">
        <v>35</v>
      </c>
      <c r="C3723" s="3">
        <v>6.8551</v>
      </c>
      <c r="D3723">
        <v>1</v>
      </c>
      <c r="E3723">
        <v>1</v>
      </c>
      <c r="F3723">
        <v>1</v>
      </c>
    </row>
    <row r="3724" spans="1:6">
      <c r="A3724" t="s">
        <v>301</v>
      </c>
      <c r="B3724" t="s">
        <v>36</v>
      </c>
      <c r="C3724" s="3">
        <v>540.798839</v>
      </c>
      <c r="D3724">
        <v>1</v>
      </c>
      <c r="E3724">
        <v>1</v>
      </c>
      <c r="F3724">
        <v>1</v>
      </c>
    </row>
    <row r="3725" spans="1:6">
      <c r="A3725" t="s">
        <v>301</v>
      </c>
      <c r="B3725" t="s">
        <v>40</v>
      </c>
      <c r="C3725" s="3">
        <v>109.2</v>
      </c>
      <c r="D3725">
        <v>1</v>
      </c>
      <c r="E3725">
        <v>1</v>
      </c>
      <c r="F3725">
        <v>1</v>
      </c>
    </row>
    <row r="3726" spans="1:6">
      <c r="A3726" t="s">
        <v>301</v>
      </c>
      <c r="B3726" t="s">
        <v>41</v>
      </c>
      <c r="C3726" s="3">
        <v>103.6</v>
      </c>
      <c r="D3726">
        <v>1</v>
      </c>
      <c r="E3726">
        <v>1</v>
      </c>
      <c r="F3726">
        <v>1</v>
      </c>
    </row>
    <row r="3727" spans="1:6">
      <c r="A3727" t="s">
        <v>301</v>
      </c>
      <c r="B3727" t="s">
        <v>42</v>
      </c>
      <c r="C3727" s="3">
        <v>102.5</v>
      </c>
      <c r="D3727">
        <v>1</v>
      </c>
      <c r="E3727">
        <v>1</v>
      </c>
      <c r="F3727">
        <v>1</v>
      </c>
    </row>
    <row r="3728" spans="1:6">
      <c r="A3728" t="s">
        <v>301</v>
      </c>
      <c r="B3728" t="s">
        <v>46</v>
      </c>
      <c r="C3728" s="3">
        <v>104.2</v>
      </c>
      <c r="D3728">
        <v>1</v>
      </c>
      <c r="E3728">
        <v>1</v>
      </c>
      <c r="F3728">
        <v>1</v>
      </c>
    </row>
    <row r="3729" spans="1:6">
      <c r="A3729" t="s">
        <v>301</v>
      </c>
      <c r="B3729" t="s">
        <v>392</v>
      </c>
      <c r="C3729" s="3">
        <v>37212434610</v>
      </c>
      <c r="D3729">
        <v>1</v>
      </c>
      <c r="E3729">
        <v>1</v>
      </c>
      <c r="F3729">
        <v>1</v>
      </c>
    </row>
    <row r="3730" spans="1:6">
      <c r="A3730" t="s">
        <v>301</v>
      </c>
      <c r="B3730" t="s">
        <v>393</v>
      </c>
      <c r="C3730" s="3">
        <v>139248251666</v>
      </c>
      <c r="D3730">
        <v>1</v>
      </c>
      <c r="E3730">
        <v>1</v>
      </c>
      <c r="F3730">
        <v>1</v>
      </c>
    </row>
    <row r="3731" spans="1:6">
      <c r="A3731" t="s">
        <v>301</v>
      </c>
      <c r="B3731" t="s">
        <v>394</v>
      </c>
      <c r="C3731" s="3">
        <v>3.74198176296103</v>
      </c>
      <c r="D3731">
        <v>1</v>
      </c>
      <c r="E3731">
        <v>1</v>
      </c>
      <c r="F3731">
        <v>1</v>
      </c>
    </row>
    <row r="3732" spans="1:6">
      <c r="A3732" t="s">
        <v>301</v>
      </c>
      <c r="B3732" t="s">
        <v>39</v>
      </c>
      <c r="C3732" s="3">
        <v>8.54848231401967</v>
      </c>
      <c r="D3732">
        <v>1</v>
      </c>
      <c r="E3732">
        <v>1</v>
      </c>
      <c r="F3732">
        <v>1</v>
      </c>
    </row>
    <row r="3733" spans="1:6">
      <c r="A3733" t="s">
        <v>301</v>
      </c>
      <c r="B3733" t="s">
        <v>43</v>
      </c>
      <c r="C3733" s="3">
        <v>-0.5</v>
      </c>
      <c r="D3733">
        <v>1</v>
      </c>
      <c r="E3733">
        <v>1</v>
      </c>
      <c r="F3733">
        <v>1</v>
      </c>
    </row>
    <row r="3734" spans="1:6">
      <c r="A3734" t="s">
        <v>301</v>
      </c>
      <c r="B3734" t="s">
        <v>44</v>
      </c>
      <c r="C3734" s="3">
        <v>-0.5</v>
      </c>
      <c r="D3734">
        <v>1</v>
      </c>
      <c r="E3734">
        <v>1</v>
      </c>
      <c r="F3734">
        <v>1</v>
      </c>
    </row>
    <row r="3735" spans="1:6">
      <c r="A3735" t="s">
        <v>301</v>
      </c>
      <c r="B3735" t="s">
        <v>45</v>
      </c>
      <c r="C3735" s="3">
        <v>0.200000000000003</v>
      </c>
      <c r="D3735">
        <v>1</v>
      </c>
      <c r="E3735">
        <v>1</v>
      </c>
      <c r="F3735">
        <v>1</v>
      </c>
    </row>
    <row r="3736" spans="1:6">
      <c r="A3736" t="s">
        <v>301</v>
      </c>
      <c r="B3736" t="s">
        <v>396</v>
      </c>
      <c r="C3736" s="3">
        <v>3.34284756496667</v>
      </c>
      <c r="D3736">
        <v>1</v>
      </c>
      <c r="E3736">
        <v>1</v>
      </c>
      <c r="F3736">
        <v>1</v>
      </c>
    </row>
    <row r="3737" spans="1:6">
      <c r="A3737" t="s">
        <v>302</v>
      </c>
      <c r="B3737" t="s">
        <v>34</v>
      </c>
      <c r="C3737" s="3">
        <v>81.03</v>
      </c>
      <c r="D3737">
        <v>1</v>
      </c>
      <c r="E3737">
        <v>1</v>
      </c>
      <c r="F3737">
        <v>1</v>
      </c>
    </row>
    <row r="3738" spans="1:6">
      <c r="A3738" t="s">
        <v>302</v>
      </c>
      <c r="B3738" t="s">
        <v>35</v>
      </c>
      <c r="C3738" s="3">
        <v>6.9191</v>
      </c>
      <c r="D3738">
        <v>1</v>
      </c>
      <c r="E3738">
        <v>1</v>
      </c>
      <c r="F3738">
        <v>1</v>
      </c>
    </row>
    <row r="3739" spans="1:6">
      <c r="A3739" t="s">
        <v>302</v>
      </c>
      <c r="B3739" t="s">
        <v>36</v>
      </c>
      <c r="C3739" s="3">
        <v>560.654673</v>
      </c>
      <c r="D3739">
        <v>1</v>
      </c>
      <c r="E3739">
        <v>1</v>
      </c>
      <c r="F3739">
        <v>1</v>
      </c>
    </row>
    <row r="3740" spans="1:6">
      <c r="A3740" t="s">
        <v>302</v>
      </c>
      <c r="B3740" t="s">
        <v>40</v>
      </c>
      <c r="C3740" s="3">
        <v>109.4</v>
      </c>
      <c r="D3740">
        <v>1</v>
      </c>
      <c r="E3740">
        <v>1</v>
      </c>
      <c r="F3740">
        <v>1</v>
      </c>
    </row>
    <row r="3741" spans="1:6">
      <c r="A3741" t="s">
        <v>302</v>
      </c>
      <c r="B3741" t="s">
        <v>41</v>
      </c>
      <c r="C3741" s="3">
        <v>103.3</v>
      </c>
      <c r="D3741">
        <v>1</v>
      </c>
      <c r="E3741">
        <v>1</v>
      </c>
      <c r="F3741">
        <v>1</v>
      </c>
    </row>
    <row r="3742" spans="1:6">
      <c r="A3742" t="s">
        <v>302</v>
      </c>
      <c r="B3742" t="s">
        <v>42</v>
      </c>
      <c r="C3742" s="3">
        <v>102.5</v>
      </c>
      <c r="D3742">
        <v>1</v>
      </c>
      <c r="E3742">
        <v>1</v>
      </c>
      <c r="F3742">
        <v>1</v>
      </c>
    </row>
    <row r="3743" spans="1:6">
      <c r="A3743" t="s">
        <v>302</v>
      </c>
      <c r="B3743" t="s">
        <v>46</v>
      </c>
      <c r="C3743" s="3">
        <v>104</v>
      </c>
      <c r="D3743">
        <v>1</v>
      </c>
      <c r="E3743">
        <v>1</v>
      </c>
      <c r="F3743">
        <v>1</v>
      </c>
    </row>
    <row r="3744" spans="1:6">
      <c r="A3744" t="s">
        <v>302</v>
      </c>
      <c r="B3744" t="s">
        <v>392</v>
      </c>
      <c r="C3744" s="3">
        <v>38872534729</v>
      </c>
      <c r="D3744">
        <v>1</v>
      </c>
      <c r="E3744">
        <v>1</v>
      </c>
      <c r="F3744">
        <v>1</v>
      </c>
    </row>
    <row r="3745" spans="1:6">
      <c r="A3745" t="s">
        <v>302</v>
      </c>
      <c r="B3745" t="s">
        <v>393</v>
      </c>
      <c r="C3745" s="3">
        <v>151631037157</v>
      </c>
      <c r="D3745">
        <v>1</v>
      </c>
      <c r="E3745">
        <v>1</v>
      </c>
      <c r="F3745">
        <v>1</v>
      </c>
    </row>
    <row r="3746" spans="1:6">
      <c r="A3746" t="s">
        <v>302</v>
      </c>
      <c r="B3746" t="s">
        <v>394</v>
      </c>
      <c r="C3746" s="3">
        <v>3.90072420576884</v>
      </c>
      <c r="D3746">
        <v>1</v>
      </c>
      <c r="E3746">
        <v>1</v>
      </c>
      <c r="F3746">
        <v>1</v>
      </c>
    </row>
    <row r="3747" spans="1:6">
      <c r="A3747" t="s">
        <v>302</v>
      </c>
      <c r="B3747" t="s">
        <v>39</v>
      </c>
      <c r="C3747" s="3">
        <v>3.60577819335711</v>
      </c>
      <c r="D3747">
        <v>1</v>
      </c>
      <c r="E3747">
        <v>1</v>
      </c>
      <c r="F3747">
        <v>1</v>
      </c>
    </row>
    <row r="3748" spans="1:6">
      <c r="A3748" t="s">
        <v>302</v>
      </c>
      <c r="B3748" t="s">
        <v>43</v>
      </c>
      <c r="C3748" s="3">
        <v>0.200000000000003</v>
      </c>
      <c r="D3748">
        <v>1</v>
      </c>
      <c r="E3748">
        <v>1</v>
      </c>
      <c r="F3748">
        <v>1</v>
      </c>
    </row>
    <row r="3749" spans="1:6">
      <c r="A3749" t="s">
        <v>302</v>
      </c>
      <c r="B3749" t="s">
        <v>44</v>
      </c>
      <c r="C3749" s="3">
        <v>-0.299999999999997</v>
      </c>
      <c r="D3749">
        <v>1</v>
      </c>
      <c r="E3749">
        <v>1</v>
      </c>
      <c r="F3749">
        <v>1</v>
      </c>
    </row>
    <row r="3750" spans="1:6">
      <c r="A3750" t="s">
        <v>302</v>
      </c>
      <c r="B3750" t="s">
        <v>45</v>
      </c>
      <c r="C3750" s="3">
        <v>0</v>
      </c>
      <c r="D3750">
        <v>1</v>
      </c>
      <c r="E3750">
        <v>1</v>
      </c>
      <c r="F3750">
        <v>1</v>
      </c>
    </row>
    <row r="3751" spans="1:6">
      <c r="A3751" t="s">
        <v>302</v>
      </c>
      <c r="B3751" t="s">
        <v>396</v>
      </c>
      <c r="C3751" s="3">
        <v>4.15468754509228</v>
      </c>
      <c r="D3751">
        <v>1</v>
      </c>
      <c r="E3751">
        <v>1</v>
      </c>
      <c r="F3751">
        <v>1</v>
      </c>
    </row>
    <row r="3752" spans="1:6">
      <c r="A3752" t="s">
        <v>303</v>
      </c>
      <c r="B3752" t="s">
        <v>34</v>
      </c>
      <c r="C3752" s="3">
        <v>64.75</v>
      </c>
      <c r="D3752">
        <v>1</v>
      </c>
      <c r="E3752">
        <v>1</v>
      </c>
      <c r="F3752">
        <v>1</v>
      </c>
    </row>
    <row r="3753" spans="1:6">
      <c r="A3753" t="s">
        <v>303</v>
      </c>
      <c r="B3753" t="s">
        <v>35</v>
      </c>
      <c r="C3753" s="3">
        <v>6.9367</v>
      </c>
      <c r="D3753">
        <v>1</v>
      </c>
      <c r="E3753">
        <v>1</v>
      </c>
      <c r="F3753">
        <v>1</v>
      </c>
    </row>
    <row r="3754" spans="1:6">
      <c r="A3754" t="s">
        <v>303</v>
      </c>
      <c r="B3754" t="s">
        <v>36</v>
      </c>
      <c r="C3754" s="3">
        <v>449.151325</v>
      </c>
      <c r="D3754">
        <v>1</v>
      </c>
      <c r="E3754">
        <v>1</v>
      </c>
      <c r="F3754">
        <v>1</v>
      </c>
    </row>
    <row r="3755" spans="1:6">
      <c r="A3755" t="s">
        <v>303</v>
      </c>
      <c r="B3755" t="s">
        <v>40</v>
      </c>
      <c r="C3755" s="3">
        <v>107.9</v>
      </c>
      <c r="D3755">
        <v>1</v>
      </c>
      <c r="E3755">
        <v>1</v>
      </c>
      <c r="F3755">
        <v>1</v>
      </c>
    </row>
    <row r="3756" spans="1:6">
      <c r="A3756" t="s">
        <v>303</v>
      </c>
      <c r="B3756" t="s">
        <v>41</v>
      </c>
      <c r="C3756" s="3">
        <v>102.7</v>
      </c>
      <c r="D3756">
        <v>1</v>
      </c>
      <c r="E3756">
        <v>1</v>
      </c>
      <c r="F3756">
        <v>1</v>
      </c>
    </row>
    <row r="3757" spans="1:6">
      <c r="A3757" t="s">
        <v>303</v>
      </c>
      <c r="B3757" t="s">
        <v>42</v>
      </c>
      <c r="C3757" s="3">
        <v>102.2</v>
      </c>
      <c r="D3757">
        <v>1</v>
      </c>
      <c r="E3757">
        <v>1</v>
      </c>
      <c r="F3757">
        <v>1</v>
      </c>
    </row>
    <row r="3758" spans="1:6">
      <c r="A3758" t="s">
        <v>303</v>
      </c>
      <c r="B3758" t="s">
        <v>46</v>
      </c>
      <c r="C3758" s="3">
        <v>103.3</v>
      </c>
      <c r="D3758">
        <v>1</v>
      </c>
      <c r="E3758">
        <v>1</v>
      </c>
      <c r="F3758">
        <v>1</v>
      </c>
    </row>
    <row r="3759" spans="1:6">
      <c r="A3759" t="s">
        <v>303</v>
      </c>
      <c r="B3759" t="s">
        <v>392</v>
      </c>
      <c r="C3759" s="3">
        <v>42865878728</v>
      </c>
      <c r="D3759">
        <v>1</v>
      </c>
      <c r="E3759">
        <v>1</v>
      </c>
      <c r="F3759">
        <v>1</v>
      </c>
    </row>
    <row r="3760" spans="1:6">
      <c r="A3760" t="s">
        <v>303</v>
      </c>
      <c r="B3760" t="s">
        <v>393</v>
      </c>
      <c r="C3760" s="3">
        <v>166157847513</v>
      </c>
      <c r="D3760">
        <v>1</v>
      </c>
      <c r="E3760">
        <v>1</v>
      </c>
      <c r="F3760">
        <v>1</v>
      </c>
    </row>
    <row r="3761" spans="1:6">
      <c r="A3761" t="s">
        <v>303</v>
      </c>
      <c r="B3761" t="s">
        <v>394</v>
      </c>
      <c r="C3761" s="3">
        <v>3.87622632367654</v>
      </c>
      <c r="D3761">
        <v>1</v>
      </c>
      <c r="E3761">
        <v>1</v>
      </c>
      <c r="F3761">
        <v>1</v>
      </c>
    </row>
    <row r="3762" spans="1:6">
      <c r="A3762" t="s">
        <v>303</v>
      </c>
      <c r="B3762" t="s">
        <v>39</v>
      </c>
      <c r="C3762" s="3">
        <v>-22.1745302152932</v>
      </c>
      <c r="D3762">
        <v>1</v>
      </c>
      <c r="E3762">
        <v>1</v>
      </c>
      <c r="F3762">
        <v>1</v>
      </c>
    </row>
    <row r="3763" spans="1:6">
      <c r="A3763" t="s">
        <v>303</v>
      </c>
      <c r="B3763" t="s">
        <v>43</v>
      </c>
      <c r="C3763" s="3">
        <v>-1.5</v>
      </c>
      <c r="D3763">
        <v>1</v>
      </c>
      <c r="E3763">
        <v>1</v>
      </c>
      <c r="F3763">
        <v>1</v>
      </c>
    </row>
    <row r="3764" spans="1:6">
      <c r="A3764" t="s">
        <v>303</v>
      </c>
      <c r="B3764" t="s">
        <v>44</v>
      </c>
      <c r="C3764" s="3">
        <v>-0.599999999999994</v>
      </c>
      <c r="D3764">
        <v>1</v>
      </c>
      <c r="E3764">
        <v>1</v>
      </c>
      <c r="F3764">
        <v>1</v>
      </c>
    </row>
    <row r="3765" spans="1:6">
      <c r="A3765" t="s">
        <v>303</v>
      </c>
      <c r="B3765" t="s">
        <v>45</v>
      </c>
      <c r="C3765" s="3">
        <v>-0.299999999999997</v>
      </c>
      <c r="D3765">
        <v>1</v>
      </c>
      <c r="E3765">
        <v>1</v>
      </c>
      <c r="F3765">
        <v>1</v>
      </c>
    </row>
    <row r="3766" spans="1:6">
      <c r="A3766" t="s">
        <v>303</v>
      </c>
      <c r="B3766" t="s">
        <v>396</v>
      </c>
      <c r="C3766" s="3">
        <v>-0.63001463182753</v>
      </c>
      <c r="D3766">
        <v>1</v>
      </c>
      <c r="E3766">
        <v>1</v>
      </c>
      <c r="F3766">
        <v>1</v>
      </c>
    </row>
    <row r="3767" spans="1:6">
      <c r="A3767" t="s">
        <v>304</v>
      </c>
      <c r="B3767" t="s">
        <v>34</v>
      </c>
      <c r="C3767" s="3">
        <v>57.36</v>
      </c>
      <c r="D3767">
        <v>1</v>
      </c>
      <c r="E3767">
        <v>1</v>
      </c>
      <c r="F3767">
        <v>1</v>
      </c>
    </row>
    <row r="3768" spans="1:6">
      <c r="A3768" t="s">
        <v>304</v>
      </c>
      <c r="B3768" t="s">
        <v>35</v>
      </c>
      <c r="C3768" s="3">
        <v>6.8837</v>
      </c>
      <c r="D3768">
        <v>1</v>
      </c>
      <c r="E3768">
        <v>1</v>
      </c>
      <c r="F3768">
        <v>1</v>
      </c>
    </row>
    <row r="3769" spans="1:6">
      <c r="A3769" t="s">
        <v>304</v>
      </c>
      <c r="B3769" t="s">
        <v>36</v>
      </c>
      <c r="C3769" s="3">
        <v>394.849032</v>
      </c>
      <c r="D3769">
        <v>1</v>
      </c>
      <c r="E3769">
        <v>1</v>
      </c>
      <c r="F3769">
        <v>1</v>
      </c>
    </row>
    <row r="3770" spans="1:6">
      <c r="A3770" t="s">
        <v>304</v>
      </c>
      <c r="B3770" t="s">
        <v>40</v>
      </c>
      <c r="C3770" s="3">
        <v>103.8</v>
      </c>
      <c r="D3770">
        <v>1</v>
      </c>
      <c r="E3770">
        <v>1</v>
      </c>
      <c r="F3770">
        <v>1</v>
      </c>
    </row>
    <row r="3771" spans="1:6">
      <c r="A3771" t="s">
        <v>304</v>
      </c>
      <c r="B3771" t="s">
        <v>41</v>
      </c>
      <c r="C3771" s="3">
        <v>100.9</v>
      </c>
      <c r="D3771">
        <v>1</v>
      </c>
      <c r="E3771">
        <v>1</v>
      </c>
      <c r="F3771">
        <v>1</v>
      </c>
    </row>
    <row r="3772" spans="1:6">
      <c r="A3772" t="s">
        <v>304</v>
      </c>
      <c r="B3772" t="s">
        <v>42</v>
      </c>
      <c r="C3772" s="3">
        <v>101.9</v>
      </c>
      <c r="D3772">
        <v>1</v>
      </c>
      <c r="E3772">
        <v>1</v>
      </c>
      <c r="F3772">
        <v>1</v>
      </c>
    </row>
    <row r="3773" spans="1:6">
      <c r="A3773" t="s">
        <v>304</v>
      </c>
      <c r="B3773" t="s">
        <v>46</v>
      </c>
      <c r="C3773" s="3">
        <v>101.6</v>
      </c>
      <c r="D3773">
        <v>1</v>
      </c>
      <c r="E3773">
        <v>1</v>
      </c>
      <c r="F3773">
        <v>1</v>
      </c>
    </row>
    <row r="3774" spans="1:6">
      <c r="A3774" t="s">
        <v>304</v>
      </c>
      <c r="B3774" t="s">
        <v>392</v>
      </c>
      <c r="C3774" s="3">
        <v>43777512730</v>
      </c>
      <c r="D3774">
        <v>1</v>
      </c>
      <c r="E3774">
        <v>1</v>
      </c>
      <c r="F3774">
        <v>1</v>
      </c>
    </row>
    <row r="3775" spans="1:6">
      <c r="A3775" t="s">
        <v>304</v>
      </c>
      <c r="B3775" t="s">
        <v>393</v>
      </c>
      <c r="C3775" s="3">
        <v>148128677174</v>
      </c>
      <c r="D3775">
        <v>1</v>
      </c>
      <c r="E3775">
        <v>1</v>
      </c>
      <c r="F3775">
        <v>1</v>
      </c>
    </row>
    <row r="3776" spans="1:6">
      <c r="A3776" t="s">
        <v>304</v>
      </c>
      <c r="B3776" t="s">
        <v>394</v>
      </c>
      <c r="C3776" s="3">
        <v>3.38367047227171</v>
      </c>
      <c r="D3776">
        <v>1</v>
      </c>
      <c r="E3776">
        <v>1</v>
      </c>
      <c r="F3776">
        <v>1</v>
      </c>
    </row>
    <row r="3777" spans="1:6">
      <c r="A3777" t="s">
        <v>304</v>
      </c>
      <c r="B3777" t="s">
        <v>39</v>
      </c>
      <c r="C3777" s="3">
        <v>-12.8856363310863</v>
      </c>
      <c r="D3777">
        <v>1</v>
      </c>
      <c r="E3777">
        <v>1</v>
      </c>
      <c r="F3777">
        <v>1</v>
      </c>
    </row>
    <row r="3778" spans="1:6">
      <c r="A3778" t="s">
        <v>304</v>
      </c>
      <c r="B3778" t="s">
        <v>43</v>
      </c>
      <c r="C3778" s="3">
        <v>-4.10000000000001</v>
      </c>
      <c r="D3778">
        <v>1</v>
      </c>
      <c r="E3778">
        <v>1</v>
      </c>
      <c r="F3778">
        <v>1</v>
      </c>
    </row>
    <row r="3779" spans="1:6">
      <c r="A3779" t="s">
        <v>304</v>
      </c>
      <c r="B3779" t="s">
        <v>44</v>
      </c>
      <c r="C3779" s="3">
        <v>-1.8</v>
      </c>
      <c r="D3779">
        <v>1</v>
      </c>
      <c r="E3779">
        <v>1</v>
      </c>
      <c r="F3779">
        <v>1</v>
      </c>
    </row>
    <row r="3780" spans="1:6">
      <c r="A3780" t="s">
        <v>304</v>
      </c>
      <c r="B3780" t="s">
        <v>45</v>
      </c>
      <c r="C3780" s="3">
        <v>-0.299999999999997</v>
      </c>
      <c r="D3780">
        <v>1</v>
      </c>
      <c r="E3780">
        <v>1</v>
      </c>
      <c r="F3780">
        <v>1</v>
      </c>
    </row>
    <row r="3781" spans="1:6">
      <c r="A3781" t="s">
        <v>304</v>
      </c>
      <c r="B3781" t="s">
        <v>396</v>
      </c>
      <c r="C3781" s="3">
        <v>-13.5901024533132</v>
      </c>
      <c r="D3781">
        <v>1</v>
      </c>
      <c r="E3781">
        <v>1</v>
      </c>
      <c r="F3781">
        <v>1</v>
      </c>
    </row>
    <row r="3782" spans="1:6">
      <c r="A3782" t="s">
        <v>305</v>
      </c>
      <c r="B3782" t="s">
        <v>34</v>
      </c>
      <c r="C3782" s="3">
        <v>59.41</v>
      </c>
      <c r="D3782">
        <v>1</v>
      </c>
      <c r="E3782">
        <v>1</v>
      </c>
      <c r="F3782">
        <v>1</v>
      </c>
    </row>
    <row r="3783" spans="1:6">
      <c r="A3783" t="s">
        <v>305</v>
      </c>
      <c r="B3783" t="s">
        <v>35</v>
      </c>
      <c r="C3783" s="3">
        <v>6.7863</v>
      </c>
      <c r="D3783">
        <v>1</v>
      </c>
      <c r="E3783">
        <v>1</v>
      </c>
      <c r="F3783">
        <v>1</v>
      </c>
    </row>
    <row r="3784" spans="1:6">
      <c r="A3784" t="s">
        <v>305</v>
      </c>
      <c r="B3784" t="s">
        <v>36</v>
      </c>
      <c r="C3784" s="3">
        <v>403.174083</v>
      </c>
      <c r="D3784">
        <v>1</v>
      </c>
      <c r="E3784">
        <v>1</v>
      </c>
      <c r="F3784">
        <v>1</v>
      </c>
    </row>
    <row r="3785" spans="1:6">
      <c r="A3785" t="s">
        <v>305</v>
      </c>
      <c r="B3785" t="s">
        <v>40</v>
      </c>
      <c r="C3785" s="3">
        <v>100.3</v>
      </c>
      <c r="D3785">
        <v>1</v>
      </c>
      <c r="E3785">
        <v>1</v>
      </c>
      <c r="F3785">
        <v>1</v>
      </c>
    </row>
    <row r="3786" spans="1:6">
      <c r="A3786" t="s">
        <v>305</v>
      </c>
      <c r="B3786" t="s">
        <v>41</v>
      </c>
      <c r="C3786" s="3">
        <v>100.1</v>
      </c>
      <c r="D3786">
        <v>1</v>
      </c>
      <c r="E3786">
        <v>1</v>
      </c>
      <c r="F3786">
        <v>1</v>
      </c>
    </row>
    <row r="3787" spans="1:6">
      <c r="A3787" t="s">
        <v>305</v>
      </c>
      <c r="B3787" t="s">
        <v>42</v>
      </c>
      <c r="C3787" s="3">
        <v>101.7</v>
      </c>
      <c r="D3787">
        <v>1</v>
      </c>
      <c r="E3787">
        <v>1</v>
      </c>
      <c r="F3787">
        <v>1</v>
      </c>
    </row>
    <row r="3788" spans="1:6">
      <c r="A3788" t="s">
        <v>305</v>
      </c>
      <c r="B3788" t="s">
        <v>46</v>
      </c>
      <c r="C3788" s="3">
        <v>100.2</v>
      </c>
      <c r="D3788">
        <v>1</v>
      </c>
      <c r="E3788">
        <v>1</v>
      </c>
      <c r="F3788">
        <v>1</v>
      </c>
    </row>
    <row r="3789" spans="1:6">
      <c r="A3789" t="s">
        <v>305</v>
      </c>
      <c r="B3789" t="s">
        <v>392</v>
      </c>
      <c r="C3789" s="3">
        <v>42587337023</v>
      </c>
      <c r="D3789">
        <v>1</v>
      </c>
      <c r="E3789">
        <v>1</v>
      </c>
      <c r="F3789">
        <v>1</v>
      </c>
    </row>
    <row r="3790" spans="1:6">
      <c r="A3790" t="s">
        <v>305</v>
      </c>
      <c r="B3790" t="s">
        <v>393</v>
      </c>
      <c r="C3790" s="3">
        <v>131967980316</v>
      </c>
      <c r="D3790">
        <v>1</v>
      </c>
      <c r="E3790">
        <v>1</v>
      </c>
      <c r="F3790">
        <v>1</v>
      </c>
    </row>
    <row r="3791" spans="1:6">
      <c r="A3791" t="s">
        <v>305</v>
      </c>
      <c r="B3791" t="s">
        <v>394</v>
      </c>
      <c r="C3791" s="3">
        <v>3.09876102947523</v>
      </c>
      <c r="D3791">
        <v>1</v>
      </c>
      <c r="E3791">
        <v>1</v>
      </c>
      <c r="F3791">
        <v>1</v>
      </c>
    </row>
    <row r="3792" spans="1:6">
      <c r="A3792" t="s">
        <v>305</v>
      </c>
      <c r="B3792" t="s">
        <v>39</v>
      </c>
      <c r="C3792" s="3">
        <v>2.08649420407126</v>
      </c>
      <c r="D3792">
        <v>1</v>
      </c>
      <c r="E3792">
        <v>1</v>
      </c>
      <c r="F3792">
        <v>1</v>
      </c>
    </row>
    <row r="3793" spans="1:6">
      <c r="A3793" t="s">
        <v>305</v>
      </c>
      <c r="B3793" t="s">
        <v>43</v>
      </c>
      <c r="C3793" s="3">
        <v>-3.5</v>
      </c>
      <c r="D3793">
        <v>1</v>
      </c>
      <c r="E3793">
        <v>1</v>
      </c>
      <c r="F3793">
        <v>1</v>
      </c>
    </row>
    <row r="3794" spans="1:6">
      <c r="A3794" t="s">
        <v>305</v>
      </c>
      <c r="B3794" t="s">
        <v>44</v>
      </c>
      <c r="C3794" s="3">
        <v>-0.800000000000011</v>
      </c>
      <c r="D3794">
        <v>1</v>
      </c>
      <c r="E3794">
        <v>1</v>
      </c>
      <c r="F3794">
        <v>1</v>
      </c>
    </row>
    <row r="3795" spans="1:6">
      <c r="A3795" t="s">
        <v>305</v>
      </c>
      <c r="B3795" t="s">
        <v>45</v>
      </c>
      <c r="C3795" s="3">
        <v>-0.200000000000003</v>
      </c>
      <c r="D3795">
        <v>1</v>
      </c>
      <c r="E3795">
        <v>1</v>
      </c>
      <c r="F3795">
        <v>1</v>
      </c>
    </row>
    <row r="3796" spans="1:6">
      <c r="A3796" t="s">
        <v>305</v>
      </c>
      <c r="B3796" t="s">
        <v>396</v>
      </c>
      <c r="C3796" s="3">
        <v>-8.79586951407395</v>
      </c>
      <c r="D3796">
        <v>1</v>
      </c>
      <c r="E3796">
        <v>1</v>
      </c>
      <c r="F3796">
        <v>1</v>
      </c>
    </row>
    <row r="3797" spans="1:6">
      <c r="A3797" t="s">
        <v>306</v>
      </c>
      <c r="B3797" t="s">
        <v>34</v>
      </c>
      <c r="C3797" s="3">
        <v>63.96</v>
      </c>
      <c r="D3797">
        <v>1</v>
      </c>
      <c r="E3797">
        <v>1</v>
      </c>
      <c r="F3797">
        <v>1</v>
      </c>
    </row>
    <row r="3798" spans="1:6">
      <c r="A3798" t="s">
        <v>306</v>
      </c>
      <c r="B3798" t="s">
        <v>35</v>
      </c>
      <c r="C3798" s="3">
        <v>6.7367</v>
      </c>
      <c r="D3798">
        <v>1</v>
      </c>
      <c r="E3798">
        <v>1</v>
      </c>
      <c r="F3798">
        <v>1</v>
      </c>
    </row>
    <row r="3799" spans="1:6">
      <c r="A3799" t="s">
        <v>306</v>
      </c>
      <c r="B3799" t="s">
        <v>36</v>
      </c>
      <c r="C3799" s="3">
        <v>430.879332</v>
      </c>
      <c r="D3799">
        <v>1</v>
      </c>
      <c r="E3799">
        <v>1</v>
      </c>
      <c r="F3799">
        <v>1</v>
      </c>
    </row>
    <row r="3800" spans="1:6">
      <c r="A3800" t="s">
        <v>306</v>
      </c>
      <c r="B3800" t="s">
        <v>40</v>
      </c>
      <c r="C3800" s="3">
        <v>99.5</v>
      </c>
      <c r="D3800">
        <v>1</v>
      </c>
      <c r="E3800">
        <v>1</v>
      </c>
      <c r="F3800">
        <v>1</v>
      </c>
    </row>
    <row r="3801" spans="1:6">
      <c r="A3801" t="s">
        <v>306</v>
      </c>
      <c r="B3801" t="s">
        <v>41</v>
      </c>
      <c r="C3801" s="3">
        <v>100.1</v>
      </c>
      <c r="D3801">
        <v>1</v>
      </c>
      <c r="E3801">
        <v>1</v>
      </c>
      <c r="F3801">
        <v>1</v>
      </c>
    </row>
    <row r="3802" spans="1:6">
      <c r="A3802" t="s">
        <v>306</v>
      </c>
      <c r="B3802" t="s">
        <v>42</v>
      </c>
      <c r="C3802" s="3">
        <v>101.5</v>
      </c>
      <c r="D3802">
        <v>1</v>
      </c>
      <c r="E3802">
        <v>1</v>
      </c>
      <c r="F3802">
        <v>1</v>
      </c>
    </row>
    <row r="3803" spans="1:6">
      <c r="A3803" t="s">
        <v>306</v>
      </c>
      <c r="B3803" t="s">
        <v>46</v>
      </c>
      <c r="C3803" s="3">
        <v>99.9</v>
      </c>
      <c r="D3803">
        <v>1</v>
      </c>
      <c r="E3803">
        <v>1</v>
      </c>
      <c r="F3803">
        <v>1</v>
      </c>
    </row>
    <row r="3804" spans="1:6">
      <c r="A3804" t="s">
        <v>306</v>
      </c>
      <c r="B3804" t="s">
        <v>392</v>
      </c>
      <c r="C3804" s="3">
        <v>39242395592</v>
      </c>
      <c r="D3804">
        <v>1</v>
      </c>
      <c r="E3804">
        <v>1</v>
      </c>
      <c r="F3804">
        <v>1</v>
      </c>
    </row>
    <row r="3805" spans="1:6">
      <c r="A3805" t="s">
        <v>306</v>
      </c>
      <c r="B3805" t="s">
        <v>393</v>
      </c>
      <c r="C3805" s="3">
        <v>119778300085</v>
      </c>
      <c r="D3805">
        <v>1</v>
      </c>
      <c r="E3805">
        <v>1</v>
      </c>
      <c r="F3805">
        <v>1</v>
      </c>
    </row>
    <row r="3806" spans="1:6">
      <c r="A3806" t="s">
        <v>306</v>
      </c>
      <c r="B3806" t="s">
        <v>394</v>
      </c>
      <c r="C3806" s="3">
        <v>3.05226779043576</v>
      </c>
      <c r="D3806">
        <v>1</v>
      </c>
      <c r="E3806">
        <v>1</v>
      </c>
      <c r="F3806">
        <v>1</v>
      </c>
    </row>
    <row r="3807" spans="1:6">
      <c r="A3807" t="s">
        <v>306</v>
      </c>
      <c r="B3807" t="s">
        <v>39</v>
      </c>
      <c r="C3807" s="3">
        <v>6.64596423290414</v>
      </c>
      <c r="D3807">
        <v>1</v>
      </c>
      <c r="E3807">
        <v>1</v>
      </c>
      <c r="F3807">
        <v>1</v>
      </c>
    </row>
    <row r="3808" spans="1:6">
      <c r="A3808" t="s">
        <v>306</v>
      </c>
      <c r="B3808" t="s">
        <v>43</v>
      </c>
      <c r="C3808" s="3">
        <v>-0.799999999999997</v>
      </c>
      <c r="D3808">
        <v>1</v>
      </c>
      <c r="E3808">
        <v>1</v>
      </c>
      <c r="F3808">
        <v>1</v>
      </c>
    </row>
    <row r="3809" spans="1:6">
      <c r="A3809" t="s">
        <v>306</v>
      </c>
      <c r="B3809" t="s">
        <v>44</v>
      </c>
      <c r="C3809" s="3">
        <v>0</v>
      </c>
      <c r="D3809">
        <v>1</v>
      </c>
      <c r="E3809">
        <v>1</v>
      </c>
      <c r="F3809">
        <v>1</v>
      </c>
    </row>
    <row r="3810" spans="1:6">
      <c r="A3810" t="s">
        <v>306</v>
      </c>
      <c r="B3810" t="s">
        <v>45</v>
      </c>
      <c r="C3810" s="3">
        <v>-0.200000000000003</v>
      </c>
      <c r="D3810">
        <v>1</v>
      </c>
      <c r="E3810">
        <v>1</v>
      </c>
      <c r="F3810">
        <v>1</v>
      </c>
    </row>
    <row r="3811" spans="1:6">
      <c r="A3811" t="s">
        <v>306</v>
      </c>
      <c r="B3811" t="s">
        <v>396</v>
      </c>
      <c r="C3811" s="3">
        <v>-1.51175115115867</v>
      </c>
      <c r="D3811">
        <v>1</v>
      </c>
      <c r="E3811">
        <v>1</v>
      </c>
      <c r="F3811">
        <v>1</v>
      </c>
    </row>
    <row r="3812" spans="1:6">
      <c r="A3812" t="s">
        <v>307</v>
      </c>
      <c r="B3812" t="s">
        <v>34</v>
      </c>
      <c r="C3812" s="3">
        <v>66.14</v>
      </c>
      <c r="D3812">
        <v>1</v>
      </c>
      <c r="E3812">
        <v>1</v>
      </c>
      <c r="F3812">
        <v>1</v>
      </c>
    </row>
    <row r="3813" spans="1:6">
      <c r="A3813" t="s">
        <v>307</v>
      </c>
      <c r="B3813" t="s">
        <v>35</v>
      </c>
      <c r="C3813" s="3">
        <v>6.7119</v>
      </c>
      <c r="D3813">
        <v>1</v>
      </c>
      <c r="E3813">
        <v>1</v>
      </c>
      <c r="F3813">
        <v>1</v>
      </c>
    </row>
    <row r="3814" spans="1:6">
      <c r="A3814" t="s">
        <v>307</v>
      </c>
      <c r="B3814" t="s">
        <v>36</v>
      </c>
      <c r="C3814" s="3">
        <v>443.925066</v>
      </c>
      <c r="D3814">
        <v>1</v>
      </c>
      <c r="E3814">
        <v>1</v>
      </c>
      <c r="F3814">
        <v>1</v>
      </c>
    </row>
    <row r="3815" spans="1:6">
      <c r="A3815" t="s">
        <v>307</v>
      </c>
      <c r="B3815" t="s">
        <v>40</v>
      </c>
      <c r="C3815" s="3">
        <v>100.7</v>
      </c>
      <c r="D3815">
        <v>1</v>
      </c>
      <c r="E3815">
        <v>1</v>
      </c>
      <c r="F3815">
        <v>1</v>
      </c>
    </row>
    <row r="3816" spans="1:6">
      <c r="A3816" t="s">
        <v>307</v>
      </c>
      <c r="B3816" t="s">
        <v>41</v>
      </c>
      <c r="C3816" s="3">
        <v>100.4</v>
      </c>
      <c r="D3816">
        <v>1</v>
      </c>
      <c r="E3816">
        <v>1</v>
      </c>
      <c r="F3816">
        <v>1</v>
      </c>
    </row>
    <row r="3817" spans="1:6">
      <c r="A3817" t="s">
        <v>307</v>
      </c>
      <c r="B3817" t="s">
        <v>42</v>
      </c>
      <c r="C3817" s="3">
        <v>102.3</v>
      </c>
      <c r="D3817">
        <v>1</v>
      </c>
      <c r="E3817">
        <v>1</v>
      </c>
      <c r="F3817">
        <v>1</v>
      </c>
    </row>
    <row r="3818" spans="1:6">
      <c r="A3818" t="s">
        <v>307</v>
      </c>
      <c r="B3818" t="s">
        <v>46</v>
      </c>
      <c r="C3818" s="3">
        <v>100.2</v>
      </c>
      <c r="D3818">
        <v>1</v>
      </c>
      <c r="E3818">
        <v>1</v>
      </c>
      <c r="F3818">
        <v>1</v>
      </c>
    </row>
    <row r="3819" spans="1:6">
      <c r="A3819" t="s">
        <v>307</v>
      </c>
      <c r="B3819" t="s">
        <v>392</v>
      </c>
      <c r="C3819" s="3">
        <v>39330259524</v>
      </c>
      <c r="D3819">
        <v>1</v>
      </c>
      <c r="E3819">
        <v>1</v>
      </c>
      <c r="F3819">
        <v>1</v>
      </c>
    </row>
    <row r="3820" spans="1:6">
      <c r="A3820" t="s">
        <v>307</v>
      </c>
      <c r="B3820" t="s">
        <v>393</v>
      </c>
      <c r="C3820" s="3">
        <v>128055346015</v>
      </c>
      <c r="D3820">
        <v>1</v>
      </c>
      <c r="E3820">
        <v>1</v>
      </c>
      <c r="F3820">
        <v>1</v>
      </c>
    </row>
    <row r="3821" spans="1:6">
      <c r="A3821" t="s">
        <v>307</v>
      </c>
      <c r="B3821" t="s">
        <v>394</v>
      </c>
      <c r="C3821" s="3">
        <v>3.2558988312004</v>
      </c>
      <c r="D3821">
        <v>1</v>
      </c>
      <c r="E3821">
        <v>1</v>
      </c>
      <c r="F3821">
        <v>1</v>
      </c>
    </row>
    <row r="3822" spans="1:6">
      <c r="A3822" t="s">
        <v>307</v>
      </c>
      <c r="B3822" t="s">
        <v>39</v>
      </c>
      <c r="C3822" s="3">
        <v>2.9827699172196</v>
      </c>
      <c r="D3822">
        <v>1</v>
      </c>
      <c r="E3822">
        <v>1</v>
      </c>
      <c r="F3822">
        <v>1</v>
      </c>
    </row>
    <row r="3823" spans="1:6">
      <c r="A3823" t="s">
        <v>307</v>
      </c>
      <c r="B3823" t="s">
        <v>43</v>
      </c>
      <c r="C3823" s="3">
        <v>1.2</v>
      </c>
      <c r="D3823">
        <v>1</v>
      </c>
      <c r="E3823">
        <v>1</v>
      </c>
      <c r="F3823">
        <v>1</v>
      </c>
    </row>
    <row r="3824" spans="1:6">
      <c r="A3824" t="s">
        <v>307</v>
      </c>
      <c r="B3824" t="s">
        <v>44</v>
      </c>
      <c r="C3824" s="3">
        <v>0.300000000000011</v>
      </c>
      <c r="D3824">
        <v>1</v>
      </c>
      <c r="E3824">
        <v>1</v>
      </c>
      <c r="F3824">
        <v>1</v>
      </c>
    </row>
    <row r="3825" spans="1:6">
      <c r="A3825" t="s">
        <v>307</v>
      </c>
      <c r="B3825" t="s">
        <v>45</v>
      </c>
      <c r="C3825" s="3">
        <v>0.799999999999997</v>
      </c>
      <c r="D3825">
        <v>1</v>
      </c>
      <c r="E3825">
        <v>1</v>
      </c>
      <c r="F3825">
        <v>1</v>
      </c>
    </row>
    <row r="3826" spans="1:6">
      <c r="A3826" t="s">
        <v>307</v>
      </c>
      <c r="B3826" t="s">
        <v>396</v>
      </c>
      <c r="C3826" s="3">
        <v>6.45835239791251</v>
      </c>
      <c r="D3826">
        <v>1</v>
      </c>
      <c r="E3826">
        <v>1</v>
      </c>
      <c r="F3826">
        <v>1</v>
      </c>
    </row>
    <row r="3827" spans="1:6">
      <c r="A3827" t="s">
        <v>308</v>
      </c>
      <c r="B3827" t="s">
        <v>34</v>
      </c>
      <c r="C3827" s="3">
        <v>71.23</v>
      </c>
      <c r="D3827">
        <v>1</v>
      </c>
      <c r="E3827">
        <v>1</v>
      </c>
      <c r="F3827">
        <v>1</v>
      </c>
    </row>
    <row r="3828" spans="1:6">
      <c r="A3828" t="s">
        <v>308</v>
      </c>
      <c r="B3828" t="s">
        <v>35</v>
      </c>
      <c r="C3828" s="3">
        <v>6.7161</v>
      </c>
      <c r="D3828">
        <v>1</v>
      </c>
      <c r="E3828">
        <v>1</v>
      </c>
      <c r="F3828">
        <v>1</v>
      </c>
    </row>
    <row r="3829" spans="1:6">
      <c r="A3829" t="s">
        <v>308</v>
      </c>
      <c r="B3829" t="s">
        <v>36</v>
      </c>
      <c r="C3829" s="3">
        <v>478.387803</v>
      </c>
      <c r="D3829">
        <v>1</v>
      </c>
      <c r="E3829">
        <v>1</v>
      </c>
      <c r="F3829">
        <v>1</v>
      </c>
    </row>
    <row r="3830" spans="1:6">
      <c r="A3830" t="s">
        <v>308</v>
      </c>
      <c r="B3830" t="s">
        <v>40</v>
      </c>
      <c r="C3830" s="3">
        <v>101.6</v>
      </c>
      <c r="D3830">
        <v>1</v>
      </c>
      <c r="E3830">
        <v>1</v>
      </c>
      <c r="F3830">
        <v>1</v>
      </c>
    </row>
    <row r="3831" spans="1:6">
      <c r="A3831" t="s">
        <v>308</v>
      </c>
      <c r="B3831" t="s">
        <v>41</v>
      </c>
      <c r="C3831" s="3">
        <v>100.9</v>
      </c>
      <c r="D3831">
        <v>1</v>
      </c>
      <c r="E3831">
        <v>1</v>
      </c>
      <c r="F3831">
        <v>1</v>
      </c>
    </row>
    <row r="3832" spans="1:6">
      <c r="A3832" t="s">
        <v>308</v>
      </c>
      <c r="B3832" t="s">
        <v>42</v>
      </c>
      <c r="C3832" s="3">
        <v>102.5</v>
      </c>
      <c r="D3832">
        <v>1</v>
      </c>
      <c r="E3832">
        <v>1</v>
      </c>
      <c r="F3832">
        <v>1</v>
      </c>
    </row>
    <row r="3833" spans="1:6">
      <c r="A3833" t="s">
        <v>308</v>
      </c>
      <c r="B3833" t="s">
        <v>46</v>
      </c>
      <c r="C3833" s="3">
        <v>100.4</v>
      </c>
      <c r="D3833">
        <v>1</v>
      </c>
      <c r="E3833">
        <v>1</v>
      </c>
      <c r="F3833">
        <v>1</v>
      </c>
    </row>
    <row r="3834" spans="1:6">
      <c r="A3834" t="s">
        <v>308</v>
      </c>
      <c r="B3834" t="s">
        <v>392</v>
      </c>
      <c r="C3834" s="3">
        <v>43722131489</v>
      </c>
      <c r="D3834">
        <v>1</v>
      </c>
      <c r="E3834">
        <v>1</v>
      </c>
      <c r="F3834">
        <v>1</v>
      </c>
    </row>
    <row r="3835" spans="1:6">
      <c r="A3835" t="s">
        <v>308</v>
      </c>
      <c r="B3835" t="s">
        <v>393</v>
      </c>
      <c r="C3835" s="3">
        <v>146767431259</v>
      </c>
      <c r="D3835">
        <v>1</v>
      </c>
      <c r="E3835">
        <v>1</v>
      </c>
      <c r="F3835">
        <v>1</v>
      </c>
    </row>
    <row r="3836" spans="1:6">
      <c r="A3836" t="s">
        <v>308</v>
      </c>
      <c r="B3836" t="s">
        <v>394</v>
      </c>
      <c r="C3836" s="3">
        <v>3.35682242060694</v>
      </c>
      <c r="D3836">
        <v>1</v>
      </c>
      <c r="E3836">
        <v>1</v>
      </c>
      <c r="F3836">
        <v>1</v>
      </c>
    </row>
    <row r="3837" spans="1:6">
      <c r="A3837" t="s">
        <v>308</v>
      </c>
      <c r="B3837" t="s">
        <v>39</v>
      </c>
      <c r="C3837" s="3">
        <v>7.47659289914211</v>
      </c>
      <c r="D3837">
        <v>1</v>
      </c>
      <c r="E3837">
        <v>1</v>
      </c>
      <c r="F3837">
        <v>1</v>
      </c>
    </row>
    <row r="3838" spans="1:6">
      <c r="A3838" t="s">
        <v>308</v>
      </c>
      <c r="B3838" t="s">
        <v>43</v>
      </c>
      <c r="C3838" s="3">
        <v>0.899999999999991</v>
      </c>
      <c r="D3838">
        <v>1</v>
      </c>
      <c r="E3838">
        <v>1</v>
      </c>
      <c r="F3838">
        <v>1</v>
      </c>
    </row>
    <row r="3839" spans="1:6">
      <c r="A3839" t="s">
        <v>308</v>
      </c>
      <c r="B3839" t="s">
        <v>44</v>
      </c>
      <c r="C3839" s="3">
        <v>0.5</v>
      </c>
      <c r="D3839">
        <v>1</v>
      </c>
      <c r="E3839">
        <v>1</v>
      </c>
      <c r="F3839">
        <v>1</v>
      </c>
    </row>
    <row r="3840" spans="1:6">
      <c r="A3840" t="s">
        <v>308</v>
      </c>
      <c r="B3840" t="s">
        <v>45</v>
      </c>
      <c r="C3840" s="3">
        <v>0.200000000000003</v>
      </c>
      <c r="D3840">
        <v>1</v>
      </c>
      <c r="E3840">
        <v>1</v>
      </c>
      <c r="F3840">
        <v>1</v>
      </c>
    </row>
    <row r="3841" spans="1:6">
      <c r="A3841" t="s">
        <v>308</v>
      </c>
      <c r="B3841" t="s">
        <v>396</v>
      </c>
      <c r="C3841" s="3">
        <v>3.05264421994102</v>
      </c>
      <c r="D3841">
        <v>1</v>
      </c>
      <c r="E3841">
        <v>1</v>
      </c>
      <c r="F3841">
        <v>1</v>
      </c>
    </row>
    <row r="3842" spans="1:6">
      <c r="A3842" t="s">
        <v>309</v>
      </c>
      <c r="B3842" t="s">
        <v>34</v>
      </c>
      <c r="C3842" s="3">
        <v>71.32</v>
      </c>
      <c r="D3842">
        <v>1</v>
      </c>
      <c r="E3842">
        <v>1</v>
      </c>
      <c r="F3842">
        <v>1</v>
      </c>
    </row>
    <row r="3843" spans="1:6">
      <c r="A3843" t="s">
        <v>309</v>
      </c>
      <c r="B3843" t="s">
        <v>35</v>
      </c>
      <c r="C3843" s="3">
        <v>6.8519</v>
      </c>
      <c r="D3843">
        <v>1</v>
      </c>
      <c r="E3843">
        <v>1</v>
      </c>
      <c r="F3843">
        <v>1</v>
      </c>
    </row>
    <row r="3844" spans="1:6">
      <c r="A3844" t="s">
        <v>309</v>
      </c>
      <c r="B3844" t="s">
        <v>36</v>
      </c>
      <c r="C3844" s="3">
        <v>488.677508</v>
      </c>
      <c r="D3844">
        <v>1</v>
      </c>
      <c r="E3844">
        <v>1</v>
      </c>
      <c r="F3844">
        <v>1</v>
      </c>
    </row>
    <row r="3845" spans="1:6">
      <c r="A3845" t="s">
        <v>309</v>
      </c>
      <c r="B3845" t="s">
        <v>40</v>
      </c>
      <c r="C3845" s="3">
        <v>101.4</v>
      </c>
      <c r="D3845">
        <v>1</v>
      </c>
      <c r="E3845">
        <v>1</v>
      </c>
      <c r="F3845">
        <v>1</v>
      </c>
    </row>
    <row r="3846" spans="1:6">
      <c r="A3846" t="s">
        <v>309</v>
      </c>
      <c r="B3846" t="s">
        <v>41</v>
      </c>
      <c r="C3846" s="3">
        <v>100.6</v>
      </c>
      <c r="D3846">
        <v>1</v>
      </c>
      <c r="E3846">
        <v>1</v>
      </c>
      <c r="F3846">
        <v>1</v>
      </c>
    </row>
    <row r="3847" spans="1:6">
      <c r="A3847" t="s">
        <v>309</v>
      </c>
      <c r="B3847" t="s">
        <v>42</v>
      </c>
      <c r="C3847" s="3">
        <v>102.7</v>
      </c>
      <c r="D3847">
        <v>1</v>
      </c>
      <c r="E3847">
        <v>1</v>
      </c>
      <c r="F3847">
        <v>1</v>
      </c>
    </row>
    <row r="3848" spans="1:6">
      <c r="A3848" t="s">
        <v>309</v>
      </c>
      <c r="B3848" t="s">
        <v>46</v>
      </c>
      <c r="C3848" s="3">
        <v>100.2</v>
      </c>
      <c r="D3848">
        <v>1</v>
      </c>
      <c r="E3848">
        <v>1</v>
      </c>
      <c r="F3848">
        <v>1</v>
      </c>
    </row>
    <row r="3849" spans="1:6">
      <c r="A3849" t="s">
        <v>309</v>
      </c>
      <c r="B3849" t="s">
        <v>392</v>
      </c>
      <c r="C3849" s="3">
        <v>40129505472</v>
      </c>
      <c r="D3849">
        <v>1</v>
      </c>
      <c r="E3849">
        <v>1</v>
      </c>
      <c r="F3849">
        <v>1</v>
      </c>
    </row>
    <row r="3850" spans="1:6">
      <c r="A3850" t="s">
        <v>309</v>
      </c>
      <c r="B3850" t="s">
        <v>393</v>
      </c>
      <c r="C3850" s="3">
        <v>141435520072</v>
      </c>
      <c r="D3850">
        <v>1</v>
      </c>
      <c r="E3850">
        <v>1</v>
      </c>
      <c r="F3850">
        <v>1</v>
      </c>
    </row>
    <row r="3851" spans="1:6">
      <c r="A3851" t="s">
        <v>309</v>
      </c>
      <c r="B3851" t="s">
        <v>394</v>
      </c>
      <c r="C3851" s="3">
        <v>3.52447702528219</v>
      </c>
      <c r="D3851">
        <v>1</v>
      </c>
      <c r="E3851">
        <v>1</v>
      </c>
      <c r="F3851">
        <v>1</v>
      </c>
    </row>
    <row r="3852" spans="1:6">
      <c r="A3852" t="s">
        <v>309</v>
      </c>
      <c r="B3852" t="s">
        <v>39</v>
      </c>
      <c r="C3852" s="3">
        <v>2.12810721612019</v>
      </c>
      <c r="D3852">
        <v>1</v>
      </c>
      <c r="E3852">
        <v>1</v>
      </c>
      <c r="F3852">
        <v>1</v>
      </c>
    </row>
    <row r="3853" spans="1:6">
      <c r="A3853" t="s">
        <v>309</v>
      </c>
      <c r="B3853" t="s">
        <v>43</v>
      </c>
      <c r="C3853" s="3">
        <v>-0.199999999999989</v>
      </c>
      <c r="D3853">
        <v>1</v>
      </c>
      <c r="E3853">
        <v>1</v>
      </c>
      <c r="F3853">
        <v>1</v>
      </c>
    </row>
    <row r="3854" spans="1:6">
      <c r="A3854" t="s">
        <v>309</v>
      </c>
      <c r="B3854" t="s">
        <v>44</v>
      </c>
      <c r="C3854" s="3">
        <v>-0.300000000000011</v>
      </c>
      <c r="D3854">
        <v>1</v>
      </c>
      <c r="E3854">
        <v>1</v>
      </c>
      <c r="F3854">
        <v>1</v>
      </c>
    </row>
    <row r="3855" spans="1:6">
      <c r="A3855" t="s">
        <v>309</v>
      </c>
      <c r="B3855" t="s">
        <v>45</v>
      </c>
      <c r="C3855" s="3">
        <v>0.200000000000003</v>
      </c>
      <c r="D3855">
        <v>1</v>
      </c>
      <c r="E3855">
        <v>1</v>
      </c>
      <c r="F3855">
        <v>1</v>
      </c>
    </row>
    <row r="3856" spans="1:6">
      <c r="A3856" t="s">
        <v>309</v>
      </c>
      <c r="B3856" t="s">
        <v>396</v>
      </c>
      <c r="C3856" s="3">
        <v>4.87372452771585</v>
      </c>
      <c r="D3856">
        <v>1</v>
      </c>
      <c r="E3856">
        <v>1</v>
      </c>
      <c r="F3856">
        <v>1</v>
      </c>
    </row>
    <row r="3857" spans="1:6">
      <c r="A3857" t="s">
        <v>310</v>
      </c>
      <c r="B3857" t="s">
        <v>34</v>
      </c>
      <c r="C3857" s="3">
        <v>64.22</v>
      </c>
      <c r="D3857">
        <v>1</v>
      </c>
      <c r="E3857">
        <v>1</v>
      </c>
      <c r="F3857">
        <v>1</v>
      </c>
    </row>
    <row r="3858" spans="1:6">
      <c r="A3858" t="s">
        <v>310</v>
      </c>
      <c r="B3858" t="s">
        <v>35</v>
      </c>
      <c r="C3858" s="3">
        <v>6.8977</v>
      </c>
      <c r="D3858">
        <v>1</v>
      </c>
      <c r="E3858">
        <v>1</v>
      </c>
      <c r="F3858">
        <v>1</v>
      </c>
    </row>
    <row r="3859" spans="1:6">
      <c r="A3859" t="s">
        <v>310</v>
      </c>
      <c r="B3859" t="s">
        <v>36</v>
      </c>
      <c r="C3859" s="3">
        <v>442.970294</v>
      </c>
      <c r="D3859">
        <v>1</v>
      </c>
      <c r="E3859">
        <v>1</v>
      </c>
      <c r="F3859">
        <v>1</v>
      </c>
    </row>
    <row r="3860" spans="1:6">
      <c r="A3860" t="s">
        <v>310</v>
      </c>
      <c r="B3860" t="s">
        <v>40</v>
      </c>
      <c r="C3860" s="3">
        <v>99.8</v>
      </c>
      <c r="D3860">
        <v>1</v>
      </c>
      <c r="E3860">
        <v>1</v>
      </c>
      <c r="F3860">
        <v>1</v>
      </c>
    </row>
    <row r="3861" spans="1:6">
      <c r="A3861" t="s">
        <v>310</v>
      </c>
      <c r="B3861" t="s">
        <v>41</v>
      </c>
      <c r="C3861" s="3">
        <v>100</v>
      </c>
      <c r="D3861">
        <v>1</v>
      </c>
      <c r="E3861">
        <v>1</v>
      </c>
      <c r="F3861">
        <v>1</v>
      </c>
    </row>
    <row r="3862" spans="1:6">
      <c r="A3862" t="s">
        <v>310</v>
      </c>
      <c r="B3862" t="s">
        <v>42</v>
      </c>
      <c r="C3862" s="3">
        <v>102.7</v>
      </c>
      <c r="D3862">
        <v>1</v>
      </c>
      <c r="E3862">
        <v>1</v>
      </c>
      <c r="F3862">
        <v>1</v>
      </c>
    </row>
    <row r="3863" spans="1:6">
      <c r="A3863" t="s">
        <v>310</v>
      </c>
      <c r="B3863" t="s">
        <v>46</v>
      </c>
      <c r="C3863" s="3">
        <v>99.7</v>
      </c>
      <c r="D3863">
        <v>1</v>
      </c>
      <c r="E3863">
        <v>1</v>
      </c>
      <c r="F3863">
        <v>1</v>
      </c>
    </row>
    <row r="3864" spans="1:6">
      <c r="A3864" t="s">
        <v>310</v>
      </c>
      <c r="B3864" t="s">
        <v>392</v>
      </c>
      <c r="C3864" s="3">
        <v>39565535530</v>
      </c>
      <c r="D3864">
        <v>1</v>
      </c>
      <c r="E3864">
        <v>1</v>
      </c>
      <c r="F3864">
        <v>1</v>
      </c>
    </row>
    <row r="3865" spans="1:6">
      <c r="A3865" t="s">
        <v>310</v>
      </c>
      <c r="B3865" t="s">
        <v>393</v>
      </c>
      <c r="C3865" s="3">
        <v>139898632001</v>
      </c>
      <c r="D3865">
        <v>1</v>
      </c>
      <c r="E3865">
        <v>1</v>
      </c>
      <c r="F3865">
        <v>1</v>
      </c>
    </row>
    <row r="3866" spans="1:6">
      <c r="A3866" t="s">
        <v>310</v>
      </c>
      <c r="B3866" t="s">
        <v>394</v>
      </c>
      <c r="C3866" s="3">
        <v>3.53587105866225</v>
      </c>
      <c r="D3866">
        <v>1</v>
      </c>
      <c r="E3866">
        <v>1</v>
      </c>
      <c r="F3866">
        <v>1</v>
      </c>
    </row>
    <row r="3867" spans="1:6">
      <c r="A3867" t="s">
        <v>310</v>
      </c>
      <c r="B3867" t="s">
        <v>39</v>
      </c>
      <c r="C3867" s="3">
        <v>-9.82000677079288</v>
      </c>
      <c r="D3867">
        <v>1</v>
      </c>
      <c r="E3867">
        <v>1</v>
      </c>
      <c r="F3867">
        <v>1</v>
      </c>
    </row>
    <row r="3868" spans="1:6">
      <c r="A3868" t="s">
        <v>310</v>
      </c>
      <c r="B3868" t="s">
        <v>43</v>
      </c>
      <c r="C3868" s="3">
        <v>-1.60000000000001</v>
      </c>
      <c r="D3868">
        <v>1</v>
      </c>
      <c r="E3868">
        <v>1</v>
      </c>
      <c r="F3868">
        <v>1</v>
      </c>
    </row>
    <row r="3869" spans="1:6">
      <c r="A3869" t="s">
        <v>310</v>
      </c>
      <c r="B3869" t="s">
        <v>44</v>
      </c>
      <c r="C3869" s="3">
        <v>-0.599999999999994</v>
      </c>
      <c r="D3869">
        <v>1</v>
      </c>
      <c r="E3869">
        <v>1</v>
      </c>
      <c r="F3869">
        <v>1</v>
      </c>
    </row>
    <row r="3870" spans="1:6">
      <c r="A3870" t="s">
        <v>310</v>
      </c>
      <c r="B3870" t="s">
        <v>45</v>
      </c>
      <c r="C3870" s="3">
        <v>0</v>
      </c>
      <c r="D3870">
        <v>1</v>
      </c>
      <c r="E3870">
        <v>1</v>
      </c>
      <c r="F3870">
        <v>1</v>
      </c>
    </row>
    <row r="3871" spans="1:6">
      <c r="A3871" t="s">
        <v>310</v>
      </c>
      <c r="B3871" t="s">
        <v>396</v>
      </c>
      <c r="C3871" s="3">
        <v>0.322761516458732</v>
      </c>
      <c r="D3871">
        <v>1</v>
      </c>
      <c r="E3871">
        <v>1</v>
      </c>
      <c r="F3871">
        <v>1</v>
      </c>
    </row>
    <row r="3872" spans="1:6">
      <c r="A3872" t="s">
        <v>311</v>
      </c>
      <c r="B3872" t="s">
        <v>34</v>
      </c>
      <c r="C3872" s="3">
        <v>63.92</v>
      </c>
      <c r="D3872">
        <v>1</v>
      </c>
      <c r="E3872">
        <v>1</v>
      </c>
      <c r="F3872">
        <v>1</v>
      </c>
    </row>
    <row r="3873" spans="1:6">
      <c r="A3873" t="s">
        <v>311</v>
      </c>
      <c r="B3873" t="s">
        <v>35</v>
      </c>
      <c r="C3873" s="3">
        <v>6.8775</v>
      </c>
      <c r="D3873">
        <v>1</v>
      </c>
      <c r="E3873">
        <v>1</v>
      </c>
      <c r="F3873">
        <v>1</v>
      </c>
    </row>
    <row r="3874" spans="1:6">
      <c r="A3874" t="s">
        <v>311</v>
      </c>
      <c r="B3874" t="s">
        <v>36</v>
      </c>
      <c r="C3874" s="3">
        <v>439.6098</v>
      </c>
      <c r="D3874">
        <v>1</v>
      </c>
      <c r="E3874">
        <v>1</v>
      </c>
      <c r="F3874">
        <v>1</v>
      </c>
    </row>
    <row r="3875" spans="1:6">
      <c r="A3875" t="s">
        <v>311</v>
      </c>
      <c r="B3875" t="s">
        <v>40</v>
      </c>
      <c r="C3875" s="3">
        <v>97.9</v>
      </c>
      <c r="D3875">
        <v>1</v>
      </c>
      <c r="E3875">
        <v>1</v>
      </c>
      <c r="F3875">
        <v>1</v>
      </c>
    </row>
    <row r="3876" spans="1:6">
      <c r="A3876" t="s">
        <v>311</v>
      </c>
      <c r="B3876" t="s">
        <v>41</v>
      </c>
      <c r="C3876" s="3">
        <v>99.7</v>
      </c>
      <c r="D3876">
        <v>1</v>
      </c>
      <c r="E3876">
        <v>1</v>
      </c>
      <c r="F3876">
        <v>1</v>
      </c>
    </row>
    <row r="3877" spans="1:6">
      <c r="A3877" t="s">
        <v>311</v>
      </c>
      <c r="B3877" t="s">
        <v>42</v>
      </c>
      <c r="C3877" s="3">
        <v>102.8</v>
      </c>
      <c r="D3877">
        <v>1</v>
      </c>
      <c r="E3877">
        <v>1</v>
      </c>
      <c r="F3877">
        <v>1</v>
      </c>
    </row>
    <row r="3878" spans="1:6">
      <c r="A3878" t="s">
        <v>311</v>
      </c>
      <c r="B3878" t="s">
        <v>46</v>
      </c>
      <c r="C3878" s="3">
        <v>99.4</v>
      </c>
      <c r="D3878">
        <v>1</v>
      </c>
      <c r="E3878">
        <v>1</v>
      </c>
      <c r="F3878">
        <v>1</v>
      </c>
    </row>
    <row r="3879" spans="1:6">
      <c r="A3879" t="s">
        <v>311</v>
      </c>
      <c r="B3879" t="s">
        <v>392</v>
      </c>
      <c r="C3879" s="3">
        <v>41020018495</v>
      </c>
      <c r="D3879">
        <v>1</v>
      </c>
      <c r="E3879">
        <v>1</v>
      </c>
      <c r="F3879">
        <v>1</v>
      </c>
    </row>
    <row r="3880" spans="1:6">
      <c r="A3880" t="s">
        <v>311</v>
      </c>
      <c r="B3880" t="s">
        <v>393</v>
      </c>
      <c r="C3880" s="3">
        <v>136019624692</v>
      </c>
      <c r="D3880">
        <v>1</v>
      </c>
      <c r="E3880">
        <v>1</v>
      </c>
      <c r="F3880">
        <v>1</v>
      </c>
    </row>
    <row r="3881" spans="1:6">
      <c r="A3881" t="s">
        <v>311</v>
      </c>
      <c r="B3881" t="s">
        <v>394</v>
      </c>
      <c r="C3881" s="3">
        <v>3.31593279775287</v>
      </c>
      <c r="D3881">
        <v>1</v>
      </c>
      <c r="E3881">
        <v>1</v>
      </c>
      <c r="F3881">
        <v>1</v>
      </c>
    </row>
    <row r="3882" spans="1:6">
      <c r="A3882" t="s">
        <v>311</v>
      </c>
      <c r="B3882" t="s">
        <v>39</v>
      </c>
      <c r="C3882" s="3">
        <v>-0.7615196088732</v>
      </c>
      <c r="D3882">
        <v>1</v>
      </c>
      <c r="E3882">
        <v>1</v>
      </c>
      <c r="F3882">
        <v>1</v>
      </c>
    </row>
    <row r="3883" spans="1:6">
      <c r="A3883" t="s">
        <v>311</v>
      </c>
      <c r="B3883" t="s">
        <v>43</v>
      </c>
      <c r="C3883" s="3">
        <v>-1.89999999999999</v>
      </c>
      <c r="D3883">
        <v>1</v>
      </c>
      <c r="E3883">
        <v>1</v>
      </c>
      <c r="F3883">
        <v>1</v>
      </c>
    </row>
    <row r="3884" spans="1:6">
      <c r="A3884" t="s">
        <v>311</v>
      </c>
      <c r="B3884" t="s">
        <v>44</v>
      </c>
      <c r="C3884" s="3">
        <v>-0.299999999999997</v>
      </c>
      <c r="D3884">
        <v>1</v>
      </c>
      <c r="E3884">
        <v>1</v>
      </c>
      <c r="F3884">
        <v>1</v>
      </c>
    </row>
    <row r="3885" spans="1:6">
      <c r="A3885" t="s">
        <v>311</v>
      </c>
      <c r="B3885" t="s">
        <v>45</v>
      </c>
      <c r="C3885" s="3">
        <v>0.0999999999999943</v>
      </c>
      <c r="D3885">
        <v>1</v>
      </c>
      <c r="E3885">
        <v>1</v>
      </c>
      <c r="F3885">
        <v>1</v>
      </c>
    </row>
    <row r="3886" spans="1:6">
      <c r="A3886" t="s">
        <v>311</v>
      </c>
      <c r="B3886" t="s">
        <v>396</v>
      </c>
      <c r="C3886" s="3">
        <v>-6.42207077900202</v>
      </c>
      <c r="D3886">
        <v>1</v>
      </c>
      <c r="E3886">
        <v>1</v>
      </c>
      <c r="F3886">
        <v>1</v>
      </c>
    </row>
    <row r="3887" spans="1:6">
      <c r="A3887" t="s">
        <v>312</v>
      </c>
      <c r="B3887" t="s">
        <v>34</v>
      </c>
      <c r="C3887" s="3">
        <v>59.04</v>
      </c>
      <c r="D3887">
        <v>1</v>
      </c>
      <c r="E3887">
        <v>1</v>
      </c>
      <c r="F3887">
        <v>1</v>
      </c>
    </row>
    <row r="3888" spans="1:6">
      <c r="A3888" t="s">
        <v>312</v>
      </c>
      <c r="B3888" t="s">
        <v>35</v>
      </c>
      <c r="C3888" s="3">
        <v>7.0629</v>
      </c>
      <c r="D3888">
        <v>1</v>
      </c>
      <c r="E3888">
        <v>1</v>
      </c>
      <c r="F3888">
        <v>1</v>
      </c>
    </row>
    <row r="3889" spans="1:6">
      <c r="A3889" t="s">
        <v>312</v>
      </c>
      <c r="B3889" t="s">
        <v>36</v>
      </c>
      <c r="C3889" s="3">
        <v>416.993616</v>
      </c>
      <c r="D3889">
        <v>1</v>
      </c>
      <c r="E3889">
        <v>1</v>
      </c>
      <c r="F3889">
        <v>1</v>
      </c>
    </row>
    <row r="3890" spans="1:6">
      <c r="A3890" t="s">
        <v>312</v>
      </c>
      <c r="B3890" t="s">
        <v>40</v>
      </c>
      <c r="C3890" s="3">
        <v>96.8</v>
      </c>
      <c r="D3890">
        <v>1</v>
      </c>
      <c r="E3890">
        <v>1</v>
      </c>
      <c r="F3890">
        <v>1</v>
      </c>
    </row>
    <row r="3891" spans="1:6">
      <c r="A3891" t="s">
        <v>312</v>
      </c>
      <c r="B3891" t="s">
        <v>41</v>
      </c>
      <c r="C3891" s="3">
        <v>99.2</v>
      </c>
      <c r="D3891">
        <v>1</v>
      </c>
      <c r="E3891">
        <v>1</v>
      </c>
      <c r="F3891">
        <v>1</v>
      </c>
    </row>
    <row r="3892" spans="1:6">
      <c r="A3892" t="s">
        <v>312</v>
      </c>
      <c r="B3892" t="s">
        <v>42</v>
      </c>
      <c r="C3892" s="3">
        <v>102.8</v>
      </c>
      <c r="D3892">
        <v>1</v>
      </c>
      <c r="E3892">
        <v>1</v>
      </c>
      <c r="F3892">
        <v>1</v>
      </c>
    </row>
    <row r="3893" spans="1:6">
      <c r="A3893" t="s">
        <v>312</v>
      </c>
      <c r="B3893" t="s">
        <v>46</v>
      </c>
      <c r="C3893" s="3">
        <v>98.7</v>
      </c>
      <c r="D3893">
        <v>1</v>
      </c>
      <c r="E3893">
        <v>1</v>
      </c>
      <c r="F3893">
        <v>1</v>
      </c>
    </row>
    <row r="3894" spans="1:6">
      <c r="A3894" t="s">
        <v>312</v>
      </c>
      <c r="B3894" t="s">
        <v>392</v>
      </c>
      <c r="C3894" s="3">
        <v>42158225297</v>
      </c>
      <c r="D3894">
        <v>1</v>
      </c>
      <c r="E3894">
        <v>1</v>
      </c>
      <c r="F3894">
        <v>1</v>
      </c>
    </row>
    <row r="3895" spans="1:6">
      <c r="A3895" t="s">
        <v>312</v>
      </c>
      <c r="B3895" t="s">
        <v>393</v>
      </c>
      <c r="C3895" s="3">
        <v>137319605407</v>
      </c>
      <c r="D3895">
        <v>1</v>
      </c>
      <c r="E3895">
        <v>1</v>
      </c>
      <c r="F3895">
        <v>1</v>
      </c>
    </row>
    <row r="3896" spans="1:6">
      <c r="A3896" t="s">
        <v>312</v>
      </c>
      <c r="B3896" t="s">
        <v>394</v>
      </c>
      <c r="C3896" s="3">
        <v>3.25724350205918</v>
      </c>
      <c r="D3896">
        <v>1</v>
      </c>
      <c r="E3896">
        <v>1</v>
      </c>
      <c r="F3896">
        <v>1</v>
      </c>
    </row>
    <row r="3897" spans="1:6">
      <c r="A3897" t="s">
        <v>312</v>
      </c>
      <c r="B3897" t="s">
        <v>39</v>
      </c>
      <c r="C3897" s="3">
        <v>-5.28166029455179</v>
      </c>
      <c r="D3897">
        <v>1</v>
      </c>
      <c r="E3897">
        <v>1</v>
      </c>
      <c r="F3897">
        <v>1</v>
      </c>
    </row>
    <row r="3898" spans="1:6">
      <c r="A3898" t="s">
        <v>312</v>
      </c>
      <c r="B3898" t="s">
        <v>43</v>
      </c>
      <c r="C3898" s="3">
        <v>-1.10000000000001</v>
      </c>
      <c r="D3898">
        <v>1</v>
      </c>
      <c r="E3898">
        <v>1</v>
      </c>
      <c r="F3898">
        <v>1</v>
      </c>
    </row>
    <row r="3899" spans="1:6">
      <c r="A3899" t="s">
        <v>312</v>
      </c>
      <c r="B3899" t="s">
        <v>44</v>
      </c>
      <c r="C3899" s="3">
        <v>-0.5</v>
      </c>
      <c r="D3899">
        <v>1</v>
      </c>
      <c r="E3899">
        <v>1</v>
      </c>
      <c r="F3899">
        <v>1</v>
      </c>
    </row>
    <row r="3900" spans="1:6">
      <c r="A3900" t="s">
        <v>312</v>
      </c>
      <c r="B3900" t="s">
        <v>45</v>
      </c>
      <c r="C3900" s="3">
        <v>0</v>
      </c>
      <c r="D3900">
        <v>1</v>
      </c>
      <c r="E3900">
        <v>1</v>
      </c>
      <c r="F3900">
        <v>1</v>
      </c>
    </row>
    <row r="3901" spans="1:6">
      <c r="A3901" t="s">
        <v>312</v>
      </c>
      <c r="B3901" t="s">
        <v>396</v>
      </c>
      <c r="C3901" s="3">
        <v>-1.78576848273476</v>
      </c>
      <c r="D3901">
        <v>1</v>
      </c>
      <c r="E3901">
        <v>1</v>
      </c>
      <c r="F3901">
        <v>1</v>
      </c>
    </row>
    <row r="3902" spans="1:6">
      <c r="A3902" t="s">
        <v>313</v>
      </c>
      <c r="B3902" t="s">
        <v>34</v>
      </c>
      <c r="C3902" s="3">
        <v>62.83</v>
      </c>
      <c r="D3902">
        <v>1</v>
      </c>
      <c r="E3902">
        <v>1</v>
      </c>
      <c r="F3902">
        <v>1</v>
      </c>
    </row>
    <row r="3903" spans="1:6">
      <c r="A3903" t="s">
        <v>313</v>
      </c>
      <c r="B3903" t="s">
        <v>35</v>
      </c>
      <c r="C3903" s="3">
        <v>7.1137</v>
      </c>
      <c r="D3903">
        <v>1</v>
      </c>
      <c r="E3903">
        <v>1</v>
      </c>
      <c r="F3903">
        <v>1</v>
      </c>
    </row>
    <row r="3904" spans="1:6">
      <c r="A3904" t="s">
        <v>313</v>
      </c>
      <c r="B3904" t="s">
        <v>36</v>
      </c>
      <c r="C3904" s="3">
        <v>446.953771</v>
      </c>
      <c r="D3904">
        <v>1</v>
      </c>
      <c r="E3904">
        <v>1</v>
      </c>
      <c r="F3904">
        <v>1</v>
      </c>
    </row>
    <row r="3905" spans="1:6">
      <c r="A3905" t="s">
        <v>313</v>
      </c>
      <c r="B3905" t="s">
        <v>40</v>
      </c>
      <c r="C3905" s="3">
        <v>95.8</v>
      </c>
      <c r="D3905">
        <v>1</v>
      </c>
      <c r="E3905">
        <v>1</v>
      </c>
      <c r="F3905">
        <v>1</v>
      </c>
    </row>
    <row r="3906" spans="1:6">
      <c r="A3906" t="s">
        <v>313</v>
      </c>
      <c r="B3906" t="s">
        <v>41</v>
      </c>
      <c r="C3906" s="3">
        <v>98.8</v>
      </c>
      <c r="D3906">
        <v>1</v>
      </c>
      <c r="E3906">
        <v>1</v>
      </c>
      <c r="F3906">
        <v>1</v>
      </c>
    </row>
    <row r="3907" spans="1:6">
      <c r="A3907" t="s">
        <v>313</v>
      </c>
      <c r="B3907" t="s">
        <v>42</v>
      </c>
      <c r="C3907" s="3">
        <v>103</v>
      </c>
      <c r="D3907">
        <v>1</v>
      </c>
      <c r="E3907">
        <v>1</v>
      </c>
      <c r="F3907">
        <v>1</v>
      </c>
    </row>
    <row r="3908" spans="1:6">
      <c r="A3908" t="s">
        <v>313</v>
      </c>
      <c r="B3908" t="s">
        <v>46</v>
      </c>
      <c r="C3908" s="3">
        <v>98.3</v>
      </c>
      <c r="D3908">
        <v>1</v>
      </c>
      <c r="E3908">
        <v>1</v>
      </c>
      <c r="F3908">
        <v>1</v>
      </c>
    </row>
    <row r="3909" spans="1:6">
      <c r="A3909" t="s">
        <v>313</v>
      </c>
      <c r="B3909" t="s">
        <v>392</v>
      </c>
      <c r="C3909" s="3">
        <v>41233490796</v>
      </c>
      <c r="D3909">
        <v>1</v>
      </c>
      <c r="E3909">
        <v>1</v>
      </c>
      <c r="F3909">
        <v>1</v>
      </c>
    </row>
    <row r="3910" spans="1:6">
      <c r="A3910" t="s">
        <v>313</v>
      </c>
      <c r="B3910" t="s">
        <v>393</v>
      </c>
      <c r="C3910" s="3">
        <v>132345207532</v>
      </c>
      <c r="D3910">
        <v>1</v>
      </c>
      <c r="E3910">
        <v>1</v>
      </c>
      <c r="F3910">
        <v>1</v>
      </c>
    </row>
    <row r="3911" spans="1:6">
      <c r="A3911" t="s">
        <v>313</v>
      </c>
      <c r="B3911" t="s">
        <v>394</v>
      </c>
      <c r="C3911" s="3">
        <v>3.20965324490156</v>
      </c>
      <c r="D3911">
        <v>1</v>
      </c>
      <c r="E3911">
        <v>1</v>
      </c>
      <c r="F3911">
        <v>1</v>
      </c>
    </row>
    <row r="3912" spans="1:6">
      <c r="A3912" t="s">
        <v>313</v>
      </c>
      <c r="B3912" t="s">
        <v>39</v>
      </c>
      <c r="C3912" s="3">
        <v>6.93842563545421</v>
      </c>
      <c r="D3912">
        <v>1</v>
      </c>
      <c r="E3912">
        <v>1</v>
      </c>
      <c r="F3912">
        <v>1</v>
      </c>
    </row>
    <row r="3913" spans="1:6">
      <c r="A3913" t="s">
        <v>313</v>
      </c>
      <c r="B3913" t="s">
        <v>43</v>
      </c>
      <c r="C3913" s="3">
        <v>-1</v>
      </c>
      <c r="D3913">
        <v>1</v>
      </c>
      <c r="E3913">
        <v>1</v>
      </c>
      <c r="F3913">
        <v>1</v>
      </c>
    </row>
    <row r="3914" spans="1:6">
      <c r="A3914" t="s">
        <v>313</v>
      </c>
      <c r="B3914" t="s">
        <v>44</v>
      </c>
      <c r="C3914" s="3">
        <v>-0.400000000000006</v>
      </c>
      <c r="D3914">
        <v>1</v>
      </c>
      <c r="E3914">
        <v>1</v>
      </c>
      <c r="F3914">
        <v>1</v>
      </c>
    </row>
    <row r="3915" spans="1:6">
      <c r="A3915" t="s">
        <v>313</v>
      </c>
      <c r="B3915" t="s">
        <v>45</v>
      </c>
      <c r="C3915" s="3">
        <v>0.200000000000003</v>
      </c>
      <c r="D3915">
        <v>1</v>
      </c>
      <c r="E3915">
        <v>1</v>
      </c>
      <c r="F3915">
        <v>1</v>
      </c>
    </row>
    <row r="3916" spans="1:6">
      <c r="A3916" t="s">
        <v>313</v>
      </c>
      <c r="B3916" t="s">
        <v>396</v>
      </c>
      <c r="C3916" s="3">
        <v>-1.47183782708795</v>
      </c>
      <c r="D3916">
        <v>1</v>
      </c>
      <c r="E3916">
        <v>1</v>
      </c>
      <c r="F3916">
        <v>1</v>
      </c>
    </row>
    <row r="3917" spans="1:6">
      <c r="A3917" t="s">
        <v>314</v>
      </c>
      <c r="B3917" t="s">
        <v>34</v>
      </c>
      <c r="C3917" s="3">
        <v>59.71</v>
      </c>
      <c r="D3917">
        <v>1</v>
      </c>
      <c r="E3917">
        <v>1</v>
      </c>
      <c r="F3917">
        <v>1</v>
      </c>
    </row>
    <row r="3918" spans="1:6">
      <c r="A3918" t="s">
        <v>314</v>
      </c>
      <c r="B3918" t="s">
        <v>35</v>
      </c>
      <c r="C3918" s="3">
        <v>7.0961</v>
      </c>
      <c r="D3918">
        <v>1</v>
      </c>
      <c r="E3918">
        <v>1</v>
      </c>
      <c r="F3918">
        <v>1</v>
      </c>
    </row>
    <row r="3919" spans="1:6">
      <c r="A3919" t="s">
        <v>314</v>
      </c>
      <c r="B3919" t="s">
        <v>36</v>
      </c>
      <c r="C3919" s="3">
        <v>423.708131</v>
      </c>
      <c r="D3919">
        <v>1</v>
      </c>
      <c r="E3919">
        <v>1</v>
      </c>
      <c r="F3919">
        <v>1</v>
      </c>
    </row>
    <row r="3920" spans="1:6">
      <c r="A3920" t="s">
        <v>314</v>
      </c>
      <c r="B3920" t="s">
        <v>40</v>
      </c>
      <c r="C3920" s="3">
        <v>94.5</v>
      </c>
      <c r="D3920">
        <v>1</v>
      </c>
      <c r="E3920">
        <v>1</v>
      </c>
      <c r="F3920">
        <v>1</v>
      </c>
    </row>
    <row r="3921" spans="1:6">
      <c r="A3921" t="s">
        <v>314</v>
      </c>
      <c r="B3921" t="s">
        <v>41</v>
      </c>
      <c r="C3921" s="3">
        <v>98.4</v>
      </c>
      <c r="D3921">
        <v>1</v>
      </c>
      <c r="E3921">
        <v>1</v>
      </c>
      <c r="F3921">
        <v>1</v>
      </c>
    </row>
    <row r="3922" spans="1:6">
      <c r="A3922" t="s">
        <v>314</v>
      </c>
      <c r="B3922" t="s">
        <v>42</v>
      </c>
      <c r="C3922" s="3">
        <v>103.8</v>
      </c>
      <c r="D3922">
        <v>1</v>
      </c>
      <c r="E3922">
        <v>1</v>
      </c>
      <c r="F3922">
        <v>1</v>
      </c>
    </row>
    <row r="3923" spans="1:6">
      <c r="A3923" t="s">
        <v>314</v>
      </c>
      <c r="B3923" t="s">
        <v>46</v>
      </c>
      <c r="C3923" s="3">
        <v>97.9</v>
      </c>
      <c r="D3923">
        <v>1</v>
      </c>
      <c r="E3923">
        <v>1</v>
      </c>
      <c r="F3923">
        <v>1</v>
      </c>
    </row>
    <row r="3924" spans="1:6">
      <c r="A3924" t="s">
        <v>314</v>
      </c>
      <c r="B3924" t="s">
        <v>392</v>
      </c>
      <c r="C3924" s="3">
        <v>45487796755</v>
      </c>
      <c r="D3924">
        <v>1</v>
      </c>
      <c r="E3924">
        <v>1</v>
      </c>
      <c r="F3924">
        <v>1</v>
      </c>
    </row>
    <row r="3925" spans="1:6">
      <c r="A3925" t="s">
        <v>314</v>
      </c>
      <c r="B3925" t="s">
        <v>393</v>
      </c>
      <c r="C3925" s="3">
        <v>149431312557</v>
      </c>
      <c r="D3925">
        <v>1</v>
      </c>
      <c r="E3925">
        <v>1</v>
      </c>
      <c r="F3925">
        <v>1</v>
      </c>
    </row>
    <row r="3926" spans="1:6">
      <c r="A3926" t="s">
        <v>314</v>
      </c>
      <c r="B3926" t="s">
        <v>394</v>
      </c>
      <c r="C3926" s="3">
        <v>3.28508574204739</v>
      </c>
      <c r="D3926">
        <v>1</v>
      </c>
      <c r="E3926">
        <v>1</v>
      </c>
      <c r="F3926">
        <v>1</v>
      </c>
    </row>
    <row r="3927" spans="1:6">
      <c r="A3927" t="s">
        <v>314</v>
      </c>
      <c r="B3927" t="s">
        <v>39</v>
      </c>
      <c r="C3927" s="3">
        <v>-5.34103207703056</v>
      </c>
      <c r="D3927">
        <v>1</v>
      </c>
      <c r="E3927">
        <v>1</v>
      </c>
      <c r="F3927">
        <v>1</v>
      </c>
    </row>
    <row r="3928" spans="1:6">
      <c r="A3928" t="s">
        <v>314</v>
      </c>
      <c r="B3928" t="s">
        <v>43</v>
      </c>
      <c r="C3928" s="3">
        <v>-1.3</v>
      </c>
      <c r="D3928">
        <v>1</v>
      </c>
      <c r="E3928">
        <v>1</v>
      </c>
      <c r="F3928">
        <v>1</v>
      </c>
    </row>
    <row r="3929" spans="1:6">
      <c r="A3929" t="s">
        <v>314</v>
      </c>
      <c r="B3929" t="s">
        <v>44</v>
      </c>
      <c r="C3929" s="3">
        <v>-0.399999999999991</v>
      </c>
      <c r="D3929">
        <v>1</v>
      </c>
      <c r="E3929">
        <v>1</v>
      </c>
      <c r="F3929">
        <v>1</v>
      </c>
    </row>
    <row r="3930" spans="1:6">
      <c r="A3930" t="s">
        <v>314</v>
      </c>
      <c r="B3930" t="s">
        <v>45</v>
      </c>
      <c r="C3930" s="3">
        <v>0.799999999999997</v>
      </c>
      <c r="D3930">
        <v>1</v>
      </c>
      <c r="E3930">
        <v>1</v>
      </c>
      <c r="F3930">
        <v>1</v>
      </c>
    </row>
    <row r="3931" spans="1:6">
      <c r="A3931" t="s">
        <v>314</v>
      </c>
      <c r="B3931" t="s">
        <v>396</v>
      </c>
      <c r="C3931" s="3">
        <v>2.3229844763997</v>
      </c>
      <c r="D3931">
        <v>1</v>
      </c>
      <c r="E3931">
        <v>1</v>
      </c>
      <c r="F3931">
        <v>1</v>
      </c>
    </row>
    <row r="3932" spans="1:6">
      <c r="A3932" t="s">
        <v>315</v>
      </c>
      <c r="B3932" t="s">
        <v>34</v>
      </c>
      <c r="C3932" s="3">
        <v>63.21</v>
      </c>
      <c r="D3932">
        <v>1</v>
      </c>
      <c r="E3932">
        <v>1</v>
      </c>
      <c r="F3932">
        <v>1</v>
      </c>
    </row>
    <row r="3933" spans="1:6">
      <c r="A3933" t="s">
        <v>315</v>
      </c>
      <c r="B3933" t="s">
        <v>35</v>
      </c>
      <c r="C3933" s="3">
        <v>7.0199</v>
      </c>
      <c r="D3933">
        <v>1</v>
      </c>
      <c r="E3933">
        <v>1</v>
      </c>
      <c r="F3933">
        <v>1</v>
      </c>
    </row>
    <row r="3934" spans="1:6">
      <c r="A3934" t="s">
        <v>315</v>
      </c>
      <c r="B3934" t="s">
        <v>36</v>
      </c>
      <c r="C3934" s="3">
        <v>443.727879</v>
      </c>
      <c r="D3934">
        <v>1</v>
      </c>
      <c r="E3934">
        <v>1</v>
      </c>
      <c r="F3934">
        <v>1</v>
      </c>
    </row>
    <row r="3935" spans="1:6">
      <c r="A3935" t="s">
        <v>315</v>
      </c>
      <c r="B3935" t="s">
        <v>40</v>
      </c>
      <c r="C3935" s="3">
        <v>94.2</v>
      </c>
      <c r="D3935">
        <v>1</v>
      </c>
      <c r="E3935">
        <v>1</v>
      </c>
      <c r="F3935">
        <v>1</v>
      </c>
    </row>
    <row r="3936" spans="1:6">
      <c r="A3936" t="s">
        <v>315</v>
      </c>
      <c r="B3936" t="s">
        <v>41</v>
      </c>
      <c r="C3936" s="3">
        <v>98.6</v>
      </c>
      <c r="D3936">
        <v>1</v>
      </c>
      <c r="E3936">
        <v>1</v>
      </c>
      <c r="F3936">
        <v>1</v>
      </c>
    </row>
    <row r="3937" spans="1:6">
      <c r="A3937" t="s">
        <v>315</v>
      </c>
      <c r="B3937" t="s">
        <v>42</v>
      </c>
      <c r="C3937" s="3">
        <v>104.5</v>
      </c>
      <c r="D3937">
        <v>1</v>
      </c>
      <c r="E3937">
        <v>1</v>
      </c>
      <c r="F3937">
        <v>1</v>
      </c>
    </row>
    <row r="3938" spans="1:6">
      <c r="A3938" t="s">
        <v>315</v>
      </c>
      <c r="B3938" t="s">
        <v>46</v>
      </c>
      <c r="C3938" s="3">
        <v>97.8</v>
      </c>
      <c r="D3938">
        <v>1</v>
      </c>
      <c r="E3938">
        <v>1</v>
      </c>
      <c r="F3938">
        <v>1</v>
      </c>
    </row>
    <row r="3939" spans="1:6">
      <c r="A3939" t="s">
        <v>315</v>
      </c>
      <c r="B3939" t="s">
        <v>392</v>
      </c>
      <c r="C3939" s="3">
        <v>45722651146</v>
      </c>
      <c r="D3939">
        <v>1</v>
      </c>
      <c r="E3939">
        <v>1</v>
      </c>
      <c r="F3939">
        <v>1</v>
      </c>
    </row>
    <row r="3940" spans="1:6">
      <c r="A3940" t="s">
        <v>315</v>
      </c>
      <c r="B3940" t="s">
        <v>393</v>
      </c>
      <c r="C3940" s="3">
        <v>151567887719</v>
      </c>
      <c r="D3940">
        <v>1</v>
      </c>
      <c r="E3940">
        <v>1</v>
      </c>
      <c r="F3940">
        <v>1</v>
      </c>
    </row>
    <row r="3941" spans="1:6">
      <c r="A3941" t="s">
        <v>315</v>
      </c>
      <c r="B3941" t="s">
        <v>394</v>
      </c>
      <c r="C3941" s="3">
        <v>3.31494093015339</v>
      </c>
      <c r="D3941">
        <v>1</v>
      </c>
      <c r="E3941">
        <v>1</v>
      </c>
      <c r="F3941">
        <v>1</v>
      </c>
    </row>
    <row r="3942" spans="1:6">
      <c r="A3942" t="s">
        <v>315</v>
      </c>
      <c r="B3942" t="s">
        <v>39</v>
      </c>
      <c r="C3942" s="3">
        <v>4.61666414928904</v>
      </c>
      <c r="D3942">
        <v>1</v>
      </c>
      <c r="E3942">
        <v>1</v>
      </c>
      <c r="F3942">
        <v>1</v>
      </c>
    </row>
    <row r="3943" spans="1:6">
      <c r="A3943" t="s">
        <v>315</v>
      </c>
      <c r="B3943" t="s">
        <v>43</v>
      </c>
      <c r="C3943" s="3">
        <v>-0.299999999999997</v>
      </c>
      <c r="D3943">
        <v>1</v>
      </c>
      <c r="E3943">
        <v>1</v>
      </c>
      <c r="F3943">
        <v>1</v>
      </c>
    </row>
    <row r="3944" spans="1:6">
      <c r="A3944" t="s">
        <v>315</v>
      </c>
      <c r="B3944" t="s">
        <v>44</v>
      </c>
      <c r="C3944" s="3">
        <v>0.199999999999989</v>
      </c>
      <c r="D3944">
        <v>1</v>
      </c>
      <c r="E3944">
        <v>1</v>
      </c>
      <c r="F3944">
        <v>1</v>
      </c>
    </row>
    <row r="3945" spans="1:6">
      <c r="A3945" t="s">
        <v>315</v>
      </c>
      <c r="B3945" t="s">
        <v>45</v>
      </c>
      <c r="C3945" s="3">
        <v>0.700000000000003</v>
      </c>
      <c r="D3945">
        <v>1</v>
      </c>
      <c r="E3945">
        <v>1</v>
      </c>
      <c r="F3945">
        <v>1</v>
      </c>
    </row>
    <row r="3946" spans="1:6">
      <c r="A3946" t="s">
        <v>315</v>
      </c>
      <c r="B3946" t="s">
        <v>396</v>
      </c>
      <c r="C3946" s="3">
        <v>0.904705184498993</v>
      </c>
      <c r="D3946">
        <v>1</v>
      </c>
      <c r="E3946">
        <v>1</v>
      </c>
      <c r="F3946">
        <v>1</v>
      </c>
    </row>
    <row r="3947" spans="1:6">
      <c r="A3947" t="s">
        <v>316</v>
      </c>
      <c r="B3947" t="s">
        <v>34</v>
      </c>
      <c r="C3947" s="3">
        <v>67.31</v>
      </c>
      <c r="D3947">
        <v>1</v>
      </c>
      <c r="E3947">
        <v>1</v>
      </c>
      <c r="F3947">
        <v>1</v>
      </c>
    </row>
    <row r="3948" spans="1:6">
      <c r="A3948" t="s">
        <v>316</v>
      </c>
      <c r="B3948" t="s">
        <v>35</v>
      </c>
      <c r="C3948" s="3">
        <v>7.0137</v>
      </c>
      <c r="D3948">
        <v>1</v>
      </c>
      <c r="E3948">
        <v>1</v>
      </c>
      <c r="F3948">
        <v>1</v>
      </c>
    </row>
    <row r="3949" spans="1:6">
      <c r="A3949" t="s">
        <v>316</v>
      </c>
      <c r="B3949" t="s">
        <v>36</v>
      </c>
      <c r="C3949" s="3">
        <v>472.092147</v>
      </c>
      <c r="D3949">
        <v>1</v>
      </c>
      <c r="E3949">
        <v>1</v>
      </c>
      <c r="F3949">
        <v>1</v>
      </c>
    </row>
    <row r="3950" spans="1:6">
      <c r="A3950" t="s">
        <v>316</v>
      </c>
      <c r="B3950" t="s">
        <v>40</v>
      </c>
      <c r="C3950" s="3">
        <v>96.7</v>
      </c>
      <c r="D3950">
        <v>1</v>
      </c>
      <c r="E3950">
        <v>1</v>
      </c>
      <c r="F3950">
        <v>1</v>
      </c>
    </row>
    <row r="3951" spans="1:6">
      <c r="A3951" t="s">
        <v>316</v>
      </c>
      <c r="B3951" t="s">
        <v>41</v>
      </c>
      <c r="C3951" s="3">
        <v>99.5</v>
      </c>
      <c r="D3951">
        <v>1</v>
      </c>
      <c r="E3951">
        <v>1</v>
      </c>
      <c r="F3951">
        <v>1</v>
      </c>
    </row>
    <row r="3952" spans="1:6">
      <c r="A3952" t="s">
        <v>316</v>
      </c>
      <c r="B3952" t="s">
        <v>42</v>
      </c>
      <c r="C3952" s="3">
        <v>104.5</v>
      </c>
      <c r="D3952">
        <v>1</v>
      </c>
      <c r="E3952">
        <v>1</v>
      </c>
      <c r="F3952">
        <v>1</v>
      </c>
    </row>
    <row r="3953" spans="1:6">
      <c r="A3953" t="s">
        <v>316</v>
      </c>
      <c r="B3953" t="s">
        <v>46</v>
      </c>
      <c r="C3953" s="3">
        <v>98.7</v>
      </c>
      <c r="D3953">
        <v>1</v>
      </c>
      <c r="E3953">
        <v>1</v>
      </c>
      <c r="F3953">
        <v>1</v>
      </c>
    </row>
    <row r="3954" spans="1:6">
      <c r="A3954" t="s">
        <v>316</v>
      </c>
      <c r="B3954" t="s">
        <v>392</v>
      </c>
      <c r="C3954" s="3">
        <v>45476690629</v>
      </c>
      <c r="D3954">
        <v>1</v>
      </c>
      <c r="E3954">
        <v>1</v>
      </c>
      <c r="F3954">
        <v>1</v>
      </c>
    </row>
    <row r="3955" spans="1:6">
      <c r="A3955" t="s">
        <v>316</v>
      </c>
      <c r="B3955" t="s">
        <v>393</v>
      </c>
      <c r="C3955" s="3">
        <v>155572919698</v>
      </c>
      <c r="D3955">
        <v>1</v>
      </c>
      <c r="E3955">
        <v>1</v>
      </c>
      <c r="F3955">
        <v>1</v>
      </c>
    </row>
    <row r="3956" spans="1:6">
      <c r="A3956" t="s">
        <v>316</v>
      </c>
      <c r="B3956" t="s">
        <v>394</v>
      </c>
      <c r="C3956" s="3">
        <v>3.42093757364993</v>
      </c>
      <c r="D3956">
        <v>1</v>
      </c>
      <c r="E3956">
        <v>1</v>
      </c>
      <c r="F3956">
        <v>1</v>
      </c>
    </row>
    <row r="3957" spans="1:6">
      <c r="A3957" t="s">
        <v>316</v>
      </c>
      <c r="B3957" t="s">
        <v>39</v>
      </c>
      <c r="C3957" s="3">
        <v>6.19627038199986</v>
      </c>
      <c r="D3957">
        <v>1</v>
      </c>
      <c r="E3957">
        <v>1</v>
      </c>
      <c r="F3957">
        <v>1</v>
      </c>
    </row>
    <row r="3958" spans="1:6">
      <c r="A3958" t="s">
        <v>316</v>
      </c>
      <c r="B3958" t="s">
        <v>43</v>
      </c>
      <c r="C3958" s="3">
        <v>2.5</v>
      </c>
      <c r="D3958">
        <v>1</v>
      </c>
      <c r="E3958">
        <v>1</v>
      </c>
      <c r="F3958">
        <v>1</v>
      </c>
    </row>
    <row r="3959" spans="1:6">
      <c r="A3959" t="s">
        <v>316</v>
      </c>
      <c r="B3959" t="s">
        <v>44</v>
      </c>
      <c r="C3959" s="3">
        <v>0.900000000000006</v>
      </c>
      <c r="D3959">
        <v>1</v>
      </c>
      <c r="E3959">
        <v>1</v>
      </c>
      <c r="F3959">
        <v>1</v>
      </c>
    </row>
    <row r="3960" spans="1:6">
      <c r="A3960" t="s">
        <v>316</v>
      </c>
      <c r="B3960" t="s">
        <v>45</v>
      </c>
      <c r="C3960" s="3">
        <v>0</v>
      </c>
      <c r="D3960">
        <v>1</v>
      </c>
      <c r="E3960">
        <v>1</v>
      </c>
      <c r="F3960">
        <v>1</v>
      </c>
    </row>
    <row r="3961" spans="1:6">
      <c r="A3961" t="s">
        <v>316</v>
      </c>
      <c r="B3961" t="s">
        <v>396</v>
      </c>
      <c r="C3961" s="3">
        <v>3.14748533250947</v>
      </c>
      <c r="D3961">
        <v>1</v>
      </c>
      <c r="E3961">
        <v>1</v>
      </c>
      <c r="F3961">
        <v>1</v>
      </c>
    </row>
    <row r="3962" spans="1:6">
      <c r="A3962" t="s">
        <v>317</v>
      </c>
      <c r="B3962" t="s">
        <v>34</v>
      </c>
      <c r="C3962" s="3">
        <v>63.65</v>
      </c>
      <c r="D3962">
        <v>1</v>
      </c>
      <c r="E3962">
        <v>1</v>
      </c>
      <c r="F3962">
        <v>1</v>
      </c>
    </row>
    <row r="3963" spans="1:6">
      <c r="A3963" t="s">
        <v>317</v>
      </c>
      <c r="B3963" t="s">
        <v>35</v>
      </c>
      <c r="C3963" s="3">
        <v>6.9184</v>
      </c>
      <c r="D3963">
        <v>1</v>
      </c>
      <c r="E3963">
        <v>1</v>
      </c>
      <c r="F3963">
        <v>1</v>
      </c>
    </row>
    <row r="3964" spans="1:6">
      <c r="A3964" t="s">
        <v>317</v>
      </c>
      <c r="B3964" t="s">
        <v>36</v>
      </c>
      <c r="C3964" s="3">
        <v>440.35616</v>
      </c>
      <c r="D3964">
        <v>1</v>
      </c>
      <c r="E3964">
        <v>1</v>
      </c>
      <c r="F3964">
        <v>1</v>
      </c>
    </row>
    <row r="3965" spans="1:6">
      <c r="A3965" t="s">
        <v>317</v>
      </c>
      <c r="B3965" t="s">
        <v>40</v>
      </c>
      <c r="C3965" s="3">
        <v>99.8</v>
      </c>
      <c r="D3965">
        <v>1</v>
      </c>
      <c r="E3965">
        <v>1</v>
      </c>
      <c r="F3965">
        <v>1</v>
      </c>
    </row>
    <row r="3966" spans="1:6">
      <c r="A3966" t="s">
        <v>317</v>
      </c>
      <c r="B3966" t="s">
        <v>41</v>
      </c>
      <c r="C3966" s="3">
        <v>100.1</v>
      </c>
      <c r="D3966">
        <v>1</v>
      </c>
      <c r="E3966">
        <v>1</v>
      </c>
      <c r="F3966">
        <v>1</v>
      </c>
    </row>
    <row r="3967" spans="1:6">
      <c r="A3967" t="s">
        <v>317</v>
      </c>
      <c r="B3967" t="s">
        <v>42</v>
      </c>
      <c r="C3967" s="3">
        <v>105.4</v>
      </c>
      <c r="D3967">
        <v>1</v>
      </c>
      <c r="E3967">
        <v>1</v>
      </c>
      <c r="F3967">
        <v>1</v>
      </c>
    </row>
    <row r="3968" spans="1:6">
      <c r="A3968" t="s">
        <v>317</v>
      </c>
      <c r="B3968" t="s">
        <v>46</v>
      </c>
      <c r="C3968" s="3">
        <v>99.7</v>
      </c>
      <c r="D3968">
        <v>1</v>
      </c>
      <c r="E3968">
        <v>1</v>
      </c>
      <c r="F3968">
        <v>1</v>
      </c>
    </row>
    <row r="3969" spans="1:6">
      <c r="A3969" t="s">
        <v>317</v>
      </c>
      <c r="B3969" t="s">
        <v>392</v>
      </c>
      <c r="C3969" s="3">
        <v>46096743303</v>
      </c>
      <c r="D3969">
        <v>1</v>
      </c>
      <c r="E3969">
        <v>1</v>
      </c>
      <c r="F3969">
        <v>1</v>
      </c>
    </row>
    <row r="3970" spans="1:6">
      <c r="A3970" t="s">
        <v>317</v>
      </c>
      <c r="B3970" t="s">
        <v>393</v>
      </c>
      <c r="C3970" s="3">
        <v>160340724674</v>
      </c>
      <c r="D3970">
        <v>1</v>
      </c>
      <c r="E3970">
        <v>1</v>
      </c>
      <c r="F3970">
        <v>1</v>
      </c>
    </row>
    <row r="3971" spans="1:6">
      <c r="A3971" t="s">
        <v>317</v>
      </c>
      <c r="B3971" t="s">
        <v>394</v>
      </c>
      <c r="C3971" s="3">
        <v>3.47835255128674</v>
      </c>
      <c r="D3971">
        <v>1</v>
      </c>
      <c r="E3971">
        <v>1</v>
      </c>
      <c r="F3971">
        <v>1</v>
      </c>
    </row>
    <row r="3972" spans="1:6">
      <c r="A3972" t="s">
        <v>317</v>
      </c>
      <c r="B3972" t="s">
        <v>39</v>
      </c>
      <c r="C3972" s="3">
        <v>-6.95903392001064</v>
      </c>
      <c r="D3972">
        <v>1</v>
      </c>
      <c r="E3972">
        <v>1</v>
      </c>
      <c r="F3972">
        <v>1</v>
      </c>
    </row>
    <row r="3973" spans="1:6">
      <c r="A3973" t="s">
        <v>317</v>
      </c>
      <c r="B3973" t="s">
        <v>43</v>
      </c>
      <c r="C3973" s="3">
        <v>3.09999999999999</v>
      </c>
      <c r="D3973">
        <v>1</v>
      </c>
      <c r="E3973">
        <v>1</v>
      </c>
      <c r="F3973">
        <v>1</v>
      </c>
    </row>
    <row r="3974" spans="1:6">
      <c r="A3974" t="s">
        <v>317</v>
      </c>
      <c r="B3974" t="s">
        <v>44</v>
      </c>
      <c r="C3974" s="3">
        <v>0.599999999999994</v>
      </c>
      <c r="D3974">
        <v>1</v>
      </c>
      <c r="E3974">
        <v>1</v>
      </c>
      <c r="F3974">
        <v>1</v>
      </c>
    </row>
    <row r="3975" spans="1:6">
      <c r="A3975" t="s">
        <v>317</v>
      </c>
      <c r="B3975" t="s">
        <v>45</v>
      </c>
      <c r="C3975" s="3">
        <v>0.900000000000006</v>
      </c>
      <c r="D3975">
        <v>1</v>
      </c>
      <c r="E3975">
        <v>1</v>
      </c>
      <c r="F3975">
        <v>1</v>
      </c>
    </row>
    <row r="3976" spans="1:6">
      <c r="A3976" t="s">
        <v>317</v>
      </c>
      <c r="B3976" t="s">
        <v>396</v>
      </c>
      <c r="C3976" s="3">
        <v>1.66441190463843</v>
      </c>
      <c r="D3976">
        <v>1</v>
      </c>
      <c r="E3976">
        <v>1</v>
      </c>
      <c r="F3976">
        <v>1</v>
      </c>
    </row>
    <row r="3977" spans="1:6">
      <c r="A3977" t="s">
        <v>318</v>
      </c>
      <c r="B3977" t="s">
        <v>34</v>
      </c>
      <c r="C3977" s="3">
        <v>55.66</v>
      </c>
      <c r="D3977">
        <v>1</v>
      </c>
      <c r="E3977">
        <v>1</v>
      </c>
      <c r="F3977">
        <v>1</v>
      </c>
    </row>
    <row r="3978" spans="1:6">
      <c r="A3978" t="s">
        <v>318</v>
      </c>
      <c r="B3978" t="s">
        <v>35</v>
      </c>
      <c r="C3978" s="3">
        <v>6.9967</v>
      </c>
      <c r="D3978">
        <v>1</v>
      </c>
      <c r="E3978">
        <v>1</v>
      </c>
      <c r="F3978">
        <v>1</v>
      </c>
    </row>
    <row r="3979" spans="1:6">
      <c r="A3979" t="s">
        <v>318</v>
      </c>
      <c r="B3979" t="s">
        <v>36</v>
      </c>
      <c r="C3979" s="3">
        <v>389.436322</v>
      </c>
      <c r="D3979">
        <v>1</v>
      </c>
      <c r="E3979">
        <v>1</v>
      </c>
      <c r="F3979">
        <v>1</v>
      </c>
    </row>
    <row r="3980" spans="1:6">
      <c r="A3980" t="s">
        <v>318</v>
      </c>
      <c r="B3980" t="s">
        <v>40</v>
      </c>
      <c r="C3980" s="3">
        <v>99</v>
      </c>
      <c r="D3980">
        <v>1</v>
      </c>
      <c r="E3980">
        <v>1</v>
      </c>
      <c r="F3980">
        <v>1</v>
      </c>
    </row>
    <row r="3981" spans="1:6">
      <c r="A3981" t="s">
        <v>318</v>
      </c>
      <c r="B3981" t="s">
        <v>41</v>
      </c>
      <c r="C3981" s="3">
        <v>99.6</v>
      </c>
      <c r="D3981">
        <v>1</v>
      </c>
      <c r="E3981">
        <v>1</v>
      </c>
      <c r="F3981">
        <v>1</v>
      </c>
    </row>
    <row r="3982" spans="1:6">
      <c r="A3982" t="s">
        <v>318</v>
      </c>
      <c r="B3982" t="s">
        <v>42</v>
      </c>
      <c r="C3982" s="3">
        <v>105.2</v>
      </c>
      <c r="D3982">
        <v>1</v>
      </c>
      <c r="E3982">
        <v>1</v>
      </c>
      <c r="F3982">
        <v>1</v>
      </c>
    </row>
    <row r="3983" spans="1:6">
      <c r="A3983" t="s">
        <v>318</v>
      </c>
      <c r="B3983" t="s">
        <v>46</v>
      </c>
      <c r="C3983" s="3">
        <v>99.5</v>
      </c>
      <c r="D3983">
        <v>1</v>
      </c>
      <c r="E3983">
        <v>1</v>
      </c>
      <c r="F3983">
        <v>1</v>
      </c>
    </row>
    <row r="3984" spans="1:6">
      <c r="A3984" t="s">
        <v>318</v>
      </c>
      <c r="B3984" t="s">
        <v>392</v>
      </c>
      <c r="C3984" s="3">
        <v>39981784459</v>
      </c>
      <c r="D3984">
        <v>1</v>
      </c>
      <c r="E3984">
        <v>1</v>
      </c>
      <c r="F3984">
        <v>1</v>
      </c>
    </row>
    <row r="3985" spans="1:6">
      <c r="A3985" t="s">
        <v>318</v>
      </c>
      <c r="B3985" t="s">
        <v>393</v>
      </c>
      <c r="C3985" s="3">
        <v>133312979483</v>
      </c>
      <c r="D3985">
        <v>1</v>
      </c>
      <c r="E3985">
        <v>1</v>
      </c>
      <c r="F3985">
        <v>1</v>
      </c>
    </row>
    <row r="3986" spans="1:6">
      <c r="A3986" t="s">
        <v>318</v>
      </c>
      <c r="B3986" t="s">
        <v>394</v>
      </c>
      <c r="C3986" s="3">
        <v>3.33434290857398</v>
      </c>
      <c r="D3986">
        <v>1</v>
      </c>
      <c r="E3986">
        <v>1</v>
      </c>
      <c r="F3986">
        <v>1</v>
      </c>
    </row>
    <row r="3987" spans="1:6">
      <c r="A3987" t="s">
        <v>318</v>
      </c>
      <c r="B3987" t="s">
        <v>39</v>
      </c>
      <c r="C3987" s="3">
        <v>-12.2883488601869</v>
      </c>
      <c r="D3987">
        <v>1</v>
      </c>
      <c r="E3987">
        <v>1</v>
      </c>
      <c r="F3987">
        <v>1</v>
      </c>
    </row>
    <row r="3988" spans="1:6">
      <c r="A3988" t="s">
        <v>318</v>
      </c>
      <c r="B3988" t="s">
        <v>43</v>
      </c>
      <c r="C3988" s="3">
        <v>-0.799999999999997</v>
      </c>
      <c r="D3988">
        <v>1</v>
      </c>
      <c r="E3988">
        <v>1</v>
      </c>
      <c r="F3988">
        <v>1</v>
      </c>
    </row>
    <row r="3989" spans="1:6">
      <c r="A3989" t="s">
        <v>318</v>
      </c>
      <c r="B3989" t="s">
        <v>44</v>
      </c>
      <c r="C3989" s="3">
        <v>-0.5</v>
      </c>
      <c r="D3989">
        <v>1</v>
      </c>
      <c r="E3989">
        <v>1</v>
      </c>
      <c r="F3989">
        <v>1</v>
      </c>
    </row>
    <row r="3990" spans="1:6">
      <c r="A3990" t="s">
        <v>318</v>
      </c>
      <c r="B3990" t="s">
        <v>45</v>
      </c>
      <c r="C3990" s="3">
        <v>-0.200000000000003</v>
      </c>
      <c r="D3990">
        <v>1</v>
      </c>
      <c r="E3990">
        <v>1</v>
      </c>
      <c r="F3990">
        <v>1</v>
      </c>
    </row>
    <row r="3991" spans="1:6">
      <c r="A3991" t="s">
        <v>318</v>
      </c>
      <c r="B3991" t="s">
        <v>396</v>
      </c>
      <c r="C3991" s="3">
        <v>-4.22831458507994</v>
      </c>
      <c r="D3991">
        <v>1</v>
      </c>
      <c r="E3991">
        <v>1</v>
      </c>
      <c r="F3991">
        <v>1</v>
      </c>
    </row>
    <row r="3992" spans="1:6">
      <c r="A3992" t="s">
        <v>319</v>
      </c>
      <c r="B3992" t="s">
        <v>34</v>
      </c>
      <c r="C3992" s="3">
        <v>32.01</v>
      </c>
      <c r="D3992">
        <v>1</v>
      </c>
      <c r="E3992">
        <v>1</v>
      </c>
      <c r="F3992">
        <v>1</v>
      </c>
    </row>
    <row r="3993" spans="1:6">
      <c r="A3993" t="s">
        <v>319</v>
      </c>
      <c r="B3993" t="s">
        <v>35</v>
      </c>
      <c r="C3993" s="3">
        <v>7.0205</v>
      </c>
      <c r="D3993">
        <v>1</v>
      </c>
      <c r="E3993">
        <v>1</v>
      </c>
      <c r="F3993">
        <v>1</v>
      </c>
    </row>
    <row r="3994" spans="1:6">
      <c r="A3994" t="s">
        <v>319</v>
      </c>
      <c r="B3994" t="s">
        <v>36</v>
      </c>
      <c r="C3994" s="3">
        <v>224.726205</v>
      </c>
      <c r="D3994">
        <v>1</v>
      </c>
      <c r="E3994">
        <v>1</v>
      </c>
      <c r="F3994">
        <v>1</v>
      </c>
    </row>
    <row r="3995" spans="1:6">
      <c r="A3995" t="s">
        <v>319</v>
      </c>
      <c r="B3995" t="s">
        <v>40</v>
      </c>
      <c r="C3995" s="3">
        <v>96</v>
      </c>
      <c r="D3995">
        <v>1</v>
      </c>
      <c r="E3995">
        <v>1</v>
      </c>
      <c r="F3995">
        <v>1</v>
      </c>
    </row>
    <row r="3996" spans="1:6">
      <c r="A3996" t="s">
        <v>319</v>
      </c>
      <c r="B3996" t="s">
        <v>41</v>
      </c>
      <c r="C3996" s="3">
        <v>98.5</v>
      </c>
      <c r="D3996">
        <v>1</v>
      </c>
      <c r="E3996">
        <v>1</v>
      </c>
      <c r="F3996">
        <v>1</v>
      </c>
    </row>
    <row r="3997" spans="1:6">
      <c r="A3997" t="s">
        <v>319</v>
      </c>
      <c r="B3997" t="s">
        <v>42</v>
      </c>
      <c r="C3997" s="3">
        <v>104.3</v>
      </c>
      <c r="D3997">
        <v>1</v>
      </c>
      <c r="E3997">
        <v>1</v>
      </c>
      <c r="F3997">
        <v>1</v>
      </c>
    </row>
    <row r="3998" spans="1:6">
      <c r="A3998" t="s">
        <v>319</v>
      </c>
      <c r="B3998" t="s">
        <v>46</v>
      </c>
      <c r="C3998" s="3">
        <v>98.4</v>
      </c>
      <c r="D3998">
        <v>1</v>
      </c>
      <c r="E3998">
        <v>1</v>
      </c>
      <c r="F3998">
        <v>1</v>
      </c>
    </row>
    <row r="3999" spans="1:6">
      <c r="A3999" t="s">
        <v>319</v>
      </c>
      <c r="B3999" t="s">
        <v>392</v>
      </c>
      <c r="C3999" s="3">
        <v>41092518287</v>
      </c>
      <c r="D3999">
        <v>1</v>
      </c>
      <c r="E3999">
        <v>1</v>
      </c>
      <c r="F3999">
        <v>1</v>
      </c>
    </row>
    <row r="4000" spans="1:6">
      <c r="A4000" t="s">
        <v>319</v>
      </c>
      <c r="B4000" t="s">
        <v>393</v>
      </c>
      <c r="C4000" s="3">
        <v>116630146426</v>
      </c>
      <c r="D4000">
        <v>1</v>
      </c>
      <c r="E4000">
        <v>1</v>
      </c>
      <c r="F4000">
        <v>1</v>
      </c>
    </row>
    <row r="4001" spans="1:6">
      <c r="A4001" t="s">
        <v>319</v>
      </c>
      <c r="B4001" t="s">
        <v>394</v>
      </c>
      <c r="C4001" s="3">
        <v>2.83823312096443</v>
      </c>
      <c r="D4001">
        <v>1</v>
      </c>
      <c r="E4001">
        <v>1</v>
      </c>
      <c r="F4001">
        <v>1</v>
      </c>
    </row>
    <row r="4002" spans="1:6">
      <c r="A4002" t="s">
        <v>319</v>
      </c>
      <c r="B4002" t="s">
        <v>39</v>
      </c>
      <c r="C4002" s="3">
        <v>-54.9817570869912</v>
      </c>
      <c r="D4002">
        <v>1</v>
      </c>
      <c r="E4002">
        <v>1</v>
      </c>
      <c r="F4002">
        <v>1</v>
      </c>
    </row>
    <row r="4003" spans="1:6">
      <c r="A4003" t="s">
        <v>319</v>
      </c>
      <c r="B4003" t="s">
        <v>43</v>
      </c>
      <c r="C4003" s="3">
        <v>-3</v>
      </c>
      <c r="D4003">
        <v>1</v>
      </c>
      <c r="E4003">
        <v>1</v>
      </c>
      <c r="F4003">
        <v>1</v>
      </c>
    </row>
    <row r="4004" spans="1:6">
      <c r="A4004" t="s">
        <v>319</v>
      </c>
      <c r="B4004" t="s">
        <v>44</v>
      </c>
      <c r="C4004" s="3">
        <v>-1.09999999999999</v>
      </c>
      <c r="D4004">
        <v>1</v>
      </c>
      <c r="E4004">
        <v>1</v>
      </c>
      <c r="F4004">
        <v>1</v>
      </c>
    </row>
    <row r="4005" spans="1:6">
      <c r="A4005" t="s">
        <v>319</v>
      </c>
      <c r="B4005" t="s">
        <v>45</v>
      </c>
      <c r="C4005" s="3">
        <v>-0.900000000000006</v>
      </c>
      <c r="D4005">
        <v>1</v>
      </c>
      <c r="E4005">
        <v>1</v>
      </c>
      <c r="F4005">
        <v>1</v>
      </c>
    </row>
    <row r="4006" spans="1:6">
      <c r="A4006" t="s">
        <v>319</v>
      </c>
      <c r="B4006" t="s">
        <v>396</v>
      </c>
      <c r="C4006" s="3">
        <v>-16.1093912983568</v>
      </c>
      <c r="D4006">
        <v>1</v>
      </c>
      <c r="E4006">
        <v>1</v>
      </c>
      <c r="F4006">
        <v>1</v>
      </c>
    </row>
    <row r="4007" spans="1:6">
      <c r="A4007" t="s">
        <v>320</v>
      </c>
      <c r="B4007" t="s">
        <v>34</v>
      </c>
      <c r="C4007" s="3">
        <v>18.38</v>
      </c>
      <c r="D4007">
        <v>1</v>
      </c>
      <c r="E4007">
        <v>1</v>
      </c>
      <c r="F4007">
        <v>1</v>
      </c>
    </row>
    <row r="4008" spans="1:6">
      <c r="A4008" t="s">
        <v>320</v>
      </c>
      <c r="B4008" t="s">
        <v>35</v>
      </c>
      <c r="C4008" s="3">
        <v>7.0708</v>
      </c>
      <c r="D4008">
        <v>1</v>
      </c>
      <c r="E4008">
        <v>1</v>
      </c>
      <c r="F4008">
        <v>1</v>
      </c>
    </row>
    <row r="4009" spans="1:6">
      <c r="A4009" t="s">
        <v>320</v>
      </c>
      <c r="B4009" t="s">
        <v>36</v>
      </c>
      <c r="C4009" s="3">
        <v>129.961304</v>
      </c>
      <c r="D4009">
        <v>1</v>
      </c>
      <c r="E4009">
        <v>1</v>
      </c>
      <c r="F4009">
        <v>1</v>
      </c>
    </row>
    <row r="4010" spans="1:6">
      <c r="A4010" t="s">
        <v>320</v>
      </c>
      <c r="B4010" t="s">
        <v>40</v>
      </c>
      <c r="C4010" s="3">
        <v>88.6</v>
      </c>
      <c r="D4010">
        <v>1</v>
      </c>
      <c r="E4010">
        <v>1</v>
      </c>
      <c r="F4010">
        <v>1</v>
      </c>
    </row>
    <row r="4011" spans="1:6">
      <c r="A4011" t="s">
        <v>320</v>
      </c>
      <c r="B4011" t="s">
        <v>41</v>
      </c>
      <c r="C4011" s="3">
        <v>96.9</v>
      </c>
      <c r="D4011">
        <v>1</v>
      </c>
      <c r="E4011">
        <v>1</v>
      </c>
      <c r="F4011">
        <v>1</v>
      </c>
    </row>
    <row r="4012" spans="1:6">
      <c r="A4012" t="s">
        <v>320</v>
      </c>
      <c r="B4012" t="s">
        <v>42</v>
      </c>
      <c r="C4012" s="3">
        <v>103.3</v>
      </c>
      <c r="D4012">
        <v>1</v>
      </c>
      <c r="E4012">
        <v>1</v>
      </c>
      <c r="F4012">
        <v>1</v>
      </c>
    </row>
    <row r="4013" spans="1:6">
      <c r="A4013" t="s">
        <v>320</v>
      </c>
      <c r="B4013" t="s">
        <v>46</v>
      </c>
      <c r="C4013" s="3">
        <v>96.2</v>
      </c>
      <c r="D4013">
        <v>1</v>
      </c>
      <c r="E4013">
        <v>1</v>
      </c>
      <c r="F4013">
        <v>1</v>
      </c>
    </row>
    <row r="4014" spans="1:6">
      <c r="A4014" t="s">
        <v>320</v>
      </c>
      <c r="B4014" t="s">
        <v>392</v>
      </c>
      <c r="C4014" s="3">
        <v>40415327222</v>
      </c>
      <c r="D4014">
        <v>1</v>
      </c>
      <c r="E4014">
        <v>1</v>
      </c>
      <c r="F4014">
        <v>1</v>
      </c>
    </row>
    <row r="4015" spans="1:6">
      <c r="A4015" t="s">
        <v>320</v>
      </c>
      <c r="B4015" t="s">
        <v>393</v>
      </c>
      <c r="C4015" s="3">
        <v>76352415753</v>
      </c>
      <c r="D4015">
        <v>1</v>
      </c>
      <c r="E4015">
        <v>1</v>
      </c>
      <c r="F4015">
        <v>1</v>
      </c>
    </row>
    <row r="4016" spans="1:6">
      <c r="A4016" t="s">
        <v>320</v>
      </c>
      <c r="B4016" t="s">
        <v>394</v>
      </c>
      <c r="C4016" s="3">
        <v>1.88919454576227</v>
      </c>
      <c r="D4016">
        <v>1</v>
      </c>
      <c r="E4016">
        <v>1</v>
      </c>
      <c r="F4016">
        <v>1</v>
      </c>
    </row>
    <row r="4017" spans="1:6">
      <c r="A4017" t="s">
        <v>320</v>
      </c>
      <c r="B4017" t="s">
        <v>39</v>
      </c>
      <c r="C4017" s="3">
        <v>-54.76460499472</v>
      </c>
      <c r="D4017">
        <v>1</v>
      </c>
      <c r="E4017">
        <v>1</v>
      </c>
      <c r="F4017">
        <v>1</v>
      </c>
    </row>
    <row r="4018" spans="1:6">
      <c r="A4018" t="s">
        <v>320</v>
      </c>
      <c r="B4018" t="s">
        <v>43</v>
      </c>
      <c r="C4018" s="3">
        <v>-7.40000000000001</v>
      </c>
      <c r="D4018">
        <v>1</v>
      </c>
      <c r="E4018">
        <v>1</v>
      </c>
      <c r="F4018">
        <v>1</v>
      </c>
    </row>
    <row r="4019" spans="1:6">
      <c r="A4019" t="s">
        <v>320</v>
      </c>
      <c r="B4019" t="s">
        <v>44</v>
      </c>
      <c r="C4019" s="3">
        <v>-1.59999999999999</v>
      </c>
      <c r="D4019">
        <v>1</v>
      </c>
      <c r="E4019">
        <v>1</v>
      </c>
      <c r="F4019">
        <v>1</v>
      </c>
    </row>
    <row r="4020" spans="1:6">
      <c r="A4020" t="s">
        <v>320</v>
      </c>
      <c r="B4020" t="s">
        <v>45</v>
      </c>
      <c r="C4020" s="3">
        <v>-1</v>
      </c>
      <c r="D4020">
        <v>1</v>
      </c>
      <c r="E4020">
        <v>1</v>
      </c>
      <c r="F4020">
        <v>1</v>
      </c>
    </row>
    <row r="4021" spans="1:6">
      <c r="A4021" t="s">
        <v>320</v>
      </c>
      <c r="B4021" t="s">
        <v>396</v>
      </c>
      <c r="C4021" s="3">
        <v>-40.7031146084368</v>
      </c>
      <c r="D4021">
        <v>1</v>
      </c>
      <c r="E4021">
        <v>1</v>
      </c>
      <c r="F4021">
        <v>1</v>
      </c>
    </row>
    <row r="4022" spans="1:6">
      <c r="A4022" t="s">
        <v>321</v>
      </c>
      <c r="B4022" t="s">
        <v>34</v>
      </c>
      <c r="C4022" s="3">
        <v>29.38</v>
      </c>
      <c r="D4022">
        <v>1</v>
      </c>
      <c r="E4022">
        <v>1</v>
      </c>
      <c r="F4022">
        <v>1</v>
      </c>
    </row>
    <row r="4023" spans="1:6">
      <c r="A4023" t="s">
        <v>321</v>
      </c>
      <c r="B4023" t="s">
        <v>35</v>
      </c>
      <c r="C4023" s="3">
        <v>7.1016</v>
      </c>
      <c r="D4023">
        <v>1</v>
      </c>
      <c r="E4023">
        <v>1</v>
      </c>
      <c r="F4023">
        <v>1</v>
      </c>
    </row>
    <row r="4024" spans="1:6">
      <c r="A4024" t="s">
        <v>321</v>
      </c>
      <c r="B4024" t="s">
        <v>36</v>
      </c>
      <c r="C4024" s="3">
        <v>208.645008</v>
      </c>
      <c r="D4024">
        <v>1</v>
      </c>
      <c r="E4024">
        <v>1</v>
      </c>
      <c r="F4024">
        <v>1</v>
      </c>
    </row>
    <row r="4025" spans="1:6">
      <c r="A4025" t="s">
        <v>321</v>
      </c>
      <c r="B4025" t="s">
        <v>40</v>
      </c>
      <c r="C4025" s="3">
        <v>84.5</v>
      </c>
      <c r="D4025">
        <v>1</v>
      </c>
      <c r="E4025">
        <v>1</v>
      </c>
      <c r="F4025">
        <v>1</v>
      </c>
    </row>
    <row r="4026" spans="1:6">
      <c r="A4026" t="s">
        <v>321</v>
      </c>
      <c r="B4026" t="s">
        <v>41</v>
      </c>
      <c r="C4026" s="3">
        <v>96.3</v>
      </c>
      <c r="D4026">
        <v>1</v>
      </c>
      <c r="E4026">
        <v>1</v>
      </c>
      <c r="F4026">
        <v>1</v>
      </c>
    </row>
    <row r="4027" spans="1:6">
      <c r="A4027" t="s">
        <v>321</v>
      </c>
      <c r="B4027" t="s">
        <v>42</v>
      </c>
      <c r="C4027" s="3">
        <v>102.4</v>
      </c>
      <c r="D4027">
        <v>1</v>
      </c>
      <c r="E4027">
        <v>1</v>
      </c>
      <c r="F4027">
        <v>1</v>
      </c>
    </row>
    <row r="4028" spans="1:6">
      <c r="A4028" t="s">
        <v>321</v>
      </c>
      <c r="B4028" t="s">
        <v>46</v>
      </c>
      <c r="C4028" s="3">
        <v>95</v>
      </c>
      <c r="D4028">
        <v>1</v>
      </c>
      <c r="E4028">
        <v>1</v>
      </c>
      <c r="F4028">
        <v>1</v>
      </c>
    </row>
    <row r="4029" spans="1:6">
      <c r="A4029" t="s">
        <v>321</v>
      </c>
      <c r="B4029" t="s">
        <v>392</v>
      </c>
      <c r="C4029" s="3">
        <v>47962846592</v>
      </c>
      <c r="D4029">
        <v>1</v>
      </c>
      <c r="E4029">
        <v>1</v>
      </c>
      <c r="F4029">
        <v>1</v>
      </c>
    </row>
    <row r="4030" spans="1:6">
      <c r="A4030" t="s">
        <v>321</v>
      </c>
      <c r="B4030" t="s">
        <v>393</v>
      </c>
      <c r="C4030" s="3">
        <v>68481712549</v>
      </c>
      <c r="D4030">
        <v>1</v>
      </c>
      <c r="E4030">
        <v>1</v>
      </c>
      <c r="F4030">
        <v>1</v>
      </c>
    </row>
    <row r="4031" spans="1:6">
      <c r="A4031" t="s">
        <v>321</v>
      </c>
      <c r="B4031" t="s">
        <v>394</v>
      </c>
      <c r="C4031" s="3">
        <v>1.42780750966567</v>
      </c>
      <c r="D4031">
        <v>1</v>
      </c>
      <c r="E4031">
        <v>1</v>
      </c>
      <c r="F4031">
        <v>1</v>
      </c>
    </row>
    <row r="4032" spans="1:6">
      <c r="A4032" t="s">
        <v>321</v>
      </c>
      <c r="B4032" t="s">
        <v>39</v>
      </c>
      <c r="C4032" s="3">
        <v>47.3397536910572</v>
      </c>
      <c r="D4032">
        <v>1</v>
      </c>
      <c r="E4032">
        <v>1</v>
      </c>
      <c r="F4032">
        <v>1</v>
      </c>
    </row>
    <row r="4033" spans="1:6">
      <c r="A4033" t="s">
        <v>321</v>
      </c>
      <c r="B4033" t="s">
        <v>43</v>
      </c>
      <c r="C4033" s="3">
        <v>-4.09999999999999</v>
      </c>
      <c r="D4033">
        <v>1</v>
      </c>
      <c r="E4033">
        <v>1</v>
      </c>
      <c r="F4033">
        <v>1</v>
      </c>
    </row>
    <row r="4034" spans="1:6">
      <c r="A4034" t="s">
        <v>321</v>
      </c>
      <c r="B4034" t="s">
        <v>44</v>
      </c>
      <c r="C4034" s="3">
        <v>-0.600000000000009</v>
      </c>
      <c r="D4034">
        <v>1</v>
      </c>
      <c r="E4034">
        <v>1</v>
      </c>
      <c r="F4034">
        <v>1</v>
      </c>
    </row>
    <row r="4035" spans="1:6">
      <c r="A4035" t="s">
        <v>321</v>
      </c>
      <c r="B4035" t="s">
        <v>45</v>
      </c>
      <c r="C4035" s="3">
        <v>-0.899999999999991</v>
      </c>
      <c r="D4035">
        <v>1</v>
      </c>
      <c r="E4035">
        <v>1</v>
      </c>
      <c r="F4035">
        <v>1</v>
      </c>
    </row>
    <row r="4036" spans="1:6">
      <c r="A4036" t="s">
        <v>321</v>
      </c>
      <c r="B4036" t="s">
        <v>396</v>
      </c>
      <c r="C4036" s="3">
        <v>-28.0010514295008</v>
      </c>
      <c r="D4036">
        <v>1</v>
      </c>
      <c r="E4036">
        <v>1</v>
      </c>
      <c r="F4036">
        <v>1</v>
      </c>
    </row>
    <row r="4037" spans="1:6">
      <c r="A4037" t="s">
        <v>322</v>
      </c>
      <c r="B4037" t="s">
        <v>34</v>
      </c>
      <c r="C4037" s="3">
        <v>40.27</v>
      </c>
      <c r="D4037">
        <v>1</v>
      </c>
      <c r="E4037">
        <v>1</v>
      </c>
      <c r="F4037">
        <v>1</v>
      </c>
    </row>
    <row r="4038" spans="1:6">
      <c r="A4038" t="s">
        <v>322</v>
      </c>
      <c r="B4038" t="s">
        <v>35</v>
      </c>
      <c r="C4038" s="3">
        <v>7.0816</v>
      </c>
      <c r="D4038">
        <v>1</v>
      </c>
      <c r="E4038">
        <v>1</v>
      </c>
      <c r="F4038">
        <v>1</v>
      </c>
    </row>
    <row r="4039" spans="1:6">
      <c r="A4039" t="s">
        <v>322</v>
      </c>
      <c r="B4039" t="s">
        <v>36</v>
      </c>
      <c r="C4039" s="3">
        <v>285.176032</v>
      </c>
      <c r="D4039">
        <v>1</v>
      </c>
      <c r="E4039">
        <v>1</v>
      </c>
      <c r="F4039">
        <v>1</v>
      </c>
    </row>
    <row r="4040" spans="1:6">
      <c r="A4040" t="s">
        <v>322</v>
      </c>
      <c r="B4040" t="s">
        <v>40</v>
      </c>
      <c r="C4040" s="3">
        <v>85.8</v>
      </c>
      <c r="D4040">
        <v>1</v>
      </c>
      <c r="E4040">
        <v>1</v>
      </c>
      <c r="F4040">
        <v>1</v>
      </c>
    </row>
    <row r="4041" spans="1:6">
      <c r="A4041" t="s">
        <v>322</v>
      </c>
      <c r="B4041" t="s">
        <v>41</v>
      </c>
      <c r="C4041" s="3">
        <v>97</v>
      </c>
      <c r="D4041">
        <v>1</v>
      </c>
      <c r="E4041">
        <v>1</v>
      </c>
      <c r="F4041">
        <v>1</v>
      </c>
    </row>
    <row r="4042" spans="1:6">
      <c r="A4042" t="s">
        <v>322</v>
      </c>
      <c r="B4042" t="s">
        <v>42</v>
      </c>
      <c r="C4042" s="3">
        <v>102.5</v>
      </c>
      <c r="D4042">
        <v>1</v>
      </c>
      <c r="E4042">
        <v>1</v>
      </c>
      <c r="F4042">
        <v>1</v>
      </c>
    </row>
    <row r="4043" spans="1:6">
      <c r="A4043" t="s">
        <v>322</v>
      </c>
      <c r="B4043" t="s">
        <v>46</v>
      </c>
      <c r="C4043" s="3">
        <v>95.6</v>
      </c>
      <c r="D4043">
        <v>1</v>
      </c>
      <c r="E4043">
        <v>1</v>
      </c>
      <c r="F4043">
        <v>1</v>
      </c>
    </row>
    <row r="4044" spans="1:6">
      <c r="A4044" t="s">
        <v>322</v>
      </c>
      <c r="B4044" t="s">
        <v>392</v>
      </c>
      <c r="C4044" s="3">
        <v>53171547781</v>
      </c>
      <c r="D4044">
        <v>1</v>
      </c>
      <c r="E4044">
        <v>1</v>
      </c>
      <c r="F4044">
        <v>1</v>
      </c>
    </row>
    <row r="4045" spans="1:6">
      <c r="A4045" t="s">
        <v>322</v>
      </c>
      <c r="B4045" t="s">
        <v>393</v>
      </c>
      <c r="C4045" s="3">
        <v>89048307408</v>
      </c>
      <c r="D4045">
        <v>1</v>
      </c>
      <c r="E4045">
        <v>1</v>
      </c>
      <c r="F4045">
        <v>1</v>
      </c>
    </row>
    <row r="4046" spans="1:6">
      <c r="A4046" t="s">
        <v>322</v>
      </c>
      <c r="B4046" t="s">
        <v>394</v>
      </c>
      <c r="C4046" s="3">
        <v>1.67473604068791</v>
      </c>
      <c r="D4046">
        <v>1</v>
      </c>
      <c r="E4046">
        <v>1</v>
      </c>
      <c r="F4046">
        <v>1</v>
      </c>
    </row>
    <row r="4047" spans="1:6">
      <c r="A4047" t="s">
        <v>322</v>
      </c>
      <c r="B4047" t="s">
        <v>39</v>
      </c>
      <c r="C4047" s="3">
        <v>31.2472364220253</v>
      </c>
      <c r="D4047">
        <v>1</v>
      </c>
      <c r="E4047">
        <v>1</v>
      </c>
      <c r="F4047">
        <v>1</v>
      </c>
    </row>
    <row r="4048" spans="1:6">
      <c r="A4048" t="s">
        <v>322</v>
      </c>
      <c r="B4048" t="s">
        <v>43</v>
      </c>
      <c r="C4048" s="3">
        <v>1.3</v>
      </c>
      <c r="D4048">
        <v>1</v>
      </c>
      <c r="E4048">
        <v>1</v>
      </c>
      <c r="F4048">
        <v>1</v>
      </c>
    </row>
    <row r="4049" spans="1:6">
      <c r="A4049" t="s">
        <v>322</v>
      </c>
      <c r="B4049" t="s">
        <v>44</v>
      </c>
      <c r="C4049" s="3">
        <v>0.700000000000003</v>
      </c>
      <c r="D4049">
        <v>1</v>
      </c>
      <c r="E4049">
        <v>1</v>
      </c>
      <c r="F4049">
        <v>1</v>
      </c>
    </row>
    <row r="4050" spans="1:6">
      <c r="A4050" t="s">
        <v>322</v>
      </c>
      <c r="B4050" t="s">
        <v>45</v>
      </c>
      <c r="C4050" s="3">
        <v>0.0999999999999943</v>
      </c>
      <c r="D4050">
        <v>1</v>
      </c>
      <c r="E4050">
        <v>1</v>
      </c>
      <c r="F4050">
        <v>1</v>
      </c>
    </row>
    <row r="4051" spans="1:6">
      <c r="A4051" t="s">
        <v>322</v>
      </c>
      <c r="B4051" t="s">
        <v>396</v>
      </c>
      <c r="C4051" s="3">
        <v>15.9515507531236</v>
      </c>
      <c r="D4051">
        <v>1</v>
      </c>
      <c r="E4051">
        <v>1</v>
      </c>
      <c r="F4051">
        <v>1</v>
      </c>
    </row>
    <row r="4052" spans="1:6">
      <c r="A4052" t="s">
        <v>323</v>
      </c>
      <c r="B4052" t="s">
        <v>34</v>
      </c>
      <c r="C4052" s="3">
        <v>43.24</v>
      </c>
      <c r="D4052">
        <v>1</v>
      </c>
      <c r="E4052">
        <v>1</v>
      </c>
      <c r="F4052">
        <v>1</v>
      </c>
    </row>
    <row r="4053" spans="1:6">
      <c r="A4053" t="s">
        <v>323</v>
      </c>
      <c r="B4053" t="s">
        <v>35</v>
      </c>
      <c r="C4053" s="3">
        <v>7.0041</v>
      </c>
      <c r="D4053">
        <v>1</v>
      </c>
      <c r="E4053">
        <v>1</v>
      </c>
      <c r="F4053">
        <v>1</v>
      </c>
    </row>
    <row r="4054" spans="1:6">
      <c r="A4054" t="s">
        <v>323</v>
      </c>
      <c r="B4054" t="s">
        <v>36</v>
      </c>
      <c r="C4054" s="3">
        <v>302.857284</v>
      </c>
      <c r="D4054">
        <v>1</v>
      </c>
      <c r="E4054">
        <v>1</v>
      </c>
      <c r="F4054">
        <v>1</v>
      </c>
    </row>
    <row r="4055" spans="1:6">
      <c r="A4055" t="s">
        <v>323</v>
      </c>
      <c r="B4055" t="s">
        <v>40</v>
      </c>
      <c r="C4055" s="3">
        <v>89.2</v>
      </c>
      <c r="D4055">
        <v>1</v>
      </c>
      <c r="E4055">
        <v>1</v>
      </c>
      <c r="F4055">
        <v>1</v>
      </c>
    </row>
    <row r="4056" spans="1:6">
      <c r="A4056" t="s">
        <v>323</v>
      </c>
      <c r="B4056" t="s">
        <v>41</v>
      </c>
      <c r="C4056" s="3">
        <v>97.6</v>
      </c>
      <c r="D4056">
        <v>1</v>
      </c>
      <c r="E4056">
        <v>1</v>
      </c>
      <c r="F4056">
        <v>1</v>
      </c>
    </row>
    <row r="4057" spans="1:6">
      <c r="A4057" t="s">
        <v>323</v>
      </c>
      <c r="B4057" t="s">
        <v>42</v>
      </c>
      <c r="C4057" s="3">
        <v>102.7</v>
      </c>
      <c r="D4057">
        <v>1</v>
      </c>
      <c r="E4057">
        <v>1</v>
      </c>
      <c r="F4057">
        <v>1</v>
      </c>
    </row>
    <row r="4058" spans="1:6">
      <c r="A4058" t="s">
        <v>323</v>
      </c>
      <c r="B4058" t="s">
        <v>46</v>
      </c>
      <c r="C4058" s="3">
        <v>96.7</v>
      </c>
      <c r="D4058">
        <v>1</v>
      </c>
      <c r="E4058">
        <v>1</v>
      </c>
      <c r="F4058">
        <v>1</v>
      </c>
    </row>
    <row r="4059" spans="1:6">
      <c r="A4059" t="s">
        <v>323</v>
      </c>
      <c r="B4059" t="s">
        <v>392</v>
      </c>
      <c r="C4059" s="3">
        <v>51039275614</v>
      </c>
      <c r="D4059">
        <v>1</v>
      </c>
      <c r="E4059">
        <v>1</v>
      </c>
      <c r="F4059">
        <v>1</v>
      </c>
    </row>
    <row r="4060" spans="1:6">
      <c r="A4060" t="s">
        <v>323</v>
      </c>
      <c r="B4060" t="s">
        <v>393</v>
      </c>
      <c r="C4060" s="3">
        <v>102946782815</v>
      </c>
      <c r="D4060">
        <v>1</v>
      </c>
      <c r="E4060">
        <v>1</v>
      </c>
      <c r="F4060">
        <v>1</v>
      </c>
    </row>
    <row r="4061" spans="1:6">
      <c r="A4061" t="s">
        <v>323</v>
      </c>
      <c r="B4061" t="s">
        <v>394</v>
      </c>
      <c r="C4061" s="3">
        <v>2.0170110483849</v>
      </c>
      <c r="D4061">
        <v>1</v>
      </c>
      <c r="E4061">
        <v>1</v>
      </c>
      <c r="F4061">
        <v>1</v>
      </c>
    </row>
    <row r="4062" spans="1:6">
      <c r="A4062" t="s">
        <v>323</v>
      </c>
      <c r="B4062" t="s">
        <v>39</v>
      </c>
      <c r="C4062" s="3">
        <v>6.01550389104159</v>
      </c>
      <c r="D4062">
        <v>1</v>
      </c>
      <c r="E4062">
        <v>1</v>
      </c>
      <c r="F4062">
        <v>1</v>
      </c>
    </row>
    <row r="4063" spans="1:6">
      <c r="A4063" t="s">
        <v>323</v>
      </c>
      <c r="B4063" t="s">
        <v>43</v>
      </c>
      <c r="C4063" s="3">
        <v>3.40000000000001</v>
      </c>
      <c r="D4063">
        <v>1</v>
      </c>
      <c r="E4063">
        <v>1</v>
      </c>
      <c r="F4063">
        <v>1</v>
      </c>
    </row>
    <row r="4064" spans="1:6">
      <c r="A4064" t="s">
        <v>323</v>
      </c>
      <c r="B4064" t="s">
        <v>44</v>
      </c>
      <c r="C4064" s="3">
        <v>0.599999999999994</v>
      </c>
      <c r="D4064">
        <v>1</v>
      </c>
      <c r="E4064">
        <v>1</v>
      </c>
      <c r="F4064">
        <v>1</v>
      </c>
    </row>
    <row r="4065" spans="1:6">
      <c r="A4065" t="s">
        <v>323</v>
      </c>
      <c r="B4065" t="s">
        <v>45</v>
      </c>
      <c r="C4065" s="3">
        <v>0.200000000000003</v>
      </c>
      <c r="D4065">
        <v>1</v>
      </c>
      <c r="E4065">
        <v>1</v>
      </c>
      <c r="F4065">
        <v>1</v>
      </c>
    </row>
    <row r="4066" spans="1:6">
      <c r="A4066" t="s">
        <v>323</v>
      </c>
      <c r="B4066" t="s">
        <v>396</v>
      </c>
      <c r="C4066" s="3">
        <v>18.5961171379863</v>
      </c>
      <c r="D4066">
        <v>1</v>
      </c>
      <c r="E4066">
        <v>1</v>
      </c>
      <c r="F4066">
        <v>1</v>
      </c>
    </row>
    <row r="4067" spans="1:6">
      <c r="A4067" t="s">
        <v>324</v>
      </c>
      <c r="B4067" t="s">
        <v>34</v>
      </c>
      <c r="C4067" s="3">
        <v>44.74</v>
      </c>
      <c r="D4067">
        <v>1</v>
      </c>
      <c r="E4067">
        <v>1</v>
      </c>
      <c r="F4067">
        <v>1</v>
      </c>
    </row>
    <row r="4068" spans="1:6">
      <c r="A4068" t="s">
        <v>324</v>
      </c>
      <c r="B4068" t="s">
        <v>35</v>
      </c>
      <c r="C4068" s="3">
        <v>6.927</v>
      </c>
      <c r="D4068">
        <v>1</v>
      </c>
      <c r="E4068">
        <v>1</v>
      </c>
      <c r="F4068">
        <v>1</v>
      </c>
    </row>
    <row r="4069" spans="1:6">
      <c r="A4069" t="s">
        <v>324</v>
      </c>
      <c r="B4069" t="s">
        <v>36</v>
      </c>
      <c r="C4069" s="3">
        <v>309.91398</v>
      </c>
      <c r="D4069">
        <v>1</v>
      </c>
      <c r="E4069">
        <v>1</v>
      </c>
      <c r="F4069">
        <v>1</v>
      </c>
    </row>
    <row r="4070" spans="1:6">
      <c r="A4070" t="s">
        <v>324</v>
      </c>
      <c r="B4070" t="s">
        <v>40</v>
      </c>
      <c r="C4070" s="3">
        <v>90.2</v>
      </c>
      <c r="D4070">
        <v>1</v>
      </c>
      <c r="E4070">
        <v>1</v>
      </c>
      <c r="F4070">
        <v>1</v>
      </c>
    </row>
    <row r="4071" spans="1:6">
      <c r="A4071" t="s">
        <v>324</v>
      </c>
      <c r="B4071" t="s">
        <v>41</v>
      </c>
      <c r="C4071" s="3">
        <v>98</v>
      </c>
      <c r="D4071">
        <v>1</v>
      </c>
      <c r="E4071">
        <v>1</v>
      </c>
      <c r="F4071">
        <v>1</v>
      </c>
    </row>
    <row r="4072" spans="1:6">
      <c r="A4072" t="s">
        <v>324</v>
      </c>
      <c r="B4072" t="s">
        <v>42</v>
      </c>
      <c r="C4072" s="3">
        <v>102.4</v>
      </c>
      <c r="D4072">
        <v>1</v>
      </c>
      <c r="E4072">
        <v>1</v>
      </c>
      <c r="F4072">
        <v>1</v>
      </c>
    </row>
    <row r="4073" spans="1:6">
      <c r="A4073" t="s">
        <v>324</v>
      </c>
      <c r="B4073" t="s">
        <v>46</v>
      </c>
      <c r="C4073" s="3">
        <v>97.5</v>
      </c>
      <c r="D4073">
        <v>1</v>
      </c>
      <c r="E4073">
        <v>1</v>
      </c>
      <c r="F4073">
        <v>1</v>
      </c>
    </row>
    <row r="4074" spans="1:6">
      <c r="A4074" t="s">
        <v>324</v>
      </c>
      <c r="B4074" t="s">
        <v>392</v>
      </c>
      <c r="C4074" s="3">
        <v>47474388306</v>
      </c>
      <c r="D4074">
        <v>1</v>
      </c>
      <c r="E4074">
        <v>1</v>
      </c>
      <c r="F4074">
        <v>1</v>
      </c>
    </row>
    <row r="4075" spans="1:6">
      <c r="A4075" t="s">
        <v>324</v>
      </c>
      <c r="B4075" t="s">
        <v>393</v>
      </c>
      <c r="C4075" s="3">
        <v>106222856775</v>
      </c>
      <c r="D4075">
        <v>1</v>
      </c>
      <c r="E4075">
        <v>1</v>
      </c>
      <c r="F4075">
        <v>1</v>
      </c>
    </row>
    <row r="4076" spans="1:6">
      <c r="A4076" t="s">
        <v>324</v>
      </c>
      <c r="B4076" t="s">
        <v>394</v>
      </c>
      <c r="C4076" s="3">
        <v>2.2374771021868</v>
      </c>
      <c r="D4076">
        <v>1</v>
      </c>
      <c r="E4076">
        <v>1</v>
      </c>
      <c r="F4076">
        <v>1</v>
      </c>
    </row>
    <row r="4077" spans="1:6">
      <c r="A4077" t="s">
        <v>324</v>
      </c>
      <c r="B4077" t="s">
        <v>39</v>
      </c>
      <c r="C4077" s="3">
        <v>2.30330904540793</v>
      </c>
      <c r="D4077">
        <v>1</v>
      </c>
      <c r="E4077">
        <v>1</v>
      </c>
      <c r="F4077">
        <v>1</v>
      </c>
    </row>
    <row r="4078" spans="1:6">
      <c r="A4078" t="s">
        <v>324</v>
      </c>
      <c r="B4078" t="s">
        <v>43</v>
      </c>
      <c r="C4078" s="3">
        <v>1</v>
      </c>
      <c r="D4078">
        <v>1</v>
      </c>
      <c r="E4078">
        <v>1</v>
      </c>
      <c r="F4078">
        <v>1</v>
      </c>
    </row>
    <row r="4079" spans="1:6">
      <c r="A4079" t="s">
        <v>324</v>
      </c>
      <c r="B4079" t="s">
        <v>44</v>
      </c>
      <c r="C4079" s="3">
        <v>0.400000000000006</v>
      </c>
      <c r="D4079">
        <v>1</v>
      </c>
      <c r="E4079">
        <v>1</v>
      </c>
      <c r="F4079">
        <v>1</v>
      </c>
    </row>
    <row r="4080" spans="1:6">
      <c r="A4080" t="s">
        <v>324</v>
      </c>
      <c r="B4080" t="s">
        <v>45</v>
      </c>
      <c r="C4080" s="3">
        <v>-0.299999999999997</v>
      </c>
      <c r="D4080">
        <v>1</v>
      </c>
      <c r="E4080">
        <v>1</v>
      </c>
      <c r="F4080">
        <v>1</v>
      </c>
    </row>
    <row r="4081" spans="1:6">
      <c r="A4081" t="s">
        <v>324</v>
      </c>
      <c r="B4081" t="s">
        <v>396</v>
      </c>
      <c r="C4081" s="3">
        <v>10.3732200865335</v>
      </c>
      <c r="D4081">
        <v>1</v>
      </c>
      <c r="E4081">
        <v>1</v>
      </c>
      <c r="F4081">
        <v>1</v>
      </c>
    </row>
    <row r="4082" spans="1:6">
      <c r="A4082" t="s">
        <v>325</v>
      </c>
      <c r="B4082" t="s">
        <v>34</v>
      </c>
      <c r="C4082" s="3">
        <v>40.91</v>
      </c>
      <c r="D4082">
        <v>1</v>
      </c>
      <c r="E4082">
        <v>1</v>
      </c>
      <c r="F4082">
        <v>1</v>
      </c>
    </row>
    <row r="4083" spans="1:6">
      <c r="A4083" t="s">
        <v>325</v>
      </c>
      <c r="B4083" t="s">
        <v>35</v>
      </c>
      <c r="C4083" s="3">
        <v>6.8106</v>
      </c>
      <c r="D4083">
        <v>1</v>
      </c>
      <c r="E4083">
        <v>1</v>
      </c>
      <c r="F4083">
        <v>1</v>
      </c>
    </row>
    <row r="4084" spans="1:6">
      <c r="A4084" t="s">
        <v>325</v>
      </c>
      <c r="B4084" t="s">
        <v>36</v>
      </c>
      <c r="C4084" s="3">
        <v>278.621646</v>
      </c>
      <c r="D4084">
        <v>1</v>
      </c>
      <c r="E4084">
        <v>1</v>
      </c>
      <c r="F4084">
        <v>1</v>
      </c>
    </row>
    <row r="4085" spans="1:6">
      <c r="A4085" t="s">
        <v>325</v>
      </c>
      <c r="B4085" t="s">
        <v>40</v>
      </c>
      <c r="C4085" s="3">
        <v>90.7</v>
      </c>
      <c r="D4085">
        <v>1</v>
      </c>
      <c r="E4085">
        <v>1</v>
      </c>
      <c r="F4085">
        <v>1</v>
      </c>
    </row>
    <row r="4086" spans="1:6">
      <c r="A4086" t="s">
        <v>325</v>
      </c>
      <c r="B4086" t="s">
        <v>41</v>
      </c>
      <c r="C4086" s="3">
        <v>97.9</v>
      </c>
      <c r="D4086">
        <v>1</v>
      </c>
      <c r="E4086">
        <v>1</v>
      </c>
      <c r="F4086">
        <v>1</v>
      </c>
    </row>
    <row r="4087" spans="1:6">
      <c r="A4087" t="s">
        <v>325</v>
      </c>
      <c r="B4087" t="s">
        <v>42</v>
      </c>
      <c r="C4087" s="3">
        <v>101.7</v>
      </c>
      <c r="D4087">
        <v>1</v>
      </c>
      <c r="E4087">
        <v>1</v>
      </c>
      <c r="F4087">
        <v>1</v>
      </c>
    </row>
    <row r="4088" spans="1:6">
      <c r="A4088" t="s">
        <v>325</v>
      </c>
      <c r="B4088" t="s">
        <v>46</v>
      </c>
      <c r="C4088" s="3">
        <v>97.7</v>
      </c>
      <c r="D4088">
        <v>1</v>
      </c>
      <c r="E4088">
        <v>1</v>
      </c>
      <c r="F4088">
        <v>1</v>
      </c>
    </row>
    <row r="4089" spans="1:6">
      <c r="A4089" t="s">
        <v>325</v>
      </c>
      <c r="B4089" t="s">
        <v>392</v>
      </c>
      <c r="C4089" s="3">
        <v>48469456842</v>
      </c>
      <c r="D4089">
        <v>1</v>
      </c>
      <c r="E4089">
        <v>1</v>
      </c>
      <c r="F4089">
        <v>1</v>
      </c>
    </row>
    <row r="4090" spans="1:6">
      <c r="A4090" t="s">
        <v>325</v>
      </c>
      <c r="B4090" t="s">
        <v>393</v>
      </c>
      <c r="C4090" s="3">
        <v>111613957650</v>
      </c>
      <c r="D4090">
        <v>1</v>
      </c>
      <c r="E4090">
        <v>1</v>
      </c>
      <c r="F4090">
        <v>1</v>
      </c>
    </row>
    <row r="4091" spans="1:6">
      <c r="A4091" t="s">
        <v>325</v>
      </c>
      <c r="B4091" t="s">
        <v>394</v>
      </c>
      <c r="C4091" s="3">
        <v>2.30276889658239</v>
      </c>
      <c r="D4091">
        <v>1</v>
      </c>
      <c r="E4091">
        <v>1</v>
      </c>
      <c r="F4091">
        <v>1</v>
      </c>
    </row>
    <row r="4092" spans="1:6">
      <c r="A4092" t="s">
        <v>325</v>
      </c>
      <c r="B4092" t="s">
        <v>39</v>
      </c>
      <c r="C4092" s="3">
        <v>-10.6440021153933</v>
      </c>
      <c r="D4092">
        <v>1</v>
      </c>
      <c r="E4092">
        <v>1</v>
      </c>
      <c r="F4092">
        <v>1</v>
      </c>
    </row>
    <row r="4093" spans="1:6">
      <c r="A4093" t="s">
        <v>325</v>
      </c>
      <c r="B4093" t="s">
        <v>43</v>
      </c>
      <c r="C4093" s="3">
        <v>0.5</v>
      </c>
      <c r="D4093">
        <v>1</v>
      </c>
      <c r="E4093">
        <v>1</v>
      </c>
      <c r="F4093">
        <v>1</v>
      </c>
    </row>
    <row r="4094" spans="1:6">
      <c r="A4094" t="s">
        <v>325</v>
      </c>
      <c r="B4094" t="s">
        <v>44</v>
      </c>
      <c r="C4094" s="3">
        <v>-0.0999999999999943</v>
      </c>
      <c r="D4094">
        <v>1</v>
      </c>
      <c r="E4094">
        <v>1</v>
      </c>
      <c r="F4094">
        <v>1</v>
      </c>
    </row>
    <row r="4095" spans="1:6">
      <c r="A4095" t="s">
        <v>325</v>
      </c>
      <c r="B4095" t="s">
        <v>45</v>
      </c>
      <c r="C4095" s="3">
        <v>-0.700000000000003</v>
      </c>
      <c r="D4095">
        <v>1</v>
      </c>
      <c r="E4095">
        <v>1</v>
      </c>
      <c r="F4095">
        <v>1</v>
      </c>
    </row>
    <row r="4096" spans="1:6">
      <c r="A4096" t="s">
        <v>325</v>
      </c>
      <c r="B4096" t="s">
        <v>396</v>
      </c>
      <c r="C4096" s="3">
        <v>2.87633294913098</v>
      </c>
      <c r="D4096">
        <v>1</v>
      </c>
      <c r="E4096">
        <v>1</v>
      </c>
      <c r="F4096">
        <v>1</v>
      </c>
    </row>
    <row r="4097" spans="1:6">
      <c r="A4097" t="s">
        <v>326</v>
      </c>
      <c r="B4097" t="s">
        <v>34</v>
      </c>
      <c r="C4097" s="3">
        <v>40.19</v>
      </c>
      <c r="D4097">
        <v>1</v>
      </c>
      <c r="E4097">
        <v>1</v>
      </c>
      <c r="F4097">
        <v>1</v>
      </c>
    </row>
    <row r="4098" spans="1:6">
      <c r="A4098" t="s">
        <v>326</v>
      </c>
      <c r="B4098" t="s">
        <v>35</v>
      </c>
      <c r="C4098" s="3">
        <v>6.7254</v>
      </c>
      <c r="D4098">
        <v>1</v>
      </c>
      <c r="E4098">
        <v>1</v>
      </c>
      <c r="F4098">
        <v>1</v>
      </c>
    </row>
    <row r="4099" spans="1:6">
      <c r="A4099" t="s">
        <v>326</v>
      </c>
      <c r="B4099" t="s">
        <v>36</v>
      </c>
      <c r="C4099" s="3">
        <v>270.293826</v>
      </c>
      <c r="D4099">
        <v>1</v>
      </c>
      <c r="E4099">
        <v>1</v>
      </c>
      <c r="F4099">
        <v>1</v>
      </c>
    </row>
    <row r="4100" spans="1:6">
      <c r="A4100" t="s">
        <v>326</v>
      </c>
      <c r="B4100" t="s">
        <v>40</v>
      </c>
      <c r="C4100" s="3">
        <v>90.1</v>
      </c>
      <c r="D4100">
        <v>1</v>
      </c>
      <c r="E4100">
        <v>1</v>
      </c>
      <c r="F4100">
        <v>1</v>
      </c>
    </row>
    <row r="4101" spans="1:6">
      <c r="A4101" t="s">
        <v>326</v>
      </c>
      <c r="B4101" t="s">
        <v>41</v>
      </c>
      <c r="C4101" s="3">
        <v>97.9</v>
      </c>
      <c r="D4101">
        <v>1</v>
      </c>
      <c r="E4101">
        <v>1</v>
      </c>
      <c r="F4101">
        <v>1</v>
      </c>
    </row>
    <row r="4102" spans="1:6">
      <c r="A4102" t="s">
        <v>326</v>
      </c>
      <c r="B4102" t="s">
        <v>42</v>
      </c>
      <c r="C4102" s="3">
        <v>100.5</v>
      </c>
      <c r="D4102">
        <v>1</v>
      </c>
      <c r="E4102">
        <v>1</v>
      </c>
      <c r="F4102">
        <v>1</v>
      </c>
    </row>
    <row r="4103" spans="1:6">
      <c r="A4103" t="s">
        <v>326</v>
      </c>
      <c r="B4103" t="s">
        <v>46</v>
      </c>
      <c r="C4103" s="3">
        <v>97.6</v>
      </c>
      <c r="D4103">
        <v>1</v>
      </c>
      <c r="E4103">
        <v>1</v>
      </c>
      <c r="F4103">
        <v>1</v>
      </c>
    </row>
    <row r="4104" spans="1:6">
      <c r="A4104" t="s">
        <v>326</v>
      </c>
      <c r="B4104" t="s">
        <v>392</v>
      </c>
      <c r="C4104" s="3">
        <v>42471553516</v>
      </c>
      <c r="D4104">
        <v>1</v>
      </c>
      <c r="E4104">
        <v>1</v>
      </c>
      <c r="F4104">
        <v>1</v>
      </c>
    </row>
    <row r="4105" spans="1:6">
      <c r="A4105" t="s">
        <v>326</v>
      </c>
      <c r="B4105" t="s">
        <v>393</v>
      </c>
      <c r="C4105" s="3">
        <v>91920367855</v>
      </c>
      <c r="D4105">
        <v>1</v>
      </c>
      <c r="E4105">
        <v>1</v>
      </c>
      <c r="F4105">
        <v>1</v>
      </c>
    </row>
    <row r="4106" spans="1:6">
      <c r="A4106" t="s">
        <v>326</v>
      </c>
      <c r="B4106" t="s">
        <v>394</v>
      </c>
      <c r="C4106" s="3">
        <v>2.16428080080404</v>
      </c>
      <c r="D4106">
        <v>1</v>
      </c>
      <c r="E4106">
        <v>1</v>
      </c>
      <c r="F4106">
        <v>1</v>
      </c>
    </row>
    <row r="4107" spans="1:6">
      <c r="A4107" t="s">
        <v>326</v>
      </c>
      <c r="B4107" t="s">
        <v>39</v>
      </c>
      <c r="C4107" s="3">
        <v>-3.03451422144416</v>
      </c>
      <c r="D4107">
        <v>1</v>
      </c>
      <c r="E4107">
        <v>1</v>
      </c>
      <c r="F4107">
        <v>1</v>
      </c>
    </row>
    <row r="4108" spans="1:6">
      <c r="A4108" t="s">
        <v>326</v>
      </c>
      <c r="B4108" t="s">
        <v>43</v>
      </c>
      <c r="C4108" s="3">
        <v>-0.600000000000009</v>
      </c>
      <c r="D4108">
        <v>1</v>
      </c>
      <c r="E4108">
        <v>1</v>
      </c>
      <c r="F4108">
        <v>1</v>
      </c>
    </row>
    <row r="4109" spans="1:6">
      <c r="A4109" t="s">
        <v>326</v>
      </c>
      <c r="B4109" t="s">
        <v>44</v>
      </c>
      <c r="C4109" s="3">
        <v>0</v>
      </c>
      <c r="D4109">
        <v>1</v>
      </c>
      <c r="E4109">
        <v>1</v>
      </c>
      <c r="F4109">
        <v>1</v>
      </c>
    </row>
    <row r="4110" spans="1:6">
      <c r="A4110" t="s">
        <v>326</v>
      </c>
      <c r="B4110" t="s">
        <v>45</v>
      </c>
      <c r="C4110" s="3">
        <v>-1.2</v>
      </c>
      <c r="D4110">
        <v>1</v>
      </c>
      <c r="E4110">
        <v>1</v>
      </c>
      <c r="F4110">
        <v>1</v>
      </c>
    </row>
    <row r="4111" spans="1:6">
      <c r="A4111" t="s">
        <v>326</v>
      </c>
      <c r="B4111" t="s">
        <v>396</v>
      </c>
      <c r="C4111" s="3">
        <v>-6.20241543043629</v>
      </c>
      <c r="D4111">
        <v>1</v>
      </c>
      <c r="E4111">
        <v>1</v>
      </c>
      <c r="F4111">
        <v>1</v>
      </c>
    </row>
    <row r="4112" spans="1:6">
      <c r="A4112" t="s">
        <v>327</v>
      </c>
      <c r="B4112" t="s">
        <v>34</v>
      </c>
      <c r="C4112" s="3">
        <v>42.69</v>
      </c>
      <c r="D4112">
        <v>1</v>
      </c>
      <c r="E4112">
        <v>1</v>
      </c>
      <c r="F4112">
        <v>1</v>
      </c>
    </row>
    <row r="4113" spans="1:6">
      <c r="A4113" t="s">
        <v>327</v>
      </c>
      <c r="B4113" t="s">
        <v>35</v>
      </c>
      <c r="C4113" s="3">
        <v>6.6029</v>
      </c>
      <c r="D4113">
        <v>1</v>
      </c>
      <c r="E4113">
        <v>1</v>
      </c>
      <c r="F4113">
        <v>1</v>
      </c>
    </row>
    <row r="4114" spans="1:6">
      <c r="A4114" t="s">
        <v>327</v>
      </c>
      <c r="B4114" t="s">
        <v>36</v>
      </c>
      <c r="C4114" s="3">
        <v>281.877801</v>
      </c>
      <c r="D4114">
        <v>1</v>
      </c>
      <c r="E4114">
        <v>1</v>
      </c>
      <c r="F4114">
        <v>1</v>
      </c>
    </row>
    <row r="4115" spans="1:6">
      <c r="A4115" t="s">
        <v>327</v>
      </c>
      <c r="B4115" t="s">
        <v>40</v>
      </c>
      <c r="C4115" s="3">
        <v>91.6</v>
      </c>
      <c r="D4115">
        <v>1</v>
      </c>
      <c r="E4115">
        <v>1</v>
      </c>
      <c r="F4115">
        <v>1</v>
      </c>
    </row>
    <row r="4116" spans="1:6">
      <c r="A4116" t="s">
        <v>327</v>
      </c>
      <c r="B4116" t="s">
        <v>41</v>
      </c>
      <c r="C4116" s="3">
        <v>98.5</v>
      </c>
      <c r="D4116">
        <v>1</v>
      </c>
      <c r="E4116">
        <v>1</v>
      </c>
      <c r="F4116">
        <v>1</v>
      </c>
    </row>
    <row r="4117" spans="1:6">
      <c r="A4117" t="s">
        <v>327</v>
      </c>
      <c r="B4117" t="s">
        <v>42</v>
      </c>
      <c r="C4117" s="3">
        <v>99.5</v>
      </c>
      <c r="D4117">
        <v>1</v>
      </c>
      <c r="E4117">
        <v>1</v>
      </c>
      <c r="F4117">
        <v>1</v>
      </c>
    </row>
    <row r="4118" spans="1:6">
      <c r="A4118" t="s">
        <v>327</v>
      </c>
      <c r="B4118" t="s">
        <v>46</v>
      </c>
      <c r="C4118" s="3">
        <v>98.4</v>
      </c>
      <c r="D4118">
        <v>1</v>
      </c>
      <c r="E4118">
        <v>1</v>
      </c>
      <c r="F4118">
        <v>1</v>
      </c>
    </row>
    <row r="4119" spans="1:6">
      <c r="A4119" t="s">
        <v>327</v>
      </c>
      <c r="B4119" t="s">
        <v>392</v>
      </c>
      <c r="C4119" s="3">
        <v>45404245057</v>
      </c>
      <c r="D4119">
        <v>1</v>
      </c>
      <c r="E4119">
        <v>1</v>
      </c>
      <c r="F4119">
        <v>1</v>
      </c>
    </row>
    <row r="4120" spans="1:6">
      <c r="A4120" t="s">
        <v>327</v>
      </c>
      <c r="B4120" t="s">
        <v>393</v>
      </c>
      <c r="C4120" s="3">
        <v>94993360170</v>
      </c>
      <c r="D4120">
        <v>1</v>
      </c>
      <c r="E4120">
        <v>1</v>
      </c>
      <c r="F4120">
        <v>1</v>
      </c>
    </row>
    <row r="4121" spans="1:6">
      <c r="A4121" t="s">
        <v>327</v>
      </c>
      <c r="B4121" t="s">
        <v>394</v>
      </c>
      <c r="C4121" s="3">
        <v>2.09216913640446</v>
      </c>
      <c r="D4121">
        <v>1</v>
      </c>
      <c r="E4121">
        <v>1</v>
      </c>
      <c r="F4121">
        <v>1</v>
      </c>
    </row>
    <row r="4122" spans="1:6">
      <c r="A4122" t="s">
        <v>327</v>
      </c>
      <c r="B4122" t="s">
        <v>39</v>
      </c>
      <c r="C4122" s="3">
        <v>4.19640355023183</v>
      </c>
      <c r="D4122">
        <v>1</v>
      </c>
      <c r="E4122">
        <v>1</v>
      </c>
      <c r="F4122">
        <v>1</v>
      </c>
    </row>
    <row r="4123" spans="1:6">
      <c r="A4123" t="s">
        <v>327</v>
      </c>
      <c r="B4123" t="s">
        <v>43</v>
      </c>
      <c r="C4123" s="3">
        <v>1.5</v>
      </c>
      <c r="D4123">
        <v>1</v>
      </c>
      <c r="E4123">
        <v>1</v>
      </c>
      <c r="F4123">
        <v>1</v>
      </c>
    </row>
    <row r="4124" spans="1:6">
      <c r="A4124" t="s">
        <v>327</v>
      </c>
      <c r="B4124" t="s">
        <v>44</v>
      </c>
      <c r="C4124" s="3">
        <v>0.599999999999994</v>
      </c>
      <c r="D4124">
        <v>1</v>
      </c>
      <c r="E4124">
        <v>1</v>
      </c>
      <c r="F4124">
        <v>1</v>
      </c>
    </row>
    <row r="4125" spans="1:6">
      <c r="A4125" t="s">
        <v>327</v>
      </c>
      <c r="B4125" t="s">
        <v>45</v>
      </c>
      <c r="C4125" s="3">
        <v>-1</v>
      </c>
      <c r="D4125">
        <v>1</v>
      </c>
      <c r="E4125">
        <v>1</v>
      </c>
      <c r="F4125">
        <v>1</v>
      </c>
    </row>
    <row r="4126" spans="1:6">
      <c r="A4126" t="s">
        <v>327</v>
      </c>
      <c r="B4126" t="s">
        <v>396</v>
      </c>
      <c r="C4126" s="3">
        <v>-3.38867205656571</v>
      </c>
      <c r="D4126">
        <v>1</v>
      </c>
      <c r="E4126">
        <v>1</v>
      </c>
      <c r="F4126">
        <v>1</v>
      </c>
    </row>
    <row r="4127" spans="1:6">
      <c r="A4127" t="s">
        <v>328</v>
      </c>
      <c r="B4127" t="s">
        <v>34</v>
      </c>
      <c r="C4127" s="3">
        <v>49.99</v>
      </c>
      <c r="D4127">
        <v>1</v>
      </c>
      <c r="E4127">
        <v>1</v>
      </c>
      <c r="F4127">
        <v>1</v>
      </c>
    </row>
    <row r="4128" spans="1:6">
      <c r="A4128" t="s">
        <v>328</v>
      </c>
      <c r="B4128" t="s">
        <v>35</v>
      </c>
      <c r="C4128" s="3">
        <v>6.5393</v>
      </c>
      <c r="D4128">
        <v>1</v>
      </c>
      <c r="E4128">
        <v>1</v>
      </c>
      <c r="F4128">
        <v>1</v>
      </c>
    </row>
    <row r="4129" spans="1:6">
      <c r="A4129" t="s">
        <v>328</v>
      </c>
      <c r="B4129" t="s">
        <v>36</v>
      </c>
      <c r="C4129" s="3">
        <v>326.899607</v>
      </c>
      <c r="D4129">
        <v>1</v>
      </c>
      <c r="E4129">
        <v>1</v>
      </c>
      <c r="F4129">
        <v>1</v>
      </c>
    </row>
    <row r="4130" spans="1:6">
      <c r="A4130" t="s">
        <v>328</v>
      </c>
      <c r="B4130" t="s">
        <v>40</v>
      </c>
      <c r="C4130" s="3">
        <v>93.4</v>
      </c>
      <c r="D4130">
        <v>1</v>
      </c>
      <c r="E4130">
        <v>1</v>
      </c>
      <c r="F4130">
        <v>1</v>
      </c>
    </row>
    <row r="4131" spans="1:6">
      <c r="A4131" t="s">
        <v>328</v>
      </c>
      <c r="B4131" t="s">
        <v>41</v>
      </c>
      <c r="C4131" s="3">
        <v>99.6</v>
      </c>
      <c r="D4131">
        <v>1</v>
      </c>
      <c r="E4131">
        <v>1</v>
      </c>
      <c r="F4131">
        <v>1</v>
      </c>
    </row>
    <row r="4132" spans="1:6">
      <c r="A4132" t="s">
        <v>328</v>
      </c>
      <c r="B4132" t="s">
        <v>42</v>
      </c>
      <c r="C4132" s="3">
        <v>100.2</v>
      </c>
      <c r="D4132">
        <v>1</v>
      </c>
      <c r="E4132">
        <v>1</v>
      </c>
      <c r="F4132">
        <v>1</v>
      </c>
    </row>
    <row r="4133" spans="1:6">
      <c r="A4133" t="s">
        <v>328</v>
      </c>
      <c r="B4133" t="s">
        <v>46</v>
      </c>
      <c r="C4133" s="3">
        <v>100</v>
      </c>
      <c r="D4133">
        <v>1</v>
      </c>
      <c r="E4133">
        <v>1</v>
      </c>
      <c r="F4133">
        <v>1</v>
      </c>
    </row>
    <row r="4134" spans="1:6">
      <c r="A4134" t="s">
        <v>328</v>
      </c>
      <c r="B4134" t="s">
        <v>392</v>
      </c>
      <c r="C4134" s="3">
        <v>38427007319</v>
      </c>
      <c r="D4134">
        <v>1</v>
      </c>
      <c r="E4134">
        <v>1</v>
      </c>
      <c r="F4134">
        <v>1</v>
      </c>
    </row>
    <row r="4135" spans="1:6">
      <c r="A4135" t="s">
        <v>328</v>
      </c>
      <c r="B4135" t="s">
        <v>393</v>
      </c>
      <c r="C4135" s="3">
        <v>84349584417</v>
      </c>
      <c r="D4135">
        <v>1</v>
      </c>
      <c r="E4135">
        <v>1</v>
      </c>
      <c r="F4135">
        <v>1</v>
      </c>
    </row>
    <row r="4136" spans="1:6">
      <c r="A4136" t="s">
        <v>328</v>
      </c>
      <c r="B4136" t="s">
        <v>394</v>
      </c>
      <c r="C4136" s="3">
        <v>2.19505994096225</v>
      </c>
      <c r="D4136">
        <v>1</v>
      </c>
      <c r="E4136">
        <v>1</v>
      </c>
      <c r="F4136">
        <v>1</v>
      </c>
    </row>
    <row r="4137" spans="1:6">
      <c r="A4137" t="s">
        <v>328</v>
      </c>
      <c r="B4137" t="s">
        <v>39</v>
      </c>
      <c r="C4137" s="3">
        <v>14.8179464290538</v>
      </c>
      <c r="D4137">
        <v>1</v>
      </c>
      <c r="E4137">
        <v>1</v>
      </c>
      <c r="F4137">
        <v>1</v>
      </c>
    </row>
    <row r="4138" spans="1:6">
      <c r="A4138" t="s">
        <v>328</v>
      </c>
      <c r="B4138" t="s">
        <v>43</v>
      </c>
      <c r="C4138" s="3">
        <v>1.80000000000001</v>
      </c>
      <c r="D4138">
        <v>1</v>
      </c>
      <c r="E4138">
        <v>1</v>
      </c>
      <c r="F4138">
        <v>1</v>
      </c>
    </row>
    <row r="4139" spans="1:6">
      <c r="A4139" t="s">
        <v>328</v>
      </c>
      <c r="B4139" t="s">
        <v>44</v>
      </c>
      <c r="C4139" s="3">
        <v>1.09999999999999</v>
      </c>
      <c r="D4139">
        <v>1</v>
      </c>
      <c r="E4139">
        <v>1</v>
      </c>
      <c r="F4139">
        <v>1</v>
      </c>
    </row>
    <row r="4140" spans="1:6">
      <c r="A4140" t="s">
        <v>328</v>
      </c>
      <c r="B4140" t="s">
        <v>45</v>
      </c>
      <c r="C4140" s="3">
        <v>0.700000000000003</v>
      </c>
      <c r="D4140">
        <v>1</v>
      </c>
      <c r="E4140">
        <v>1</v>
      </c>
      <c r="F4140">
        <v>1</v>
      </c>
    </row>
    <row r="4141" spans="1:6">
      <c r="A4141" t="s">
        <v>328</v>
      </c>
      <c r="B4141" t="s">
        <v>396</v>
      </c>
      <c r="C4141" s="3">
        <v>4.80079620334749</v>
      </c>
      <c r="D4141">
        <v>1</v>
      </c>
      <c r="E4141">
        <v>1</v>
      </c>
      <c r="F4141">
        <v>1</v>
      </c>
    </row>
    <row r="4142" spans="1:6">
      <c r="A4142" t="s">
        <v>329</v>
      </c>
      <c r="B4142" t="s">
        <v>34</v>
      </c>
      <c r="C4142" s="3">
        <v>54.77</v>
      </c>
      <c r="D4142">
        <v>1</v>
      </c>
      <c r="E4142">
        <v>1</v>
      </c>
      <c r="F4142">
        <v>1</v>
      </c>
    </row>
    <row r="4143" spans="1:6">
      <c r="A4143" t="s">
        <v>329</v>
      </c>
      <c r="B4143" t="s">
        <v>35</v>
      </c>
      <c r="C4143" s="3">
        <v>6.4672</v>
      </c>
      <c r="D4143">
        <v>1</v>
      </c>
      <c r="E4143">
        <v>1</v>
      </c>
      <c r="F4143">
        <v>1</v>
      </c>
    </row>
    <row r="4144" spans="1:6">
      <c r="A4144" t="s">
        <v>329</v>
      </c>
      <c r="B4144" t="s">
        <v>36</v>
      </c>
      <c r="C4144" s="3">
        <v>354.208544</v>
      </c>
      <c r="D4144">
        <v>1</v>
      </c>
      <c r="E4144">
        <v>1</v>
      </c>
      <c r="F4144">
        <v>1</v>
      </c>
    </row>
    <row r="4145" spans="1:6">
      <c r="A4145" t="s">
        <v>329</v>
      </c>
      <c r="B4145" t="s">
        <v>40</v>
      </c>
      <c r="C4145" s="3">
        <v>95.2</v>
      </c>
      <c r="D4145">
        <v>1</v>
      </c>
      <c r="E4145">
        <v>1</v>
      </c>
      <c r="F4145">
        <v>1</v>
      </c>
    </row>
    <row r="4146" spans="1:6">
      <c r="A4146" t="s">
        <v>329</v>
      </c>
      <c r="B4146" t="s">
        <v>41</v>
      </c>
      <c r="C4146" s="3">
        <v>100.3</v>
      </c>
      <c r="D4146">
        <v>1</v>
      </c>
      <c r="E4146">
        <v>1</v>
      </c>
      <c r="F4146">
        <v>1</v>
      </c>
    </row>
    <row r="4147" spans="1:6">
      <c r="A4147" t="s">
        <v>329</v>
      </c>
      <c r="B4147" t="s">
        <v>42</v>
      </c>
      <c r="C4147" s="3">
        <v>99.7</v>
      </c>
      <c r="D4147">
        <v>1</v>
      </c>
      <c r="E4147">
        <v>1</v>
      </c>
      <c r="F4147">
        <v>1</v>
      </c>
    </row>
    <row r="4148" spans="1:6">
      <c r="A4148" t="s">
        <v>329</v>
      </c>
      <c r="B4148" t="s">
        <v>46</v>
      </c>
      <c r="C4148" s="3">
        <v>100.9</v>
      </c>
      <c r="D4148">
        <v>1</v>
      </c>
      <c r="E4148">
        <v>1</v>
      </c>
      <c r="F4148">
        <v>1</v>
      </c>
    </row>
    <row r="4149" spans="1:6">
      <c r="A4149" t="s">
        <v>329</v>
      </c>
      <c r="B4149" t="s">
        <v>392</v>
      </c>
      <c r="C4149" s="3">
        <v>44569071563</v>
      </c>
      <c r="D4149">
        <v>1</v>
      </c>
      <c r="E4149">
        <v>1</v>
      </c>
      <c r="F4149">
        <v>1</v>
      </c>
    </row>
    <row r="4150" spans="1:6">
      <c r="A4150" t="s">
        <v>329</v>
      </c>
      <c r="B4150" t="s">
        <v>393</v>
      </c>
      <c r="C4150" s="3">
        <v>110554391675</v>
      </c>
      <c r="D4150">
        <v>1</v>
      </c>
      <c r="E4150">
        <v>1</v>
      </c>
      <c r="F4150">
        <v>1</v>
      </c>
    </row>
    <row r="4151" spans="1:6">
      <c r="A4151" t="s">
        <v>329</v>
      </c>
      <c r="B4151" t="s">
        <v>394</v>
      </c>
      <c r="C4151" s="3">
        <v>2.48051816647622</v>
      </c>
      <c r="D4151">
        <v>1</v>
      </c>
      <c r="E4151">
        <v>1</v>
      </c>
      <c r="F4151">
        <v>1</v>
      </c>
    </row>
    <row r="4152" spans="1:6">
      <c r="A4152" t="s">
        <v>329</v>
      </c>
      <c r="B4152" t="s">
        <v>39</v>
      </c>
      <c r="C4152" s="3">
        <v>8.02327354958609</v>
      </c>
      <c r="D4152">
        <v>1</v>
      </c>
      <c r="E4152">
        <v>1</v>
      </c>
      <c r="F4152">
        <v>1</v>
      </c>
    </row>
    <row r="4153" spans="1:6">
      <c r="A4153" t="s">
        <v>329</v>
      </c>
      <c r="B4153" t="s">
        <v>43</v>
      </c>
      <c r="C4153" s="3">
        <v>1.8</v>
      </c>
      <c r="D4153">
        <v>1</v>
      </c>
      <c r="E4153">
        <v>1</v>
      </c>
      <c r="F4153">
        <v>1</v>
      </c>
    </row>
    <row r="4154" spans="1:6">
      <c r="A4154" t="s">
        <v>329</v>
      </c>
      <c r="B4154" t="s">
        <v>44</v>
      </c>
      <c r="C4154" s="3">
        <v>0.700000000000003</v>
      </c>
      <c r="D4154">
        <v>1</v>
      </c>
      <c r="E4154">
        <v>1</v>
      </c>
      <c r="F4154">
        <v>1</v>
      </c>
    </row>
    <row r="4155" spans="1:6">
      <c r="A4155" t="s">
        <v>329</v>
      </c>
      <c r="B4155" t="s">
        <v>45</v>
      </c>
      <c r="C4155" s="3">
        <v>-0.5</v>
      </c>
      <c r="D4155">
        <v>1</v>
      </c>
      <c r="E4155">
        <v>1</v>
      </c>
      <c r="F4155">
        <v>1</v>
      </c>
    </row>
    <row r="4156" spans="1:6">
      <c r="A4156" t="s">
        <v>329</v>
      </c>
      <c r="B4156" t="s">
        <v>396</v>
      </c>
      <c r="C4156" s="3">
        <v>12.225812233787</v>
      </c>
      <c r="D4156">
        <v>1</v>
      </c>
      <c r="E4156">
        <v>1</v>
      </c>
      <c r="F4156">
        <v>1</v>
      </c>
    </row>
    <row r="4157" spans="1:6">
      <c r="A4157" t="s">
        <v>330</v>
      </c>
      <c r="B4157" t="s">
        <v>34</v>
      </c>
      <c r="C4157" s="3">
        <v>62.28</v>
      </c>
      <c r="D4157">
        <v>1</v>
      </c>
      <c r="E4157">
        <v>1</v>
      </c>
      <c r="F4157">
        <v>1</v>
      </c>
    </row>
    <row r="4158" spans="1:6">
      <c r="A4158" t="s">
        <v>330</v>
      </c>
      <c r="B4158" t="s">
        <v>35</v>
      </c>
      <c r="C4158" s="3">
        <v>6.4601</v>
      </c>
      <c r="D4158">
        <v>1</v>
      </c>
      <c r="E4158">
        <v>1</v>
      </c>
      <c r="F4158">
        <v>1</v>
      </c>
    </row>
    <row r="4159" spans="1:6">
      <c r="A4159" t="s">
        <v>330</v>
      </c>
      <c r="B4159" t="s">
        <v>36</v>
      </c>
      <c r="C4159" s="3">
        <v>402.335028</v>
      </c>
      <c r="D4159">
        <v>1</v>
      </c>
      <c r="E4159">
        <v>1</v>
      </c>
      <c r="F4159">
        <v>1</v>
      </c>
    </row>
    <row r="4160" spans="1:6">
      <c r="A4160" t="s">
        <v>330</v>
      </c>
      <c r="B4160" t="s">
        <v>40</v>
      </c>
      <c r="C4160" s="3">
        <v>99</v>
      </c>
      <c r="D4160">
        <v>1</v>
      </c>
      <c r="E4160">
        <v>1</v>
      </c>
      <c r="F4160">
        <v>1</v>
      </c>
    </row>
    <row r="4161" spans="1:6">
      <c r="A4161" t="s">
        <v>330</v>
      </c>
      <c r="B4161" t="s">
        <v>41</v>
      </c>
      <c r="C4161" s="3">
        <v>101.7</v>
      </c>
      <c r="D4161">
        <v>1</v>
      </c>
      <c r="E4161">
        <v>1</v>
      </c>
      <c r="F4161">
        <v>1</v>
      </c>
    </row>
    <row r="4162" spans="1:6">
      <c r="A4162" t="s">
        <v>330</v>
      </c>
      <c r="B4162" t="s">
        <v>42</v>
      </c>
      <c r="C4162" s="3">
        <v>99.8</v>
      </c>
      <c r="D4162">
        <v>1</v>
      </c>
      <c r="E4162">
        <v>1</v>
      </c>
      <c r="F4162">
        <v>1</v>
      </c>
    </row>
    <row r="4163" spans="1:6">
      <c r="A4163" t="s">
        <v>330</v>
      </c>
      <c r="B4163" t="s">
        <v>46</v>
      </c>
      <c r="C4163" s="3">
        <v>102.4</v>
      </c>
      <c r="D4163">
        <v>1</v>
      </c>
      <c r="E4163">
        <v>1</v>
      </c>
      <c r="F4163">
        <v>1</v>
      </c>
    </row>
    <row r="4164" spans="1:6">
      <c r="A4164" t="s">
        <v>330</v>
      </c>
      <c r="B4164" t="s">
        <v>392</v>
      </c>
      <c r="C4164" s="3">
        <v>44973616163</v>
      </c>
      <c r="D4164">
        <v>1</v>
      </c>
      <c r="E4164">
        <v>1</v>
      </c>
      <c r="F4164">
        <v>1</v>
      </c>
    </row>
    <row r="4165" spans="1:6">
      <c r="A4165" t="s">
        <v>330</v>
      </c>
      <c r="B4165" t="s">
        <v>393</v>
      </c>
      <c r="C4165" s="3">
        <v>120542020221</v>
      </c>
      <c r="D4165">
        <v>1</v>
      </c>
      <c r="E4165">
        <v>1</v>
      </c>
      <c r="F4165">
        <v>1</v>
      </c>
    </row>
    <row r="4166" spans="1:6">
      <c r="A4166" t="s">
        <v>330</v>
      </c>
      <c r="B4166" t="s">
        <v>394</v>
      </c>
      <c r="C4166" s="3">
        <v>2.68028303047978</v>
      </c>
      <c r="D4166">
        <v>1</v>
      </c>
      <c r="E4166">
        <v>1</v>
      </c>
      <c r="F4166">
        <v>1</v>
      </c>
    </row>
    <row r="4167" spans="1:6">
      <c r="A4167" t="s">
        <v>330</v>
      </c>
      <c r="B4167" t="s">
        <v>39</v>
      </c>
      <c r="C4167" s="3">
        <v>12.7399297493862</v>
      </c>
      <c r="D4167">
        <v>1</v>
      </c>
      <c r="E4167">
        <v>1</v>
      </c>
      <c r="F4167">
        <v>1</v>
      </c>
    </row>
    <row r="4168" spans="1:6">
      <c r="A4168" t="s">
        <v>330</v>
      </c>
      <c r="B4168" t="s">
        <v>43</v>
      </c>
      <c r="C4168" s="3">
        <v>3.8</v>
      </c>
      <c r="D4168">
        <v>1</v>
      </c>
      <c r="E4168">
        <v>1</v>
      </c>
      <c r="F4168">
        <v>1</v>
      </c>
    </row>
    <row r="4169" spans="1:6">
      <c r="A4169" t="s">
        <v>330</v>
      </c>
      <c r="B4169" t="s">
        <v>44</v>
      </c>
      <c r="C4169" s="3">
        <v>1.40000000000001</v>
      </c>
      <c r="D4169">
        <v>1</v>
      </c>
      <c r="E4169">
        <v>1</v>
      </c>
      <c r="F4169">
        <v>1</v>
      </c>
    </row>
    <row r="4170" spans="1:6">
      <c r="A4170" t="s">
        <v>330</v>
      </c>
      <c r="B4170" t="s">
        <v>45</v>
      </c>
      <c r="C4170" s="3">
        <v>0.0999999999999943</v>
      </c>
      <c r="D4170">
        <v>1</v>
      </c>
      <c r="E4170">
        <v>1</v>
      </c>
      <c r="F4170">
        <v>1</v>
      </c>
    </row>
    <row r="4171" spans="1:6">
      <c r="A4171" t="s">
        <v>330</v>
      </c>
      <c r="B4171" t="s">
        <v>396</v>
      </c>
      <c r="C4171" s="3">
        <v>7.74549208869542</v>
      </c>
      <c r="D4171">
        <v>1</v>
      </c>
      <c r="E4171">
        <v>1</v>
      </c>
      <c r="F4171">
        <v>1</v>
      </c>
    </row>
    <row r="4172" spans="1:6">
      <c r="A4172" t="s">
        <v>331</v>
      </c>
      <c r="B4172" t="s">
        <v>34</v>
      </c>
      <c r="C4172" s="3">
        <v>65.41</v>
      </c>
      <c r="D4172">
        <v>1</v>
      </c>
      <c r="E4172">
        <v>1</v>
      </c>
      <c r="F4172">
        <v>1</v>
      </c>
    </row>
    <row r="4173" spans="1:6">
      <c r="A4173" t="s">
        <v>331</v>
      </c>
      <c r="B4173" t="s">
        <v>35</v>
      </c>
      <c r="C4173" s="3">
        <v>6.5109</v>
      </c>
      <c r="D4173">
        <v>1</v>
      </c>
      <c r="E4173">
        <v>1</v>
      </c>
      <c r="F4173">
        <v>1</v>
      </c>
    </row>
    <row r="4174" spans="1:6">
      <c r="A4174" t="s">
        <v>331</v>
      </c>
      <c r="B4174" t="s">
        <v>36</v>
      </c>
      <c r="C4174" s="3">
        <v>425.877969</v>
      </c>
      <c r="D4174">
        <v>1</v>
      </c>
      <c r="E4174">
        <v>1</v>
      </c>
      <c r="F4174">
        <v>1</v>
      </c>
    </row>
    <row r="4175" spans="1:6">
      <c r="A4175" t="s">
        <v>331</v>
      </c>
      <c r="B4175" t="s">
        <v>40</v>
      </c>
      <c r="C4175" s="3">
        <v>102.7</v>
      </c>
      <c r="D4175">
        <v>1</v>
      </c>
      <c r="E4175">
        <v>1</v>
      </c>
      <c r="F4175">
        <v>1</v>
      </c>
    </row>
    <row r="4176" spans="1:6">
      <c r="A4176" t="s">
        <v>331</v>
      </c>
      <c r="B4176" t="s">
        <v>41</v>
      </c>
      <c r="C4176" s="3">
        <v>104.4</v>
      </c>
      <c r="D4176">
        <v>1</v>
      </c>
      <c r="E4176">
        <v>1</v>
      </c>
      <c r="F4176">
        <v>1</v>
      </c>
    </row>
    <row r="4177" spans="1:6">
      <c r="A4177" t="s">
        <v>331</v>
      </c>
      <c r="B4177" t="s">
        <v>42</v>
      </c>
      <c r="C4177" s="3">
        <v>100.4</v>
      </c>
      <c r="D4177">
        <v>1</v>
      </c>
      <c r="E4177">
        <v>1</v>
      </c>
      <c r="F4177">
        <v>1</v>
      </c>
    </row>
    <row r="4178" spans="1:6">
      <c r="A4178" t="s">
        <v>331</v>
      </c>
      <c r="B4178" t="s">
        <v>46</v>
      </c>
      <c r="C4178" s="3">
        <v>105.2</v>
      </c>
      <c r="D4178">
        <v>1</v>
      </c>
      <c r="E4178">
        <v>1</v>
      </c>
      <c r="F4178">
        <v>1</v>
      </c>
    </row>
    <row r="4179" spans="1:6">
      <c r="A4179" t="s">
        <v>331</v>
      </c>
      <c r="B4179" t="s">
        <v>392</v>
      </c>
      <c r="C4179" s="3">
        <v>49640304528</v>
      </c>
      <c r="D4179">
        <v>1</v>
      </c>
      <c r="E4179">
        <v>1</v>
      </c>
      <c r="F4179">
        <v>1</v>
      </c>
    </row>
    <row r="4180" spans="1:6">
      <c r="A4180" t="s">
        <v>331</v>
      </c>
      <c r="B4180" t="s">
        <v>393</v>
      </c>
      <c r="C4180" s="3">
        <v>147056204484</v>
      </c>
      <c r="D4180">
        <v>1</v>
      </c>
      <c r="E4180">
        <v>1</v>
      </c>
      <c r="F4180">
        <v>1</v>
      </c>
    </row>
    <row r="4181" spans="1:6">
      <c r="A4181" t="s">
        <v>331</v>
      </c>
      <c r="B4181" t="s">
        <v>394</v>
      </c>
      <c r="C4181" s="3">
        <v>2.96243558298583</v>
      </c>
      <c r="D4181">
        <v>1</v>
      </c>
      <c r="E4181">
        <v>1</v>
      </c>
      <c r="F4181">
        <v>1</v>
      </c>
    </row>
    <row r="4182" spans="1:6">
      <c r="A4182" t="s">
        <v>331</v>
      </c>
      <c r="B4182" t="s">
        <v>39</v>
      </c>
      <c r="C4182" s="3">
        <v>5.68677029693774</v>
      </c>
      <c r="D4182">
        <v>1</v>
      </c>
      <c r="E4182">
        <v>1</v>
      </c>
      <c r="F4182">
        <v>1</v>
      </c>
    </row>
    <row r="4183" spans="1:6">
      <c r="A4183" t="s">
        <v>331</v>
      </c>
      <c r="B4183" t="s">
        <v>43</v>
      </c>
      <c r="C4183" s="3">
        <v>3.7</v>
      </c>
      <c r="D4183">
        <v>1</v>
      </c>
      <c r="E4183">
        <v>1</v>
      </c>
      <c r="F4183">
        <v>1</v>
      </c>
    </row>
    <row r="4184" spans="1:6">
      <c r="A4184" t="s">
        <v>331</v>
      </c>
      <c r="B4184" t="s">
        <v>44</v>
      </c>
      <c r="C4184" s="3">
        <v>2.7</v>
      </c>
      <c r="D4184">
        <v>1</v>
      </c>
      <c r="E4184">
        <v>1</v>
      </c>
      <c r="F4184">
        <v>1</v>
      </c>
    </row>
    <row r="4185" spans="1:6">
      <c r="A4185" t="s">
        <v>331</v>
      </c>
      <c r="B4185" t="s">
        <v>45</v>
      </c>
      <c r="C4185" s="3">
        <v>0.600000000000009</v>
      </c>
      <c r="D4185">
        <v>1</v>
      </c>
      <c r="E4185">
        <v>1</v>
      </c>
      <c r="F4185">
        <v>1</v>
      </c>
    </row>
    <row r="4186" spans="1:6">
      <c r="A4186" t="s">
        <v>331</v>
      </c>
      <c r="B4186" t="s">
        <v>396</v>
      </c>
      <c r="C4186" s="3">
        <v>10.008936475047</v>
      </c>
      <c r="D4186">
        <v>1</v>
      </c>
      <c r="E4186">
        <v>1</v>
      </c>
      <c r="F4186">
        <v>1</v>
      </c>
    </row>
    <row r="4187" spans="1:6">
      <c r="A4187" t="s">
        <v>332</v>
      </c>
      <c r="B4187" t="s">
        <v>34</v>
      </c>
      <c r="C4187" s="3">
        <v>64.81</v>
      </c>
      <c r="D4187">
        <v>1</v>
      </c>
      <c r="E4187">
        <v>1</v>
      </c>
      <c r="F4187">
        <v>1</v>
      </c>
    </row>
    <row r="4188" spans="1:6">
      <c r="A4188" t="s">
        <v>332</v>
      </c>
      <c r="B4188" t="s">
        <v>35</v>
      </c>
      <c r="C4188" s="3">
        <v>6.5186</v>
      </c>
      <c r="D4188">
        <v>1</v>
      </c>
      <c r="E4188">
        <v>1</v>
      </c>
      <c r="F4188">
        <v>1</v>
      </c>
    </row>
    <row r="4189" spans="1:6">
      <c r="A4189" t="s">
        <v>332</v>
      </c>
      <c r="B4189" t="s">
        <v>36</v>
      </c>
      <c r="C4189" s="3">
        <v>422.470466</v>
      </c>
      <c r="D4189">
        <v>1</v>
      </c>
      <c r="E4189">
        <v>1</v>
      </c>
      <c r="F4189">
        <v>1</v>
      </c>
    </row>
    <row r="4190" spans="1:6">
      <c r="A4190" t="s">
        <v>332</v>
      </c>
      <c r="B4190" t="s">
        <v>40</v>
      </c>
      <c r="C4190" s="3">
        <v>112.1</v>
      </c>
      <c r="D4190">
        <v>1</v>
      </c>
      <c r="E4190">
        <v>1</v>
      </c>
      <c r="F4190">
        <v>1</v>
      </c>
    </row>
    <row r="4191" spans="1:6">
      <c r="A4191" t="s">
        <v>332</v>
      </c>
      <c r="B4191" t="s">
        <v>41</v>
      </c>
      <c r="C4191" s="3">
        <v>106.8</v>
      </c>
      <c r="D4191">
        <v>1</v>
      </c>
      <c r="E4191">
        <v>1</v>
      </c>
      <c r="F4191">
        <v>1</v>
      </c>
    </row>
    <row r="4192" spans="1:6">
      <c r="A4192" t="s">
        <v>332</v>
      </c>
      <c r="B4192" t="s">
        <v>42</v>
      </c>
      <c r="C4192" s="3">
        <v>100.9</v>
      </c>
      <c r="D4192">
        <v>1</v>
      </c>
      <c r="E4192">
        <v>1</v>
      </c>
      <c r="F4192">
        <v>1</v>
      </c>
    </row>
    <row r="4193" spans="1:6">
      <c r="A4193" t="s">
        <v>332</v>
      </c>
      <c r="B4193" t="s">
        <v>46</v>
      </c>
      <c r="C4193" s="3">
        <v>109</v>
      </c>
      <c r="D4193">
        <v>1</v>
      </c>
      <c r="E4193">
        <v>1</v>
      </c>
      <c r="F4193">
        <v>1</v>
      </c>
    </row>
    <row r="4194" spans="1:6">
      <c r="A4194" t="s">
        <v>332</v>
      </c>
      <c r="B4194" t="s">
        <v>392</v>
      </c>
      <c r="C4194" s="3">
        <v>40349307675</v>
      </c>
      <c r="D4194">
        <v>1</v>
      </c>
      <c r="E4194">
        <v>1</v>
      </c>
      <c r="F4194">
        <v>1</v>
      </c>
    </row>
    <row r="4195" spans="1:6">
      <c r="A4195" t="s">
        <v>332</v>
      </c>
      <c r="B4195" t="s">
        <v>393</v>
      </c>
      <c r="C4195" s="3">
        <v>125279321242</v>
      </c>
      <c r="D4195">
        <v>1</v>
      </c>
      <c r="E4195">
        <v>1</v>
      </c>
      <c r="F4195">
        <v>1</v>
      </c>
    </row>
    <row r="4196" spans="1:6">
      <c r="A4196" t="s">
        <v>332</v>
      </c>
      <c r="B4196" t="s">
        <v>394</v>
      </c>
      <c r="C4196" s="3">
        <v>3.1048691653171</v>
      </c>
      <c r="D4196">
        <v>1</v>
      </c>
      <c r="E4196">
        <v>1</v>
      </c>
      <c r="F4196">
        <v>1</v>
      </c>
    </row>
    <row r="4197" spans="1:6">
      <c r="A4197" t="s">
        <v>332</v>
      </c>
      <c r="B4197" t="s">
        <v>39</v>
      </c>
      <c r="C4197" s="3">
        <v>-0.803330609071117</v>
      </c>
      <c r="D4197">
        <v>1</v>
      </c>
      <c r="E4197">
        <v>1</v>
      </c>
      <c r="F4197">
        <v>1</v>
      </c>
    </row>
    <row r="4198" spans="1:6">
      <c r="A4198" t="s">
        <v>332</v>
      </c>
      <c r="B4198" t="s">
        <v>43</v>
      </c>
      <c r="C4198" s="3">
        <v>9.39999999999999</v>
      </c>
      <c r="D4198">
        <v>1</v>
      </c>
      <c r="E4198">
        <v>1</v>
      </c>
      <c r="F4198">
        <v>1</v>
      </c>
    </row>
    <row r="4199" spans="1:6">
      <c r="A4199" t="s">
        <v>332</v>
      </c>
      <c r="B4199" t="s">
        <v>44</v>
      </c>
      <c r="C4199" s="3">
        <v>2.39999999999999</v>
      </c>
      <c r="D4199">
        <v>1</v>
      </c>
      <c r="E4199">
        <v>1</v>
      </c>
      <c r="F4199">
        <v>1</v>
      </c>
    </row>
    <row r="4200" spans="1:6">
      <c r="A4200" t="s">
        <v>332</v>
      </c>
      <c r="B4200" t="s">
        <v>45</v>
      </c>
      <c r="C4200" s="3">
        <v>0.5</v>
      </c>
      <c r="D4200">
        <v>1</v>
      </c>
      <c r="E4200">
        <v>1</v>
      </c>
      <c r="F4200">
        <v>1</v>
      </c>
    </row>
    <row r="4201" spans="1:6">
      <c r="A4201" t="s">
        <v>332</v>
      </c>
      <c r="B4201" t="s">
        <v>396</v>
      </c>
      <c r="C4201" s="3">
        <v>4.69598156387421</v>
      </c>
      <c r="D4201">
        <v>1</v>
      </c>
      <c r="E4201">
        <v>1</v>
      </c>
      <c r="F4201">
        <v>1</v>
      </c>
    </row>
    <row r="4202" spans="1:6">
      <c r="A4202" t="s">
        <v>333</v>
      </c>
      <c r="B4202" t="s">
        <v>34</v>
      </c>
      <c r="C4202" s="3">
        <v>68.53</v>
      </c>
      <c r="D4202">
        <v>1</v>
      </c>
      <c r="E4202">
        <v>1</v>
      </c>
      <c r="F4202">
        <v>1</v>
      </c>
    </row>
    <row r="4203" spans="1:6">
      <c r="A4203" t="s">
        <v>333</v>
      </c>
      <c r="B4203" t="s">
        <v>35</v>
      </c>
      <c r="C4203" s="3">
        <v>6.4321</v>
      </c>
      <c r="D4203">
        <v>1</v>
      </c>
      <c r="E4203">
        <v>1</v>
      </c>
      <c r="F4203">
        <v>1</v>
      </c>
    </row>
    <row r="4204" spans="1:6">
      <c r="A4204" t="s">
        <v>333</v>
      </c>
      <c r="B4204" t="s">
        <v>36</v>
      </c>
      <c r="C4204" s="3">
        <v>440.791813</v>
      </c>
      <c r="D4204">
        <v>1</v>
      </c>
      <c r="E4204">
        <v>1</v>
      </c>
      <c r="F4204">
        <v>1</v>
      </c>
    </row>
    <row r="4205" spans="1:6">
      <c r="A4205" t="s">
        <v>333</v>
      </c>
      <c r="B4205" t="s">
        <v>40</v>
      </c>
      <c r="C4205" s="3">
        <v>120.7</v>
      </c>
      <c r="D4205">
        <v>1</v>
      </c>
      <c r="E4205">
        <v>1</v>
      </c>
      <c r="F4205">
        <v>1</v>
      </c>
    </row>
    <row r="4206" spans="1:6">
      <c r="A4206" t="s">
        <v>333</v>
      </c>
      <c r="B4206" t="s">
        <v>41</v>
      </c>
      <c r="C4206" s="3">
        <v>109</v>
      </c>
      <c r="D4206">
        <v>1</v>
      </c>
      <c r="E4206">
        <v>1</v>
      </c>
      <c r="F4206">
        <v>1</v>
      </c>
    </row>
    <row r="4207" spans="1:6">
      <c r="A4207" t="s">
        <v>333</v>
      </c>
      <c r="B4207" t="s">
        <v>42</v>
      </c>
      <c r="C4207" s="3">
        <v>101.3</v>
      </c>
      <c r="D4207">
        <v>1</v>
      </c>
      <c r="E4207">
        <v>1</v>
      </c>
      <c r="F4207">
        <v>1</v>
      </c>
    </row>
    <row r="4208" spans="1:6">
      <c r="A4208" t="s">
        <v>333</v>
      </c>
      <c r="B4208" t="s">
        <v>46</v>
      </c>
      <c r="C4208" s="3">
        <v>112.5</v>
      </c>
      <c r="D4208">
        <v>1</v>
      </c>
      <c r="E4208">
        <v>1</v>
      </c>
      <c r="F4208">
        <v>1</v>
      </c>
    </row>
    <row r="4209" spans="1:6">
      <c r="A4209" t="s">
        <v>333</v>
      </c>
      <c r="B4209" t="s">
        <v>392</v>
      </c>
      <c r="C4209" s="3">
        <v>40961148896</v>
      </c>
      <c r="D4209">
        <v>1</v>
      </c>
      <c r="E4209">
        <v>1</v>
      </c>
      <c r="F4209">
        <v>1</v>
      </c>
    </row>
    <row r="4210" spans="1:6">
      <c r="A4210" t="s">
        <v>333</v>
      </c>
      <c r="B4210" t="s">
        <v>393</v>
      </c>
      <c r="C4210" s="3">
        <v>129252222967</v>
      </c>
      <c r="D4210">
        <v>1</v>
      </c>
      <c r="E4210">
        <v>1</v>
      </c>
      <c r="F4210">
        <v>1</v>
      </c>
    </row>
    <row r="4211" spans="1:6">
      <c r="A4211" t="s">
        <v>333</v>
      </c>
      <c r="B4211" t="s">
        <v>394</v>
      </c>
      <c r="C4211" s="3">
        <v>3.15548334093778</v>
      </c>
      <c r="D4211">
        <v>1</v>
      </c>
      <c r="E4211">
        <v>1</v>
      </c>
      <c r="F4211">
        <v>1</v>
      </c>
    </row>
    <row r="4212" spans="1:6">
      <c r="A4212" t="s">
        <v>333</v>
      </c>
      <c r="B4212" t="s">
        <v>39</v>
      </c>
      <c r="C4212" s="3">
        <v>4.24531432218987</v>
      </c>
      <c r="D4212">
        <v>1</v>
      </c>
      <c r="E4212">
        <v>1</v>
      </c>
      <c r="F4212">
        <v>1</v>
      </c>
    </row>
    <row r="4213" spans="1:6">
      <c r="A4213" t="s">
        <v>333</v>
      </c>
      <c r="B4213" t="s">
        <v>43</v>
      </c>
      <c r="C4213" s="3">
        <v>8.60000000000001</v>
      </c>
      <c r="D4213">
        <v>1</v>
      </c>
      <c r="E4213">
        <v>1</v>
      </c>
      <c r="F4213">
        <v>1</v>
      </c>
    </row>
    <row r="4214" spans="1:6">
      <c r="A4214" t="s">
        <v>333</v>
      </c>
      <c r="B4214" t="s">
        <v>44</v>
      </c>
      <c r="C4214" s="3">
        <v>2.2</v>
      </c>
      <c r="D4214">
        <v>1</v>
      </c>
      <c r="E4214">
        <v>1</v>
      </c>
      <c r="F4214">
        <v>1</v>
      </c>
    </row>
    <row r="4215" spans="1:6">
      <c r="A4215" t="s">
        <v>333</v>
      </c>
      <c r="B4215" t="s">
        <v>45</v>
      </c>
      <c r="C4215" s="3">
        <v>0.399999999999991</v>
      </c>
      <c r="D4215">
        <v>1</v>
      </c>
      <c r="E4215">
        <v>1</v>
      </c>
      <c r="F4215">
        <v>1</v>
      </c>
    </row>
    <row r="4216" spans="1:6">
      <c r="A4216" t="s">
        <v>333</v>
      </c>
      <c r="B4216" t="s">
        <v>396</v>
      </c>
      <c r="C4216" s="3">
        <v>1.61701049312125</v>
      </c>
      <c r="D4216">
        <v>1</v>
      </c>
      <c r="E4216">
        <v>1</v>
      </c>
      <c r="F4216">
        <v>1</v>
      </c>
    </row>
    <row r="4217" spans="1:6">
      <c r="A4217" t="s">
        <v>334</v>
      </c>
      <c r="B4217" t="s">
        <v>34</v>
      </c>
      <c r="C4217" s="3">
        <v>73.16</v>
      </c>
      <c r="D4217">
        <v>1</v>
      </c>
      <c r="E4217">
        <v>1</v>
      </c>
      <c r="F4217">
        <v>1</v>
      </c>
    </row>
    <row r="4218" spans="1:6">
      <c r="A4218" t="s">
        <v>334</v>
      </c>
      <c r="B4218" t="s">
        <v>35</v>
      </c>
      <c r="C4218" s="3">
        <v>6.425</v>
      </c>
      <c r="D4218">
        <v>1</v>
      </c>
      <c r="E4218">
        <v>1</v>
      </c>
      <c r="F4218">
        <v>1</v>
      </c>
    </row>
    <row r="4219" spans="1:6">
      <c r="A4219" t="s">
        <v>334</v>
      </c>
      <c r="B4219" t="s">
        <v>36</v>
      </c>
      <c r="C4219" s="3">
        <v>470.053</v>
      </c>
      <c r="D4219">
        <v>1</v>
      </c>
      <c r="E4219">
        <v>1</v>
      </c>
      <c r="F4219">
        <v>1</v>
      </c>
    </row>
    <row r="4220" spans="1:6">
      <c r="A4220" t="s">
        <v>334</v>
      </c>
      <c r="B4220" t="s">
        <v>40</v>
      </c>
      <c r="C4220" s="3">
        <v>122.8</v>
      </c>
      <c r="D4220">
        <v>1</v>
      </c>
      <c r="E4220">
        <v>1</v>
      </c>
      <c r="F4220">
        <v>1</v>
      </c>
    </row>
    <row r="4221" spans="1:6">
      <c r="A4221" t="s">
        <v>334</v>
      </c>
      <c r="B4221" t="s">
        <v>41</v>
      </c>
      <c r="C4221" s="3">
        <v>108.8</v>
      </c>
      <c r="D4221">
        <v>1</v>
      </c>
      <c r="E4221">
        <v>1</v>
      </c>
      <c r="F4221">
        <v>1</v>
      </c>
    </row>
    <row r="4222" spans="1:6">
      <c r="A4222" t="s">
        <v>334</v>
      </c>
      <c r="B4222" t="s">
        <v>42</v>
      </c>
      <c r="C4222" s="3">
        <v>101.1</v>
      </c>
      <c r="D4222">
        <v>1</v>
      </c>
      <c r="E4222">
        <v>1</v>
      </c>
      <c r="F4222">
        <v>1</v>
      </c>
    </row>
    <row r="4223" spans="1:6">
      <c r="A4223" t="s">
        <v>334</v>
      </c>
      <c r="B4223" t="s">
        <v>46</v>
      </c>
      <c r="C4223" s="3">
        <v>113.1</v>
      </c>
      <c r="D4223">
        <v>1</v>
      </c>
      <c r="E4223">
        <v>1</v>
      </c>
      <c r="F4223">
        <v>1</v>
      </c>
    </row>
    <row r="4224" spans="1:6">
      <c r="A4224" t="s">
        <v>334</v>
      </c>
      <c r="B4224" t="s">
        <v>392</v>
      </c>
      <c r="C4224" s="3">
        <v>40051737376</v>
      </c>
      <c r="D4224">
        <v>1</v>
      </c>
      <c r="E4224">
        <v>1</v>
      </c>
      <c r="F4224">
        <v>1</v>
      </c>
    </row>
    <row r="4225" spans="1:6">
      <c r="A4225" t="s">
        <v>334</v>
      </c>
      <c r="B4225" t="s">
        <v>393</v>
      </c>
      <c r="C4225" s="3">
        <v>129393470963</v>
      </c>
      <c r="D4225">
        <v>1</v>
      </c>
      <c r="E4225">
        <v>1</v>
      </c>
      <c r="F4225">
        <v>1</v>
      </c>
    </row>
    <row r="4226" spans="1:6">
      <c r="A4226" t="s">
        <v>334</v>
      </c>
      <c r="B4226" t="s">
        <v>394</v>
      </c>
      <c r="C4226" s="3">
        <v>3.23065812971539</v>
      </c>
      <c r="D4226">
        <v>1</v>
      </c>
      <c r="E4226">
        <v>1</v>
      </c>
      <c r="F4226">
        <v>1</v>
      </c>
    </row>
    <row r="4227" spans="1:6">
      <c r="A4227" t="s">
        <v>334</v>
      </c>
      <c r="B4227" t="s">
        <v>39</v>
      </c>
      <c r="C4227" s="3">
        <v>6.42727696867266</v>
      </c>
      <c r="D4227">
        <v>1</v>
      </c>
      <c r="E4227">
        <v>1</v>
      </c>
      <c r="F4227">
        <v>1</v>
      </c>
    </row>
    <row r="4228" spans="1:6">
      <c r="A4228" t="s">
        <v>334</v>
      </c>
      <c r="B4228" t="s">
        <v>43</v>
      </c>
      <c r="C4228" s="3">
        <v>2.09999999999999</v>
      </c>
      <c r="D4228">
        <v>1</v>
      </c>
      <c r="E4228">
        <v>1</v>
      </c>
      <c r="F4228">
        <v>1</v>
      </c>
    </row>
    <row r="4229" spans="1:6">
      <c r="A4229" t="s">
        <v>334</v>
      </c>
      <c r="B4229" t="s">
        <v>44</v>
      </c>
      <c r="C4229" s="3">
        <v>-0.200000000000003</v>
      </c>
      <c r="D4229">
        <v>1</v>
      </c>
      <c r="E4229">
        <v>1</v>
      </c>
      <c r="F4229">
        <v>1</v>
      </c>
    </row>
    <row r="4230" spans="1:6">
      <c r="A4230" t="s">
        <v>334</v>
      </c>
      <c r="B4230" t="s">
        <v>45</v>
      </c>
      <c r="C4230" s="3">
        <v>-0.200000000000003</v>
      </c>
      <c r="D4230">
        <v>1</v>
      </c>
      <c r="E4230">
        <v>1</v>
      </c>
      <c r="F4230">
        <v>1</v>
      </c>
    </row>
    <row r="4231" spans="1:6">
      <c r="A4231" t="s">
        <v>334</v>
      </c>
      <c r="B4231" t="s">
        <v>396</v>
      </c>
      <c r="C4231" s="3">
        <v>2.35441891541144</v>
      </c>
      <c r="D4231">
        <v>1</v>
      </c>
      <c r="E4231">
        <v>1</v>
      </c>
      <c r="F4231">
        <v>1</v>
      </c>
    </row>
    <row r="4232" spans="1:6">
      <c r="A4232" t="s">
        <v>335</v>
      </c>
      <c r="B4232" t="s">
        <v>34</v>
      </c>
      <c r="C4232" s="3">
        <v>75.17</v>
      </c>
      <c r="D4232">
        <v>1</v>
      </c>
      <c r="E4232">
        <v>1</v>
      </c>
      <c r="F4232">
        <v>1</v>
      </c>
    </row>
    <row r="4233" spans="1:6">
      <c r="A4233" t="s">
        <v>335</v>
      </c>
      <c r="B4233" t="s">
        <v>35</v>
      </c>
      <c r="C4233" s="3">
        <v>6.4763</v>
      </c>
      <c r="D4233">
        <v>1</v>
      </c>
      <c r="E4233">
        <v>1</v>
      </c>
      <c r="F4233">
        <v>1</v>
      </c>
    </row>
    <row r="4234" spans="1:6">
      <c r="A4234" t="s">
        <v>335</v>
      </c>
      <c r="B4234" t="s">
        <v>36</v>
      </c>
      <c r="C4234" s="3">
        <v>486.823471</v>
      </c>
      <c r="D4234">
        <v>1</v>
      </c>
      <c r="E4234">
        <v>1</v>
      </c>
      <c r="F4234">
        <v>1</v>
      </c>
    </row>
    <row r="4235" spans="1:6">
      <c r="A4235" t="s">
        <v>335</v>
      </c>
      <c r="B4235" t="s">
        <v>40</v>
      </c>
      <c r="C4235" s="3">
        <v>123.3</v>
      </c>
      <c r="D4235">
        <v>1</v>
      </c>
      <c r="E4235">
        <v>1</v>
      </c>
      <c r="F4235">
        <v>1</v>
      </c>
    </row>
    <row r="4236" spans="1:6">
      <c r="A4236" t="s">
        <v>335</v>
      </c>
      <c r="B4236" t="s">
        <v>41</v>
      </c>
      <c r="C4236" s="3">
        <v>109</v>
      </c>
      <c r="D4236">
        <v>1</v>
      </c>
      <c r="E4236">
        <v>1</v>
      </c>
      <c r="F4236">
        <v>1</v>
      </c>
    </row>
    <row r="4237" spans="1:6">
      <c r="A4237" t="s">
        <v>335</v>
      </c>
      <c r="B4237" t="s">
        <v>42</v>
      </c>
      <c r="C4237" s="3">
        <v>101</v>
      </c>
      <c r="D4237">
        <v>1</v>
      </c>
      <c r="E4237">
        <v>1</v>
      </c>
      <c r="F4237">
        <v>1</v>
      </c>
    </row>
    <row r="4238" spans="1:6">
      <c r="A4238" t="s">
        <v>335</v>
      </c>
      <c r="B4238" t="s">
        <v>46</v>
      </c>
      <c r="C4238" s="3">
        <v>113.1</v>
      </c>
      <c r="D4238">
        <v>1</v>
      </c>
      <c r="E4238">
        <v>1</v>
      </c>
      <c r="F4238">
        <v>1</v>
      </c>
    </row>
    <row r="4239" spans="1:6">
      <c r="A4239" t="s">
        <v>335</v>
      </c>
      <c r="B4239" t="s">
        <v>392</v>
      </c>
      <c r="C4239" s="3">
        <v>41242195191</v>
      </c>
      <c r="D4239">
        <v>1</v>
      </c>
      <c r="E4239">
        <v>1</v>
      </c>
      <c r="F4239">
        <v>1</v>
      </c>
    </row>
    <row r="4240" spans="1:6">
      <c r="A4240" t="s">
        <v>335</v>
      </c>
      <c r="B4240" t="s">
        <v>393</v>
      </c>
      <c r="C4240" s="3">
        <v>140694186092</v>
      </c>
      <c r="D4240">
        <v>1</v>
      </c>
      <c r="E4240">
        <v>1</v>
      </c>
      <c r="F4240">
        <v>1</v>
      </c>
    </row>
    <row r="4241" spans="1:6">
      <c r="A4241" t="s">
        <v>335</v>
      </c>
      <c r="B4241" t="s">
        <v>394</v>
      </c>
      <c r="C4241" s="3">
        <v>3.41141361269496</v>
      </c>
      <c r="D4241">
        <v>1</v>
      </c>
      <c r="E4241">
        <v>1</v>
      </c>
      <c r="F4241">
        <v>1</v>
      </c>
    </row>
    <row r="4242" spans="1:6">
      <c r="A4242" t="s">
        <v>335</v>
      </c>
      <c r="B4242" t="s">
        <v>39</v>
      </c>
      <c r="C4242" s="3">
        <v>3.5056120519762</v>
      </c>
      <c r="D4242">
        <v>1</v>
      </c>
      <c r="E4242">
        <v>1</v>
      </c>
      <c r="F4242">
        <v>1</v>
      </c>
    </row>
    <row r="4243" spans="1:6">
      <c r="A4243" t="s">
        <v>335</v>
      </c>
      <c r="B4243" t="s">
        <v>43</v>
      </c>
      <c r="C4243" s="3">
        <v>0.5</v>
      </c>
      <c r="D4243">
        <v>1</v>
      </c>
      <c r="E4243">
        <v>1</v>
      </c>
      <c r="F4243">
        <v>1</v>
      </c>
    </row>
    <row r="4244" spans="1:6">
      <c r="A4244" t="s">
        <v>335</v>
      </c>
      <c r="B4244" t="s">
        <v>44</v>
      </c>
      <c r="C4244" s="3">
        <v>0.200000000000003</v>
      </c>
      <c r="D4244">
        <v>1</v>
      </c>
      <c r="E4244">
        <v>1</v>
      </c>
      <c r="F4244">
        <v>1</v>
      </c>
    </row>
    <row r="4245" spans="1:6">
      <c r="A4245" t="s">
        <v>335</v>
      </c>
      <c r="B4245" t="s">
        <v>45</v>
      </c>
      <c r="C4245" s="3">
        <v>-0.0999999999999943</v>
      </c>
      <c r="D4245">
        <v>1</v>
      </c>
      <c r="E4245">
        <v>1</v>
      </c>
      <c r="F4245">
        <v>1</v>
      </c>
    </row>
    <row r="4246" spans="1:6">
      <c r="A4246" t="s">
        <v>335</v>
      </c>
      <c r="B4246" t="s">
        <v>396</v>
      </c>
      <c r="C4246" s="3">
        <v>5.4440882761954</v>
      </c>
      <c r="D4246">
        <v>1</v>
      </c>
      <c r="E4246">
        <v>1</v>
      </c>
      <c r="F4246">
        <v>1</v>
      </c>
    </row>
    <row r="4247" spans="1:6">
      <c r="A4247" t="s">
        <v>336</v>
      </c>
      <c r="B4247" t="s">
        <v>34</v>
      </c>
      <c r="C4247" s="3">
        <v>70.75</v>
      </c>
      <c r="D4247">
        <v>1</v>
      </c>
      <c r="E4247">
        <v>1</v>
      </c>
      <c r="F4247">
        <v>1</v>
      </c>
    </row>
    <row r="4248" spans="1:6">
      <c r="A4248" t="s">
        <v>336</v>
      </c>
      <c r="B4248" t="s">
        <v>35</v>
      </c>
      <c r="C4248" s="3">
        <v>6.4768</v>
      </c>
      <c r="D4248">
        <v>1</v>
      </c>
      <c r="E4248">
        <v>1</v>
      </c>
      <c r="F4248">
        <v>1</v>
      </c>
    </row>
    <row r="4249" spans="1:6">
      <c r="A4249" t="s">
        <v>336</v>
      </c>
      <c r="B4249" t="s">
        <v>36</v>
      </c>
      <c r="C4249" s="3">
        <v>458.2336</v>
      </c>
      <c r="D4249">
        <v>1</v>
      </c>
      <c r="E4249">
        <v>1</v>
      </c>
      <c r="F4249">
        <v>1</v>
      </c>
    </row>
    <row r="4250" spans="1:6">
      <c r="A4250" t="s">
        <v>336</v>
      </c>
      <c r="B4250" t="s">
        <v>40</v>
      </c>
      <c r="C4250" s="3">
        <v>126.2</v>
      </c>
      <c r="D4250">
        <v>1</v>
      </c>
      <c r="E4250">
        <v>1</v>
      </c>
      <c r="F4250">
        <v>1</v>
      </c>
    </row>
    <row r="4251" spans="1:6">
      <c r="A4251" t="s">
        <v>336</v>
      </c>
      <c r="B4251" t="s">
        <v>41</v>
      </c>
      <c r="C4251" s="3">
        <v>109.5</v>
      </c>
      <c r="D4251">
        <v>1</v>
      </c>
      <c r="E4251">
        <v>1</v>
      </c>
      <c r="F4251">
        <v>1</v>
      </c>
    </row>
    <row r="4252" spans="1:6">
      <c r="A4252" t="s">
        <v>336</v>
      </c>
      <c r="B4252" t="s">
        <v>42</v>
      </c>
      <c r="C4252" s="3">
        <v>100.8</v>
      </c>
      <c r="D4252">
        <v>1</v>
      </c>
      <c r="E4252">
        <v>1</v>
      </c>
      <c r="F4252">
        <v>1</v>
      </c>
    </row>
    <row r="4253" spans="1:6">
      <c r="A4253" t="s">
        <v>336</v>
      </c>
      <c r="B4253" t="s">
        <v>46</v>
      </c>
      <c r="C4253" s="3">
        <v>113.6</v>
      </c>
      <c r="D4253">
        <v>1</v>
      </c>
      <c r="E4253">
        <v>1</v>
      </c>
      <c r="F4253">
        <v>1</v>
      </c>
    </row>
    <row r="4254" spans="1:6">
      <c r="A4254" t="s">
        <v>336</v>
      </c>
      <c r="B4254" t="s">
        <v>392</v>
      </c>
      <c r="C4254" s="3">
        <v>44523684546</v>
      </c>
      <c r="D4254">
        <v>1</v>
      </c>
      <c r="E4254">
        <v>1</v>
      </c>
      <c r="F4254">
        <v>1</v>
      </c>
    </row>
    <row r="4255" spans="1:6">
      <c r="A4255" t="s">
        <v>336</v>
      </c>
      <c r="B4255" t="s">
        <v>393</v>
      </c>
      <c r="C4255" s="3">
        <v>155635606509</v>
      </c>
      <c r="D4255">
        <v>1</v>
      </c>
      <c r="E4255">
        <v>1</v>
      </c>
      <c r="F4255">
        <v>1</v>
      </c>
    </row>
    <row r="4256" spans="1:6">
      <c r="A4256" t="s">
        <v>336</v>
      </c>
      <c r="B4256" t="s">
        <v>394</v>
      </c>
      <c r="C4256" s="3">
        <v>3.49556888869347</v>
      </c>
      <c r="D4256">
        <v>1</v>
      </c>
      <c r="E4256">
        <v>1</v>
      </c>
      <c r="F4256">
        <v>1</v>
      </c>
    </row>
    <row r="4257" spans="1:6">
      <c r="A4257" t="s">
        <v>336</v>
      </c>
      <c r="B4257" t="s">
        <v>39</v>
      </c>
      <c r="C4257" s="3">
        <v>-6.05224770694633</v>
      </c>
      <c r="D4257">
        <v>1</v>
      </c>
      <c r="E4257">
        <v>1</v>
      </c>
      <c r="F4257">
        <v>1</v>
      </c>
    </row>
    <row r="4258" spans="1:6">
      <c r="A4258" t="s">
        <v>336</v>
      </c>
      <c r="B4258" t="s">
        <v>43</v>
      </c>
      <c r="C4258" s="3">
        <v>2.90000000000001</v>
      </c>
      <c r="D4258">
        <v>1</v>
      </c>
      <c r="E4258">
        <v>1</v>
      </c>
      <c r="F4258">
        <v>1</v>
      </c>
    </row>
    <row r="4259" spans="1:6">
      <c r="A4259" t="s">
        <v>336</v>
      </c>
      <c r="B4259" t="s">
        <v>44</v>
      </c>
      <c r="C4259" s="3">
        <v>0.5</v>
      </c>
      <c r="D4259">
        <v>1</v>
      </c>
      <c r="E4259">
        <v>1</v>
      </c>
      <c r="F4259">
        <v>1</v>
      </c>
    </row>
    <row r="4260" spans="1:6">
      <c r="A4260" t="s">
        <v>336</v>
      </c>
      <c r="B4260" t="s">
        <v>45</v>
      </c>
      <c r="C4260" s="3">
        <v>-0.200000000000003</v>
      </c>
      <c r="D4260">
        <v>1</v>
      </c>
      <c r="E4260">
        <v>1</v>
      </c>
      <c r="F4260">
        <v>1</v>
      </c>
    </row>
    <row r="4261" spans="1:6">
      <c r="A4261" t="s">
        <v>336</v>
      </c>
      <c r="B4261" t="s">
        <v>396</v>
      </c>
      <c r="C4261" s="3">
        <v>2.43693800271223</v>
      </c>
      <c r="D4261">
        <v>1</v>
      </c>
      <c r="E4261">
        <v>1</v>
      </c>
      <c r="F4261">
        <v>1</v>
      </c>
    </row>
    <row r="4262" spans="1:6">
      <c r="A4262" t="s">
        <v>337</v>
      </c>
      <c r="B4262" t="s">
        <v>34</v>
      </c>
      <c r="C4262" s="3">
        <v>74.49</v>
      </c>
      <c r="D4262">
        <v>1</v>
      </c>
      <c r="E4262">
        <v>1</v>
      </c>
      <c r="F4262">
        <v>1</v>
      </c>
    </row>
    <row r="4263" spans="1:6">
      <c r="A4263" t="s">
        <v>337</v>
      </c>
      <c r="B4263" t="s">
        <v>35</v>
      </c>
      <c r="C4263" s="3">
        <v>6.4563</v>
      </c>
      <c r="D4263">
        <v>1</v>
      </c>
      <c r="E4263">
        <v>1</v>
      </c>
      <c r="F4263">
        <v>1</v>
      </c>
    </row>
    <row r="4264" spans="1:6">
      <c r="A4264" t="s">
        <v>337</v>
      </c>
      <c r="B4264" t="s">
        <v>36</v>
      </c>
      <c r="C4264" s="3">
        <v>480.929787</v>
      </c>
      <c r="D4264">
        <v>1</v>
      </c>
      <c r="E4264">
        <v>1</v>
      </c>
      <c r="F4264">
        <v>1</v>
      </c>
    </row>
    <row r="4265" spans="1:6">
      <c r="A4265" t="s">
        <v>337</v>
      </c>
      <c r="B4265" t="s">
        <v>40</v>
      </c>
      <c r="C4265" s="3">
        <v>130.3</v>
      </c>
      <c r="D4265">
        <v>1</v>
      </c>
      <c r="E4265">
        <v>1</v>
      </c>
      <c r="F4265">
        <v>1</v>
      </c>
    </row>
    <row r="4266" spans="1:6">
      <c r="A4266" t="s">
        <v>337</v>
      </c>
      <c r="B4266" t="s">
        <v>41</v>
      </c>
      <c r="C4266" s="3">
        <v>110.7</v>
      </c>
      <c r="D4266">
        <v>1</v>
      </c>
      <c r="E4266">
        <v>1</v>
      </c>
      <c r="F4266">
        <v>1</v>
      </c>
    </row>
    <row r="4267" spans="1:6">
      <c r="A4267" t="s">
        <v>337</v>
      </c>
      <c r="B4267" t="s">
        <v>42</v>
      </c>
      <c r="C4267" s="3">
        <v>100.7</v>
      </c>
      <c r="D4267">
        <v>1</v>
      </c>
      <c r="E4267">
        <v>1</v>
      </c>
      <c r="F4267">
        <v>1</v>
      </c>
    </row>
    <row r="4268" spans="1:6">
      <c r="A4268" t="s">
        <v>337</v>
      </c>
      <c r="B4268" t="s">
        <v>46</v>
      </c>
      <c r="C4268" s="3">
        <v>114.3</v>
      </c>
      <c r="D4268">
        <v>1</v>
      </c>
      <c r="E4268">
        <v>1</v>
      </c>
      <c r="F4268">
        <v>1</v>
      </c>
    </row>
    <row r="4269" spans="1:6">
      <c r="A4269" t="s">
        <v>337</v>
      </c>
      <c r="B4269" t="s">
        <v>392</v>
      </c>
      <c r="C4269" s="3">
        <v>40906436928</v>
      </c>
      <c r="D4269">
        <v>1</v>
      </c>
      <c r="E4269">
        <v>1</v>
      </c>
      <c r="F4269">
        <v>1</v>
      </c>
    </row>
    <row r="4270" spans="1:6">
      <c r="A4270" t="s">
        <v>337</v>
      </c>
      <c r="B4270" t="s">
        <v>393</v>
      </c>
      <c r="C4270" s="3">
        <v>141643772937</v>
      </c>
      <c r="D4270">
        <v>1</v>
      </c>
      <c r="E4270">
        <v>1</v>
      </c>
      <c r="F4270">
        <v>1</v>
      </c>
    </row>
    <row r="4271" spans="1:6">
      <c r="A4271" t="s">
        <v>337</v>
      </c>
      <c r="B4271" t="s">
        <v>394</v>
      </c>
      <c r="C4271" s="3">
        <v>3.46262797677317</v>
      </c>
      <c r="D4271">
        <v>1</v>
      </c>
      <c r="E4271">
        <v>1</v>
      </c>
      <c r="F4271">
        <v>1</v>
      </c>
    </row>
    <row r="4272" spans="1:6">
      <c r="A4272" t="s">
        <v>337</v>
      </c>
      <c r="B4272" t="s">
        <v>39</v>
      </c>
      <c r="C4272" s="3">
        <v>4.83421887234498</v>
      </c>
      <c r="D4272">
        <v>1</v>
      </c>
      <c r="E4272">
        <v>1</v>
      </c>
      <c r="F4272">
        <v>1</v>
      </c>
    </row>
    <row r="4273" spans="1:6">
      <c r="A4273" t="s">
        <v>337</v>
      </c>
      <c r="B4273" t="s">
        <v>43</v>
      </c>
      <c r="C4273" s="3">
        <v>4.10000000000001</v>
      </c>
      <c r="D4273">
        <v>1</v>
      </c>
      <c r="E4273">
        <v>1</v>
      </c>
      <c r="F4273">
        <v>1</v>
      </c>
    </row>
    <row r="4274" spans="1:6">
      <c r="A4274" t="s">
        <v>337</v>
      </c>
      <c r="B4274" t="s">
        <v>44</v>
      </c>
      <c r="C4274" s="3">
        <v>1.2</v>
      </c>
      <c r="D4274">
        <v>1</v>
      </c>
      <c r="E4274">
        <v>1</v>
      </c>
      <c r="F4274">
        <v>1</v>
      </c>
    </row>
    <row r="4275" spans="1:6">
      <c r="A4275" t="s">
        <v>337</v>
      </c>
      <c r="B4275" t="s">
        <v>45</v>
      </c>
      <c r="C4275" s="3">
        <v>-0.0999999999999943</v>
      </c>
      <c r="D4275">
        <v>1</v>
      </c>
      <c r="E4275">
        <v>1</v>
      </c>
      <c r="F4275">
        <v>1</v>
      </c>
    </row>
    <row r="4276" spans="1:6">
      <c r="A4276" t="s">
        <v>337</v>
      </c>
      <c r="B4276" t="s">
        <v>396</v>
      </c>
      <c r="C4276" s="3">
        <v>-0.946830296684537</v>
      </c>
      <c r="D4276">
        <v>1</v>
      </c>
      <c r="E4276">
        <v>1</v>
      </c>
      <c r="F4276">
        <v>1</v>
      </c>
    </row>
    <row r="4277" spans="1:6">
      <c r="A4277" t="s">
        <v>338</v>
      </c>
      <c r="B4277" t="s">
        <v>34</v>
      </c>
      <c r="C4277" s="3">
        <v>83.54</v>
      </c>
      <c r="D4277">
        <v>1</v>
      </c>
      <c r="E4277">
        <v>1</v>
      </c>
      <c r="F4277">
        <v>1</v>
      </c>
    </row>
    <row r="4278" spans="1:6">
      <c r="A4278" t="s">
        <v>338</v>
      </c>
      <c r="B4278" t="s">
        <v>35</v>
      </c>
      <c r="C4278" s="3">
        <v>6.4172</v>
      </c>
      <c r="D4278">
        <v>1</v>
      </c>
      <c r="E4278">
        <v>1</v>
      </c>
      <c r="F4278">
        <v>1</v>
      </c>
    </row>
    <row r="4279" spans="1:6">
      <c r="A4279" t="s">
        <v>338</v>
      </c>
      <c r="B4279" t="s">
        <v>36</v>
      </c>
      <c r="C4279" s="3">
        <v>536.092888</v>
      </c>
      <c r="D4279">
        <v>1</v>
      </c>
      <c r="E4279">
        <v>1</v>
      </c>
      <c r="F4279">
        <v>1</v>
      </c>
    </row>
    <row r="4280" spans="1:6">
      <c r="A4280" t="s">
        <v>338</v>
      </c>
      <c r="B4280" t="s">
        <v>40</v>
      </c>
      <c r="C4280" s="3">
        <v>140.7</v>
      </c>
      <c r="D4280">
        <v>1</v>
      </c>
      <c r="E4280">
        <v>1</v>
      </c>
      <c r="F4280">
        <v>1</v>
      </c>
    </row>
    <row r="4281" spans="1:6">
      <c r="A4281" t="s">
        <v>338</v>
      </c>
      <c r="B4281" t="s">
        <v>41</v>
      </c>
      <c r="C4281" s="3">
        <v>113.5</v>
      </c>
      <c r="D4281">
        <v>1</v>
      </c>
      <c r="E4281">
        <v>1</v>
      </c>
      <c r="F4281">
        <v>1</v>
      </c>
    </row>
    <row r="4282" spans="1:6">
      <c r="A4282" t="s">
        <v>338</v>
      </c>
      <c r="B4282" t="s">
        <v>42</v>
      </c>
      <c r="C4282" s="3">
        <v>101.5</v>
      </c>
      <c r="D4282">
        <v>1</v>
      </c>
      <c r="E4282">
        <v>1</v>
      </c>
      <c r="F4282">
        <v>1</v>
      </c>
    </row>
    <row r="4283" spans="1:6">
      <c r="A4283" t="s">
        <v>338</v>
      </c>
      <c r="B4283" t="s">
        <v>46</v>
      </c>
      <c r="C4283" s="3">
        <v>117.1</v>
      </c>
      <c r="D4283">
        <v>1</v>
      </c>
      <c r="E4283">
        <v>1</v>
      </c>
      <c r="F4283">
        <v>1</v>
      </c>
    </row>
    <row r="4284" spans="1:6">
      <c r="A4284" t="s">
        <v>338</v>
      </c>
      <c r="B4284" t="s">
        <v>392</v>
      </c>
      <c r="C4284" s="3">
        <v>37792001036</v>
      </c>
      <c r="D4284">
        <v>1</v>
      </c>
      <c r="E4284">
        <v>1</v>
      </c>
      <c r="F4284">
        <v>1</v>
      </c>
    </row>
    <row r="4285" spans="1:6">
      <c r="A4285" t="s">
        <v>338</v>
      </c>
      <c r="B4285" t="s">
        <v>393</v>
      </c>
      <c r="C4285" s="3">
        <v>136319391476</v>
      </c>
      <c r="D4285">
        <v>1</v>
      </c>
      <c r="E4285">
        <v>1</v>
      </c>
      <c r="F4285">
        <v>1</v>
      </c>
    </row>
    <row r="4286" spans="1:6">
      <c r="A4286" t="s">
        <v>338</v>
      </c>
      <c r="B4286" t="s">
        <v>394</v>
      </c>
      <c r="C4286" s="3">
        <v>3.60709641561833</v>
      </c>
      <c r="D4286">
        <v>1</v>
      </c>
      <c r="E4286">
        <v>1</v>
      </c>
      <c r="F4286">
        <v>1</v>
      </c>
    </row>
    <row r="4287" spans="1:6">
      <c r="A4287" t="s">
        <v>338</v>
      </c>
      <c r="B4287" t="s">
        <v>39</v>
      </c>
      <c r="C4287" s="3">
        <v>10.8586158086116</v>
      </c>
      <c r="D4287">
        <v>1</v>
      </c>
      <c r="E4287">
        <v>1</v>
      </c>
      <c r="F4287">
        <v>1</v>
      </c>
    </row>
    <row r="4288" spans="1:6">
      <c r="A4288" t="s">
        <v>338</v>
      </c>
      <c r="B4288" t="s">
        <v>43</v>
      </c>
      <c r="C4288" s="3">
        <v>10.4</v>
      </c>
      <c r="D4288">
        <v>1</v>
      </c>
      <c r="E4288">
        <v>1</v>
      </c>
      <c r="F4288">
        <v>1</v>
      </c>
    </row>
    <row r="4289" spans="1:6">
      <c r="A4289" t="s">
        <v>338</v>
      </c>
      <c r="B4289" t="s">
        <v>44</v>
      </c>
      <c r="C4289" s="3">
        <v>2.8</v>
      </c>
      <c r="D4289">
        <v>1</v>
      </c>
      <c r="E4289">
        <v>1</v>
      </c>
      <c r="F4289">
        <v>1</v>
      </c>
    </row>
    <row r="4290" spans="1:6">
      <c r="A4290" t="s">
        <v>338</v>
      </c>
      <c r="B4290" t="s">
        <v>45</v>
      </c>
      <c r="C4290" s="3">
        <v>0.799999999999997</v>
      </c>
      <c r="D4290">
        <v>1</v>
      </c>
      <c r="E4290">
        <v>1</v>
      </c>
      <c r="F4290">
        <v>1</v>
      </c>
    </row>
    <row r="4291" spans="1:6">
      <c r="A4291" t="s">
        <v>338</v>
      </c>
      <c r="B4291" t="s">
        <v>396</v>
      </c>
      <c r="C4291" s="3">
        <v>4.08753000737488</v>
      </c>
      <c r="D4291">
        <v>1</v>
      </c>
      <c r="E4291">
        <v>1</v>
      </c>
      <c r="F4291">
        <v>1</v>
      </c>
    </row>
    <row r="4292" spans="1:6">
      <c r="A4292" t="s">
        <v>339</v>
      </c>
      <c r="B4292" t="s">
        <v>34</v>
      </c>
      <c r="C4292" s="3">
        <v>81.05</v>
      </c>
      <c r="D4292">
        <v>1</v>
      </c>
      <c r="E4292">
        <v>1</v>
      </c>
      <c r="F4292">
        <v>1</v>
      </c>
    </row>
    <row r="4293" spans="1:6">
      <c r="A4293" t="s">
        <v>339</v>
      </c>
      <c r="B4293" t="s">
        <v>35</v>
      </c>
      <c r="C4293" s="3">
        <v>6.3889</v>
      </c>
      <c r="D4293">
        <v>1</v>
      </c>
      <c r="E4293">
        <v>1</v>
      </c>
      <c r="F4293">
        <v>1</v>
      </c>
    </row>
    <row r="4294" spans="1:6">
      <c r="A4294" t="s">
        <v>339</v>
      </c>
      <c r="B4294" t="s">
        <v>36</v>
      </c>
      <c r="C4294" s="3">
        <v>517.820345</v>
      </c>
      <c r="D4294">
        <v>1</v>
      </c>
      <c r="E4294">
        <v>1</v>
      </c>
      <c r="F4294">
        <v>1</v>
      </c>
    </row>
    <row r="4295" spans="1:6">
      <c r="A4295" t="s">
        <v>339</v>
      </c>
      <c r="B4295" t="s">
        <v>40</v>
      </c>
      <c r="C4295" s="3">
        <v>143.8</v>
      </c>
      <c r="D4295">
        <v>1</v>
      </c>
      <c r="E4295">
        <v>1</v>
      </c>
      <c r="F4295">
        <v>1</v>
      </c>
    </row>
    <row r="4296" spans="1:6">
      <c r="A4296" t="s">
        <v>339</v>
      </c>
      <c r="B4296" t="s">
        <v>41</v>
      </c>
      <c r="C4296" s="3">
        <v>112.9</v>
      </c>
      <c r="D4296">
        <v>1</v>
      </c>
      <c r="E4296">
        <v>1</v>
      </c>
      <c r="F4296">
        <v>1</v>
      </c>
    </row>
    <row r="4297" spans="1:6">
      <c r="A4297" t="s">
        <v>339</v>
      </c>
      <c r="B4297" t="s">
        <v>42</v>
      </c>
      <c r="C4297" s="3">
        <v>102.3</v>
      </c>
      <c r="D4297">
        <v>1</v>
      </c>
      <c r="E4297">
        <v>1</v>
      </c>
      <c r="F4297">
        <v>1</v>
      </c>
    </row>
    <row r="4298" spans="1:6">
      <c r="A4298" t="s">
        <v>339</v>
      </c>
      <c r="B4298" t="s">
        <v>46</v>
      </c>
      <c r="C4298" s="3">
        <v>117.4</v>
      </c>
      <c r="D4298">
        <v>1</v>
      </c>
      <c r="E4298">
        <v>1</v>
      </c>
      <c r="F4298">
        <v>1</v>
      </c>
    </row>
    <row r="4299" spans="1:6">
      <c r="A4299" t="s">
        <v>339</v>
      </c>
      <c r="B4299" t="s">
        <v>392</v>
      </c>
      <c r="C4299" s="3">
        <v>41790781048</v>
      </c>
      <c r="D4299">
        <v>1</v>
      </c>
      <c r="E4299">
        <v>1</v>
      </c>
      <c r="F4299">
        <v>1</v>
      </c>
    </row>
    <row r="4300" spans="1:6">
      <c r="A4300" t="s">
        <v>339</v>
      </c>
      <c r="B4300" t="s">
        <v>393</v>
      </c>
      <c r="C4300" s="3">
        <v>159692980820</v>
      </c>
      <c r="D4300">
        <v>1</v>
      </c>
      <c r="E4300">
        <v>1</v>
      </c>
      <c r="F4300">
        <v>1</v>
      </c>
    </row>
    <row r="4301" spans="1:6">
      <c r="A4301" t="s">
        <v>339</v>
      </c>
      <c r="B4301" t="s">
        <v>394</v>
      </c>
      <c r="C4301" s="3">
        <v>3.82124901270881</v>
      </c>
      <c r="D4301">
        <v>1</v>
      </c>
      <c r="E4301">
        <v>1</v>
      </c>
      <c r="F4301">
        <v>1</v>
      </c>
    </row>
    <row r="4302" spans="1:6">
      <c r="A4302" t="s">
        <v>339</v>
      </c>
      <c r="B4302" t="s">
        <v>39</v>
      </c>
      <c r="C4302" s="3">
        <v>-3.46790867861201</v>
      </c>
      <c r="D4302">
        <v>1</v>
      </c>
      <c r="E4302">
        <v>1</v>
      </c>
      <c r="F4302">
        <v>1</v>
      </c>
    </row>
    <row r="4303" spans="1:6">
      <c r="A4303" t="s">
        <v>339</v>
      </c>
      <c r="B4303" t="s">
        <v>43</v>
      </c>
      <c r="C4303" s="3">
        <v>3.10000000000002</v>
      </c>
      <c r="D4303">
        <v>1</v>
      </c>
      <c r="E4303">
        <v>1</v>
      </c>
      <c r="F4303">
        <v>1</v>
      </c>
    </row>
    <row r="4304" spans="1:6">
      <c r="A4304" t="s">
        <v>339</v>
      </c>
      <c r="B4304" t="s">
        <v>44</v>
      </c>
      <c r="C4304" s="3">
        <v>-0.599999999999994</v>
      </c>
      <c r="D4304">
        <v>1</v>
      </c>
      <c r="E4304">
        <v>1</v>
      </c>
      <c r="F4304">
        <v>1</v>
      </c>
    </row>
    <row r="4305" spans="1:6">
      <c r="A4305" t="s">
        <v>339</v>
      </c>
      <c r="B4305" t="s">
        <v>45</v>
      </c>
      <c r="C4305" s="3">
        <v>0.799999999999997</v>
      </c>
      <c r="D4305">
        <v>1</v>
      </c>
      <c r="E4305">
        <v>1</v>
      </c>
      <c r="F4305">
        <v>1</v>
      </c>
    </row>
    <row r="4306" spans="1:6">
      <c r="A4306" t="s">
        <v>339</v>
      </c>
      <c r="B4306" t="s">
        <v>396</v>
      </c>
      <c r="C4306" s="3">
        <v>5.7674204149139</v>
      </c>
      <c r="D4306">
        <v>1</v>
      </c>
      <c r="E4306">
        <v>1</v>
      </c>
      <c r="F4306">
        <v>1</v>
      </c>
    </row>
    <row r="4307" spans="1:6">
      <c r="A4307" t="s">
        <v>340</v>
      </c>
      <c r="B4307" t="s">
        <v>34</v>
      </c>
      <c r="C4307" s="3">
        <v>74.17</v>
      </c>
      <c r="D4307">
        <v>1</v>
      </c>
      <c r="E4307">
        <v>1</v>
      </c>
      <c r="F4307">
        <v>1</v>
      </c>
    </row>
    <row r="4308" spans="1:6">
      <c r="A4308" t="s">
        <v>340</v>
      </c>
      <c r="B4308" t="s">
        <v>35</v>
      </c>
      <c r="C4308" s="3">
        <v>6.3693</v>
      </c>
      <c r="D4308">
        <v>1</v>
      </c>
      <c r="E4308">
        <v>1</v>
      </c>
      <c r="F4308">
        <v>1</v>
      </c>
    </row>
    <row r="4309" spans="1:6">
      <c r="A4309" t="s">
        <v>340</v>
      </c>
      <c r="B4309" t="s">
        <v>36</v>
      </c>
      <c r="C4309" s="3">
        <v>472.410981</v>
      </c>
      <c r="D4309">
        <v>1</v>
      </c>
      <c r="E4309">
        <v>1</v>
      </c>
      <c r="F4309">
        <v>1</v>
      </c>
    </row>
    <row r="4310" spans="1:6">
      <c r="A4310" t="s">
        <v>340</v>
      </c>
      <c r="B4310" t="s">
        <v>40</v>
      </c>
      <c r="C4310" s="3">
        <v>135.5</v>
      </c>
      <c r="D4310">
        <v>1</v>
      </c>
      <c r="E4310">
        <v>1</v>
      </c>
      <c r="F4310">
        <v>1</v>
      </c>
    </row>
    <row r="4311" spans="1:6">
      <c r="A4311" t="s">
        <v>340</v>
      </c>
      <c r="B4311" t="s">
        <v>41</v>
      </c>
      <c r="C4311" s="3">
        <v>110.3</v>
      </c>
      <c r="D4311">
        <v>1</v>
      </c>
      <c r="E4311">
        <v>1</v>
      </c>
      <c r="F4311">
        <v>1</v>
      </c>
    </row>
    <row r="4312" spans="1:6">
      <c r="A4312" t="s">
        <v>340</v>
      </c>
      <c r="B4312" t="s">
        <v>42</v>
      </c>
      <c r="C4312" s="3">
        <v>101.5</v>
      </c>
      <c r="D4312">
        <v>1</v>
      </c>
      <c r="E4312">
        <v>1</v>
      </c>
      <c r="F4312">
        <v>1</v>
      </c>
    </row>
    <row r="4313" spans="1:6">
      <c r="A4313" t="s">
        <v>340</v>
      </c>
      <c r="B4313" t="s">
        <v>46</v>
      </c>
      <c r="C4313" s="3">
        <v>114.2</v>
      </c>
      <c r="D4313">
        <v>1</v>
      </c>
      <c r="E4313">
        <v>1</v>
      </c>
      <c r="F4313">
        <v>1</v>
      </c>
    </row>
    <row r="4314" spans="1:6">
      <c r="A4314" t="s">
        <v>340</v>
      </c>
      <c r="B4314" t="s">
        <v>392</v>
      </c>
      <c r="C4314" s="3">
        <v>46121857560</v>
      </c>
      <c r="D4314">
        <v>1</v>
      </c>
      <c r="E4314">
        <v>1</v>
      </c>
      <c r="F4314">
        <v>1</v>
      </c>
    </row>
    <row r="4315" spans="1:6">
      <c r="A4315" t="s">
        <v>340</v>
      </c>
      <c r="B4315" t="s">
        <v>393</v>
      </c>
      <c r="C4315" s="3">
        <v>173380542473</v>
      </c>
      <c r="D4315">
        <v>1</v>
      </c>
      <c r="E4315">
        <v>1</v>
      </c>
      <c r="F4315">
        <v>1</v>
      </c>
    </row>
    <row r="4316" spans="1:6">
      <c r="A4316" t="s">
        <v>340</v>
      </c>
      <c r="B4316" t="s">
        <v>394</v>
      </c>
      <c r="C4316" s="3">
        <v>3.75918385870406</v>
      </c>
      <c r="D4316">
        <v>1</v>
      </c>
      <c r="E4316">
        <v>1</v>
      </c>
      <c r="F4316">
        <v>1</v>
      </c>
    </row>
    <row r="4317" spans="1:6">
      <c r="A4317" t="s">
        <v>340</v>
      </c>
      <c r="B4317" t="s">
        <v>39</v>
      </c>
      <c r="C4317" s="3">
        <v>-9.17790285934049</v>
      </c>
      <c r="D4317">
        <v>1</v>
      </c>
      <c r="E4317">
        <v>1</v>
      </c>
      <c r="F4317">
        <v>1</v>
      </c>
    </row>
    <row r="4318" spans="1:6">
      <c r="A4318" t="s">
        <v>340</v>
      </c>
      <c r="B4318" t="s">
        <v>43</v>
      </c>
      <c r="C4318" s="3">
        <v>-8.30000000000001</v>
      </c>
      <c r="D4318">
        <v>1</v>
      </c>
      <c r="E4318">
        <v>1</v>
      </c>
      <c r="F4318">
        <v>1</v>
      </c>
    </row>
    <row r="4319" spans="1:6">
      <c r="A4319" t="s">
        <v>340</v>
      </c>
      <c r="B4319" t="s">
        <v>44</v>
      </c>
      <c r="C4319" s="3">
        <v>-2.60000000000001</v>
      </c>
      <c r="D4319">
        <v>1</v>
      </c>
      <c r="E4319">
        <v>1</v>
      </c>
      <c r="F4319">
        <v>1</v>
      </c>
    </row>
    <row r="4320" spans="1:6">
      <c r="A4320" t="s">
        <v>340</v>
      </c>
      <c r="B4320" t="s">
        <v>45</v>
      </c>
      <c r="C4320" s="3">
        <v>-0.799999999999997</v>
      </c>
      <c r="D4320">
        <v>1</v>
      </c>
      <c r="E4320">
        <v>1</v>
      </c>
      <c r="F4320">
        <v>1</v>
      </c>
    </row>
    <row r="4321" spans="1:6">
      <c r="A4321" t="s">
        <v>340</v>
      </c>
      <c r="B4321" t="s">
        <v>396</v>
      </c>
      <c r="C4321" s="3">
        <v>-1.63754608684089</v>
      </c>
      <c r="D4321">
        <v>1</v>
      </c>
      <c r="E4321">
        <v>1</v>
      </c>
      <c r="F4321">
        <v>1</v>
      </c>
    </row>
    <row r="4322" spans="1:6">
      <c r="A4322" t="s">
        <v>341</v>
      </c>
      <c r="B4322" t="s">
        <v>34</v>
      </c>
      <c r="C4322" s="3">
        <v>86.51</v>
      </c>
      <c r="D4322">
        <v>1</v>
      </c>
      <c r="E4322">
        <v>1</v>
      </c>
      <c r="F4322">
        <v>1</v>
      </c>
    </row>
    <row r="4323" spans="1:6">
      <c r="A4323" t="s">
        <v>341</v>
      </c>
      <c r="B4323" t="s">
        <v>35</v>
      </c>
      <c r="C4323" s="3">
        <v>6.3556</v>
      </c>
      <c r="D4323">
        <v>1</v>
      </c>
      <c r="E4323">
        <v>1</v>
      </c>
      <c r="F4323">
        <v>1</v>
      </c>
    </row>
    <row r="4324" spans="1:6">
      <c r="A4324" t="s">
        <v>341</v>
      </c>
      <c r="B4324" t="s">
        <v>36</v>
      </c>
      <c r="C4324" s="3">
        <v>549.822956</v>
      </c>
      <c r="D4324">
        <v>1</v>
      </c>
      <c r="E4324">
        <v>1</v>
      </c>
      <c r="F4324">
        <v>1</v>
      </c>
    </row>
    <row r="4325" spans="1:6">
      <c r="A4325" t="s">
        <v>341</v>
      </c>
      <c r="B4325" t="s">
        <v>40</v>
      </c>
      <c r="C4325" s="3">
        <v>130</v>
      </c>
      <c r="D4325">
        <v>1</v>
      </c>
      <c r="E4325">
        <v>1</v>
      </c>
      <c r="F4325">
        <v>1</v>
      </c>
    </row>
    <row r="4326" spans="1:6">
      <c r="A4326" t="s">
        <v>341</v>
      </c>
      <c r="B4326" t="s">
        <v>41</v>
      </c>
      <c r="C4326" s="3">
        <v>109.1</v>
      </c>
      <c r="D4326">
        <v>1</v>
      </c>
      <c r="E4326">
        <v>1</v>
      </c>
      <c r="F4326">
        <v>1</v>
      </c>
    </row>
    <row r="4327" spans="1:6">
      <c r="A4327" t="s">
        <v>341</v>
      </c>
      <c r="B4327" t="s">
        <v>42</v>
      </c>
      <c r="C4327" s="3">
        <v>100.9</v>
      </c>
      <c r="D4327">
        <v>1</v>
      </c>
      <c r="E4327">
        <v>1</v>
      </c>
      <c r="F4327">
        <v>1</v>
      </c>
    </row>
    <row r="4328" spans="1:6">
      <c r="A4328" t="s">
        <v>341</v>
      </c>
      <c r="B4328" t="s">
        <v>46</v>
      </c>
      <c r="C4328" s="3">
        <v>112.1</v>
      </c>
      <c r="D4328">
        <v>1</v>
      </c>
      <c r="E4328">
        <v>1</v>
      </c>
      <c r="F4328">
        <v>1</v>
      </c>
    </row>
    <row r="4329" spans="1:6">
      <c r="A4329" t="s">
        <v>341</v>
      </c>
      <c r="B4329" t="s">
        <v>392</v>
      </c>
      <c r="C4329" s="3">
        <v>48789896647</v>
      </c>
      <c r="D4329">
        <v>1</v>
      </c>
      <c r="E4329">
        <v>1</v>
      </c>
      <c r="F4329">
        <v>1</v>
      </c>
    </row>
    <row r="4330" spans="1:6">
      <c r="A4330" t="s">
        <v>341</v>
      </c>
      <c r="B4330" t="s">
        <v>393</v>
      </c>
      <c r="C4330" s="3">
        <v>183397201871</v>
      </c>
      <c r="D4330">
        <v>1</v>
      </c>
      <c r="E4330">
        <v>1</v>
      </c>
      <c r="F4330">
        <v>1</v>
      </c>
    </row>
    <row r="4331" spans="1:6">
      <c r="A4331" t="s">
        <v>341</v>
      </c>
      <c r="B4331" t="s">
        <v>394</v>
      </c>
      <c r="C4331" s="3">
        <v>3.7589176135768</v>
      </c>
      <c r="D4331">
        <v>1</v>
      </c>
      <c r="E4331">
        <v>1</v>
      </c>
      <c r="F4331">
        <v>1</v>
      </c>
    </row>
    <row r="4332" spans="1:6">
      <c r="A4332" t="s">
        <v>341</v>
      </c>
      <c r="B4332" t="s">
        <v>39</v>
      </c>
      <c r="C4332" s="3">
        <v>15.174699904007</v>
      </c>
      <c r="D4332">
        <v>1</v>
      </c>
      <c r="E4332">
        <v>1</v>
      </c>
      <c r="F4332">
        <v>1</v>
      </c>
    </row>
    <row r="4333" spans="1:6">
      <c r="A4333" t="s">
        <v>341</v>
      </c>
      <c r="B4333" t="s">
        <v>43</v>
      </c>
      <c r="C4333" s="3">
        <v>-5.5</v>
      </c>
      <c r="D4333">
        <v>1</v>
      </c>
      <c r="E4333">
        <v>1</v>
      </c>
      <c r="F4333">
        <v>1</v>
      </c>
    </row>
    <row r="4334" spans="1:6">
      <c r="A4334" t="s">
        <v>341</v>
      </c>
      <c r="B4334" t="s">
        <v>44</v>
      </c>
      <c r="C4334" s="3">
        <v>-1.2</v>
      </c>
      <c r="D4334">
        <v>1</v>
      </c>
      <c r="E4334">
        <v>1</v>
      </c>
      <c r="F4334">
        <v>1</v>
      </c>
    </row>
    <row r="4335" spans="1:6">
      <c r="A4335" t="s">
        <v>341</v>
      </c>
      <c r="B4335" t="s">
        <v>45</v>
      </c>
      <c r="C4335" s="3">
        <v>-0.599999999999994</v>
      </c>
      <c r="D4335">
        <v>1</v>
      </c>
      <c r="E4335">
        <v>1</v>
      </c>
      <c r="F4335">
        <v>1</v>
      </c>
    </row>
    <row r="4336" spans="1:6">
      <c r="A4336" t="s">
        <v>341</v>
      </c>
      <c r="B4336" t="s">
        <v>396</v>
      </c>
      <c r="C4336" s="3">
        <v>-0.00708277557456092</v>
      </c>
      <c r="D4336">
        <v>1</v>
      </c>
      <c r="E4336">
        <v>1</v>
      </c>
      <c r="F4336">
        <v>1</v>
      </c>
    </row>
    <row r="4337" spans="1:6">
      <c r="A4337" t="s">
        <v>342</v>
      </c>
      <c r="B4337" t="s">
        <v>34</v>
      </c>
      <c r="C4337" s="3">
        <v>97.13</v>
      </c>
      <c r="D4337">
        <v>1</v>
      </c>
      <c r="E4337">
        <v>1</v>
      </c>
      <c r="F4337">
        <v>1</v>
      </c>
    </row>
    <row r="4338" spans="1:6">
      <c r="A4338" t="s">
        <v>342</v>
      </c>
      <c r="B4338" t="s">
        <v>35</v>
      </c>
      <c r="C4338" s="3">
        <v>6.3436</v>
      </c>
      <c r="D4338">
        <v>1</v>
      </c>
      <c r="E4338">
        <v>1</v>
      </c>
      <c r="F4338">
        <v>1</v>
      </c>
    </row>
    <row r="4339" spans="1:6">
      <c r="A4339" t="s">
        <v>342</v>
      </c>
      <c r="B4339" t="s">
        <v>36</v>
      </c>
      <c r="C4339" s="3">
        <v>616.153868</v>
      </c>
      <c r="D4339">
        <v>1</v>
      </c>
      <c r="E4339">
        <v>1</v>
      </c>
      <c r="F4339">
        <v>1</v>
      </c>
    </row>
    <row r="4340" spans="1:6">
      <c r="A4340" t="s">
        <v>342</v>
      </c>
      <c r="B4340" t="s">
        <v>40</v>
      </c>
      <c r="C4340" s="3">
        <v>127.6</v>
      </c>
      <c r="D4340">
        <v>1</v>
      </c>
      <c r="E4340">
        <v>1</v>
      </c>
      <c r="F4340">
        <v>1</v>
      </c>
    </row>
    <row r="4341" spans="1:6">
      <c r="A4341" t="s">
        <v>342</v>
      </c>
      <c r="B4341" t="s">
        <v>41</v>
      </c>
      <c r="C4341" s="3">
        <v>108.8</v>
      </c>
      <c r="D4341">
        <v>1</v>
      </c>
      <c r="E4341">
        <v>1</v>
      </c>
      <c r="F4341">
        <v>1</v>
      </c>
    </row>
    <row r="4342" spans="1:6">
      <c r="A4342" t="s">
        <v>342</v>
      </c>
      <c r="B4342" t="s">
        <v>42</v>
      </c>
      <c r="C4342" s="3">
        <v>100.9</v>
      </c>
      <c r="D4342">
        <v>1</v>
      </c>
      <c r="E4342">
        <v>1</v>
      </c>
      <c r="F4342">
        <v>1</v>
      </c>
    </row>
    <row r="4343" spans="1:6">
      <c r="A4343" t="s">
        <v>342</v>
      </c>
      <c r="B4343" t="s">
        <v>46</v>
      </c>
      <c r="C4343" s="3">
        <v>111.2</v>
      </c>
      <c r="D4343">
        <v>1</v>
      </c>
      <c r="E4343">
        <v>1</v>
      </c>
      <c r="F4343">
        <v>1</v>
      </c>
    </row>
    <row r="4344" spans="1:6">
      <c r="A4344" t="s">
        <v>342</v>
      </c>
      <c r="B4344" t="s">
        <v>392</v>
      </c>
      <c r="C4344" s="3">
        <v>36339514118</v>
      </c>
      <c r="D4344">
        <v>1</v>
      </c>
      <c r="E4344">
        <v>1</v>
      </c>
      <c r="F4344">
        <v>1</v>
      </c>
    </row>
    <row r="4345" spans="1:6">
      <c r="A4345" t="s">
        <v>342</v>
      </c>
      <c r="B4345" t="s">
        <v>393</v>
      </c>
      <c r="C4345" s="3">
        <v>149691841083</v>
      </c>
      <c r="D4345">
        <v>1</v>
      </c>
      <c r="E4345">
        <v>1</v>
      </c>
      <c r="F4345">
        <v>1</v>
      </c>
    </row>
    <row r="4346" spans="1:6">
      <c r="A4346" t="s">
        <v>342</v>
      </c>
      <c r="B4346" t="s">
        <v>394</v>
      </c>
      <c r="C4346" s="3">
        <v>4.11925818812347</v>
      </c>
      <c r="D4346">
        <v>1</v>
      </c>
      <c r="E4346">
        <v>1</v>
      </c>
      <c r="F4346">
        <v>1</v>
      </c>
    </row>
    <row r="4347" spans="1:6">
      <c r="A4347" t="s">
        <v>342</v>
      </c>
      <c r="B4347" t="s">
        <v>39</v>
      </c>
      <c r="C4347" s="3">
        <v>11.390038983219</v>
      </c>
      <c r="D4347">
        <v>1</v>
      </c>
      <c r="E4347">
        <v>1</v>
      </c>
      <c r="F4347">
        <v>1</v>
      </c>
    </row>
    <row r="4348" spans="1:6">
      <c r="A4348" t="s">
        <v>342</v>
      </c>
      <c r="B4348" t="s">
        <v>43</v>
      </c>
      <c r="C4348" s="3">
        <v>-2.40000000000001</v>
      </c>
      <c r="D4348">
        <v>1</v>
      </c>
      <c r="E4348">
        <v>1</v>
      </c>
      <c r="F4348">
        <v>1</v>
      </c>
    </row>
    <row r="4349" spans="1:6">
      <c r="A4349" t="s">
        <v>342</v>
      </c>
      <c r="B4349" t="s">
        <v>44</v>
      </c>
      <c r="C4349" s="3">
        <v>-0.299999999999997</v>
      </c>
      <c r="D4349">
        <v>1</v>
      </c>
      <c r="E4349">
        <v>1</v>
      </c>
      <c r="F4349">
        <v>1</v>
      </c>
    </row>
    <row r="4350" spans="1:6">
      <c r="A4350" t="s">
        <v>342</v>
      </c>
      <c r="B4350" t="s">
        <v>45</v>
      </c>
      <c r="C4350" s="3">
        <v>0</v>
      </c>
      <c r="D4350">
        <v>1</v>
      </c>
      <c r="E4350">
        <v>1</v>
      </c>
      <c r="F4350">
        <v>1</v>
      </c>
    </row>
    <row r="4351" spans="1:6">
      <c r="A4351" t="s">
        <v>342</v>
      </c>
      <c r="B4351" t="s">
        <v>396</v>
      </c>
      <c r="C4351" s="3">
        <v>9.15420484938166</v>
      </c>
      <c r="D4351">
        <v>1</v>
      </c>
      <c r="E4351">
        <v>1</v>
      </c>
      <c r="F4351">
        <v>1</v>
      </c>
    </row>
    <row r="4352" spans="1:6">
      <c r="A4352" t="s">
        <v>343</v>
      </c>
      <c r="B4352" t="s">
        <v>34</v>
      </c>
      <c r="C4352" s="3">
        <v>117.25</v>
      </c>
      <c r="D4352">
        <v>1</v>
      </c>
      <c r="E4352">
        <v>1</v>
      </c>
      <c r="F4352">
        <v>1</v>
      </c>
    </row>
    <row r="4353" spans="1:6">
      <c r="A4353" t="s">
        <v>343</v>
      </c>
      <c r="B4353" t="s">
        <v>35</v>
      </c>
      <c r="C4353" s="3">
        <v>6.3446</v>
      </c>
      <c r="D4353">
        <v>1</v>
      </c>
      <c r="E4353">
        <v>1</v>
      </c>
      <c r="F4353">
        <v>1</v>
      </c>
    </row>
    <row r="4354" spans="1:6">
      <c r="A4354" t="s">
        <v>343</v>
      </c>
      <c r="B4354" t="s">
        <v>36</v>
      </c>
      <c r="C4354" s="3">
        <v>743.90435</v>
      </c>
      <c r="D4354">
        <v>1</v>
      </c>
      <c r="E4354">
        <v>1</v>
      </c>
      <c r="F4354">
        <v>1</v>
      </c>
    </row>
    <row r="4355" spans="1:6">
      <c r="A4355" t="s">
        <v>343</v>
      </c>
      <c r="B4355" t="s">
        <v>40</v>
      </c>
      <c r="C4355" s="3">
        <v>130.9</v>
      </c>
      <c r="D4355">
        <v>1</v>
      </c>
      <c r="E4355">
        <v>1</v>
      </c>
      <c r="F4355">
        <v>1</v>
      </c>
    </row>
    <row r="4356" spans="1:6">
      <c r="A4356" t="s">
        <v>343</v>
      </c>
      <c r="B4356" t="s">
        <v>41</v>
      </c>
      <c r="C4356" s="3">
        <v>108.3</v>
      </c>
      <c r="D4356">
        <v>1</v>
      </c>
      <c r="E4356">
        <v>1</v>
      </c>
      <c r="F4356">
        <v>1</v>
      </c>
    </row>
    <row r="4357" spans="1:6">
      <c r="A4357" t="s">
        <v>343</v>
      </c>
      <c r="B4357" t="s">
        <v>42</v>
      </c>
      <c r="C4357" s="3">
        <v>101.5</v>
      </c>
      <c r="D4357">
        <v>1</v>
      </c>
      <c r="E4357">
        <v>1</v>
      </c>
      <c r="F4357">
        <v>1</v>
      </c>
    </row>
    <row r="4358" spans="1:6">
      <c r="A4358" t="s">
        <v>343</v>
      </c>
      <c r="B4358" t="s">
        <v>46</v>
      </c>
      <c r="C4358" s="3">
        <v>110.7</v>
      </c>
      <c r="D4358">
        <v>1</v>
      </c>
      <c r="E4358">
        <v>1</v>
      </c>
      <c r="F4358">
        <v>1</v>
      </c>
    </row>
    <row r="4359" spans="1:6">
      <c r="A4359" t="s">
        <v>343</v>
      </c>
      <c r="B4359" t="s">
        <v>392</v>
      </c>
      <c r="C4359" s="3">
        <v>42710930247</v>
      </c>
      <c r="D4359">
        <v>1</v>
      </c>
      <c r="E4359">
        <v>1</v>
      </c>
      <c r="F4359">
        <v>1</v>
      </c>
    </row>
    <row r="4360" spans="1:6">
      <c r="A4360" t="s">
        <v>343</v>
      </c>
      <c r="B4360" t="s">
        <v>393</v>
      </c>
      <c r="C4360" s="3">
        <v>198836942144</v>
      </c>
      <c r="D4360">
        <v>1</v>
      </c>
      <c r="E4360">
        <v>1</v>
      </c>
      <c r="F4360">
        <v>1</v>
      </c>
    </row>
    <row r="4361" spans="1:6">
      <c r="A4361" t="s">
        <v>343</v>
      </c>
      <c r="B4361" t="s">
        <v>394</v>
      </c>
      <c r="C4361" s="3">
        <v>4.65541117915516</v>
      </c>
      <c r="D4361">
        <v>1</v>
      </c>
      <c r="E4361">
        <v>1</v>
      </c>
      <c r="F4361">
        <v>1</v>
      </c>
    </row>
    <row r="4362" spans="1:6">
      <c r="A4362" t="s">
        <v>343</v>
      </c>
      <c r="B4362" t="s">
        <v>39</v>
      </c>
      <c r="C4362" s="3">
        <v>18.8415746683807</v>
      </c>
      <c r="D4362">
        <v>1</v>
      </c>
      <c r="E4362">
        <v>1</v>
      </c>
      <c r="F4362">
        <v>1</v>
      </c>
    </row>
    <row r="4363" spans="1:6">
      <c r="A4363" t="s">
        <v>343</v>
      </c>
      <c r="B4363" t="s">
        <v>43</v>
      </c>
      <c r="C4363" s="3">
        <v>3.30000000000001</v>
      </c>
      <c r="D4363">
        <v>1</v>
      </c>
      <c r="E4363">
        <v>1</v>
      </c>
      <c r="F4363">
        <v>1</v>
      </c>
    </row>
    <row r="4364" spans="1:6">
      <c r="A4364" t="s">
        <v>343</v>
      </c>
      <c r="B4364" t="s">
        <v>44</v>
      </c>
      <c r="C4364" s="3">
        <v>-0.5</v>
      </c>
      <c r="D4364">
        <v>1</v>
      </c>
      <c r="E4364">
        <v>1</v>
      </c>
      <c r="F4364">
        <v>1</v>
      </c>
    </row>
    <row r="4365" spans="1:6">
      <c r="A4365" t="s">
        <v>343</v>
      </c>
      <c r="B4365" t="s">
        <v>45</v>
      </c>
      <c r="C4365" s="3">
        <v>0.599999999999994</v>
      </c>
      <c r="D4365">
        <v>1</v>
      </c>
      <c r="E4365">
        <v>1</v>
      </c>
      <c r="F4365">
        <v>1</v>
      </c>
    </row>
    <row r="4366" spans="1:6">
      <c r="A4366" t="s">
        <v>343</v>
      </c>
      <c r="B4366" t="s">
        <v>396</v>
      </c>
      <c r="C4366" s="3">
        <v>12.2357141749796</v>
      </c>
      <c r="D4366">
        <v>1</v>
      </c>
      <c r="E4366">
        <v>1</v>
      </c>
      <c r="F4366">
        <v>1</v>
      </c>
    </row>
    <row r="4367" spans="1:6">
      <c r="A4367" t="s">
        <v>344</v>
      </c>
      <c r="B4367" t="s">
        <v>34</v>
      </c>
      <c r="C4367" s="3">
        <v>104.58</v>
      </c>
      <c r="D4367">
        <v>1</v>
      </c>
      <c r="E4367">
        <v>1</v>
      </c>
      <c r="F4367">
        <v>1</v>
      </c>
    </row>
    <row r="4368" spans="1:6">
      <c r="A4368" t="s">
        <v>344</v>
      </c>
      <c r="B4368" t="s">
        <v>35</v>
      </c>
      <c r="C4368" s="3">
        <v>6.431</v>
      </c>
      <c r="D4368">
        <v>1</v>
      </c>
      <c r="E4368">
        <v>1</v>
      </c>
      <c r="F4368">
        <v>1</v>
      </c>
    </row>
    <row r="4369" spans="1:6">
      <c r="A4369" t="s">
        <v>344</v>
      </c>
      <c r="B4369" t="s">
        <v>36</v>
      </c>
      <c r="C4369" s="3">
        <v>672.55398</v>
      </c>
      <c r="D4369">
        <v>1</v>
      </c>
      <c r="E4369">
        <v>1</v>
      </c>
      <c r="F4369">
        <v>1</v>
      </c>
    </row>
    <row r="4370" spans="1:6">
      <c r="A4370" t="s">
        <v>344</v>
      </c>
      <c r="B4370" t="s">
        <v>40</v>
      </c>
      <c r="C4370" s="3">
        <v>134.8</v>
      </c>
      <c r="D4370">
        <v>1</v>
      </c>
      <c r="E4370">
        <v>1</v>
      </c>
      <c r="F4370">
        <v>1</v>
      </c>
    </row>
    <row r="4371" spans="1:6">
      <c r="A4371" t="s">
        <v>344</v>
      </c>
      <c r="B4371" t="s">
        <v>41</v>
      </c>
      <c r="C4371" s="3">
        <v>108</v>
      </c>
      <c r="D4371">
        <v>1</v>
      </c>
      <c r="E4371">
        <v>1</v>
      </c>
      <c r="F4371">
        <v>1</v>
      </c>
    </row>
    <row r="4372" spans="1:6">
      <c r="A4372" t="s">
        <v>344</v>
      </c>
      <c r="B4372" t="s">
        <v>42</v>
      </c>
      <c r="C4372" s="3">
        <v>102.1</v>
      </c>
      <c r="D4372">
        <v>1</v>
      </c>
      <c r="E4372">
        <v>1</v>
      </c>
      <c r="F4372">
        <v>1</v>
      </c>
    </row>
    <row r="4373" spans="1:6">
      <c r="A4373" t="s">
        <v>344</v>
      </c>
      <c r="B4373" t="s">
        <v>46</v>
      </c>
      <c r="C4373" s="3">
        <v>110.8</v>
      </c>
      <c r="D4373">
        <v>1</v>
      </c>
      <c r="E4373">
        <v>1</v>
      </c>
      <c r="F4373">
        <v>1</v>
      </c>
    </row>
    <row r="4374" spans="1:6">
      <c r="A4374" t="s">
        <v>344</v>
      </c>
      <c r="B4374" t="s">
        <v>392</v>
      </c>
      <c r="C4374" s="3">
        <v>43020368833</v>
      </c>
      <c r="D4374">
        <v>1</v>
      </c>
      <c r="E4374">
        <v>1</v>
      </c>
      <c r="F4374">
        <v>1</v>
      </c>
    </row>
    <row r="4375" spans="1:6">
      <c r="A4375" t="s">
        <v>344</v>
      </c>
      <c r="B4375" t="s">
        <v>393</v>
      </c>
      <c r="C4375" s="3">
        <v>221707597907</v>
      </c>
      <c r="D4375">
        <v>1</v>
      </c>
      <c r="E4375">
        <v>1</v>
      </c>
      <c r="F4375">
        <v>1</v>
      </c>
    </row>
    <row r="4376" spans="1:6">
      <c r="A4376" t="s">
        <v>344</v>
      </c>
      <c r="B4376" t="s">
        <v>394</v>
      </c>
      <c r="C4376" s="3">
        <v>5.15354944462803</v>
      </c>
      <c r="D4376">
        <v>1</v>
      </c>
      <c r="E4376">
        <v>1</v>
      </c>
      <c r="F4376">
        <v>1</v>
      </c>
    </row>
    <row r="4377" spans="1:6">
      <c r="A4377" t="s">
        <v>344</v>
      </c>
      <c r="B4377" t="s">
        <v>39</v>
      </c>
      <c r="C4377" s="3">
        <v>-10.0830088827644</v>
      </c>
      <c r="D4377">
        <v>1</v>
      </c>
      <c r="E4377">
        <v>1</v>
      </c>
      <c r="F4377">
        <v>1</v>
      </c>
    </row>
    <row r="4378" spans="1:6">
      <c r="A4378" t="s">
        <v>344</v>
      </c>
      <c r="B4378" t="s">
        <v>43</v>
      </c>
      <c r="C4378" s="3">
        <v>3.90000000000001</v>
      </c>
      <c r="D4378">
        <v>1</v>
      </c>
      <c r="E4378">
        <v>1</v>
      </c>
      <c r="F4378">
        <v>1</v>
      </c>
    </row>
    <row r="4379" spans="1:6">
      <c r="A4379" t="s">
        <v>344</v>
      </c>
      <c r="B4379" t="s">
        <v>44</v>
      </c>
      <c r="C4379" s="3">
        <v>-0.299999999999997</v>
      </c>
      <c r="D4379">
        <v>1</v>
      </c>
      <c r="E4379">
        <v>1</v>
      </c>
      <c r="F4379">
        <v>1</v>
      </c>
    </row>
    <row r="4380" spans="1:6">
      <c r="A4380" t="s">
        <v>344</v>
      </c>
      <c r="B4380" t="s">
        <v>45</v>
      </c>
      <c r="C4380" s="3">
        <v>0.599999999999994</v>
      </c>
      <c r="D4380">
        <v>1</v>
      </c>
      <c r="E4380">
        <v>1</v>
      </c>
      <c r="F4380">
        <v>1</v>
      </c>
    </row>
    <row r="4381" spans="1:6">
      <c r="A4381" t="s">
        <v>344</v>
      </c>
      <c r="B4381" t="s">
        <v>396</v>
      </c>
      <c r="C4381" s="3">
        <v>10.1655452353194</v>
      </c>
      <c r="D4381">
        <v>1</v>
      </c>
      <c r="E4381">
        <v>1</v>
      </c>
      <c r="F4381">
        <v>1</v>
      </c>
    </row>
    <row r="4382" spans="1:6">
      <c r="A4382" t="s">
        <v>345</v>
      </c>
      <c r="B4382" t="s">
        <v>34</v>
      </c>
      <c r="C4382" s="3">
        <v>113.34</v>
      </c>
      <c r="D4382">
        <v>1</v>
      </c>
      <c r="E4382">
        <v>1</v>
      </c>
      <c r="F4382">
        <v>1</v>
      </c>
    </row>
    <row r="4383" spans="1:6">
      <c r="A4383" t="s">
        <v>345</v>
      </c>
      <c r="B4383" t="s">
        <v>35</v>
      </c>
      <c r="C4383" s="3">
        <v>6.699</v>
      </c>
      <c r="D4383">
        <v>1</v>
      </c>
      <c r="E4383">
        <v>1</v>
      </c>
      <c r="F4383">
        <v>1</v>
      </c>
    </row>
    <row r="4384" spans="1:6">
      <c r="A4384" t="s">
        <v>345</v>
      </c>
      <c r="B4384" t="s">
        <v>36</v>
      </c>
      <c r="C4384" s="3">
        <v>759.26466</v>
      </c>
      <c r="D4384">
        <v>1</v>
      </c>
      <c r="E4384">
        <v>1</v>
      </c>
      <c r="F4384">
        <v>1</v>
      </c>
    </row>
    <row r="4385" spans="1:6">
      <c r="A4385" t="s">
        <v>345</v>
      </c>
      <c r="B4385" t="s">
        <v>40</v>
      </c>
      <c r="C4385" s="3">
        <v>131.6</v>
      </c>
      <c r="D4385">
        <v>1</v>
      </c>
      <c r="E4385">
        <v>1</v>
      </c>
      <c r="F4385">
        <v>1</v>
      </c>
    </row>
    <row r="4386" spans="1:6">
      <c r="A4386" t="s">
        <v>345</v>
      </c>
      <c r="B4386" t="s">
        <v>41</v>
      </c>
      <c r="C4386" s="3">
        <v>106.4</v>
      </c>
      <c r="D4386">
        <v>1</v>
      </c>
      <c r="E4386">
        <v>1</v>
      </c>
      <c r="F4386">
        <v>1</v>
      </c>
    </row>
    <row r="4387" spans="1:6">
      <c r="A4387" t="s">
        <v>345</v>
      </c>
      <c r="B4387" t="s">
        <v>42</v>
      </c>
      <c r="C4387" s="3">
        <v>102.1</v>
      </c>
      <c r="D4387">
        <v>1</v>
      </c>
      <c r="E4387">
        <v>1</v>
      </c>
      <c r="F4387">
        <v>1</v>
      </c>
    </row>
    <row r="4388" spans="1:6">
      <c r="A4388" t="s">
        <v>345</v>
      </c>
      <c r="B4388" t="s">
        <v>46</v>
      </c>
      <c r="C4388" s="3">
        <v>109.1</v>
      </c>
      <c r="D4388">
        <v>1</v>
      </c>
      <c r="E4388">
        <v>1</v>
      </c>
      <c r="F4388">
        <v>1</v>
      </c>
    </row>
    <row r="4389" spans="1:6">
      <c r="A4389" t="s">
        <v>345</v>
      </c>
      <c r="B4389" t="s">
        <v>392</v>
      </c>
      <c r="C4389" s="3">
        <v>45809613238</v>
      </c>
      <c r="D4389">
        <v>1</v>
      </c>
      <c r="E4389">
        <v>1</v>
      </c>
      <c r="F4389">
        <v>1</v>
      </c>
    </row>
    <row r="4390" spans="1:6">
      <c r="A4390" t="s">
        <v>345</v>
      </c>
      <c r="B4390" t="s">
        <v>393</v>
      </c>
      <c r="C4390" s="3">
        <v>230040333572</v>
      </c>
      <c r="D4390">
        <v>1</v>
      </c>
      <c r="E4390">
        <v>1</v>
      </c>
      <c r="F4390">
        <v>1</v>
      </c>
    </row>
    <row r="4391" spans="1:6">
      <c r="A4391" t="s">
        <v>345</v>
      </c>
      <c r="B4391" t="s">
        <v>394</v>
      </c>
      <c r="C4391" s="3">
        <v>5.02166068019053</v>
      </c>
      <c r="D4391">
        <v>1</v>
      </c>
      <c r="E4391">
        <v>1</v>
      </c>
      <c r="F4391">
        <v>1</v>
      </c>
    </row>
    <row r="4392" spans="1:6">
      <c r="A4392" t="s">
        <v>345</v>
      </c>
      <c r="B4392" t="s">
        <v>39</v>
      </c>
      <c r="C4392" s="3">
        <v>12.1268036354893</v>
      </c>
      <c r="D4392">
        <v>1</v>
      </c>
      <c r="E4392">
        <v>1</v>
      </c>
      <c r="F4392">
        <v>1</v>
      </c>
    </row>
    <row r="4393" spans="1:6">
      <c r="A4393" t="s">
        <v>345</v>
      </c>
      <c r="B4393" t="s">
        <v>43</v>
      </c>
      <c r="C4393" s="3">
        <v>-3.20000000000002</v>
      </c>
      <c r="D4393">
        <v>1</v>
      </c>
      <c r="E4393">
        <v>1</v>
      </c>
      <c r="F4393">
        <v>1</v>
      </c>
    </row>
    <row r="4394" spans="1:6">
      <c r="A4394" t="s">
        <v>345</v>
      </c>
      <c r="B4394" t="s">
        <v>44</v>
      </c>
      <c r="C4394" s="3">
        <v>-1.59999999999999</v>
      </c>
      <c r="D4394">
        <v>1</v>
      </c>
      <c r="E4394">
        <v>1</v>
      </c>
      <c r="F4394">
        <v>1</v>
      </c>
    </row>
    <row r="4395" spans="1:6">
      <c r="A4395" t="s">
        <v>345</v>
      </c>
      <c r="B4395" t="s">
        <v>45</v>
      </c>
      <c r="C4395" s="3">
        <v>0</v>
      </c>
      <c r="D4395">
        <v>1</v>
      </c>
      <c r="E4395">
        <v>1</v>
      </c>
      <c r="F4395">
        <v>1</v>
      </c>
    </row>
    <row r="4396" spans="1:6">
      <c r="A4396" t="s">
        <v>345</v>
      </c>
      <c r="B4396" t="s">
        <v>396</v>
      </c>
      <c r="C4396" s="3">
        <v>-2.59249980427694</v>
      </c>
      <c r="D4396">
        <v>1</v>
      </c>
      <c r="E4396">
        <v>1</v>
      </c>
      <c r="F4396">
        <v>1</v>
      </c>
    </row>
    <row r="4397" spans="1:6">
      <c r="A4397" t="s">
        <v>346</v>
      </c>
      <c r="B4397" t="s">
        <v>34</v>
      </c>
      <c r="C4397" s="3">
        <v>122.71</v>
      </c>
      <c r="D4397">
        <v>1</v>
      </c>
      <c r="E4397">
        <v>1</v>
      </c>
      <c r="F4397">
        <v>1</v>
      </c>
    </row>
    <row r="4398" spans="1:6">
      <c r="A4398" t="s">
        <v>346</v>
      </c>
      <c r="B4398" t="s">
        <v>35</v>
      </c>
      <c r="C4398" s="3">
        <v>6.6952</v>
      </c>
      <c r="D4398">
        <v>1</v>
      </c>
      <c r="E4398">
        <v>1</v>
      </c>
      <c r="F4398">
        <v>1</v>
      </c>
    </row>
    <row r="4399" spans="1:6">
      <c r="A4399" t="s">
        <v>346</v>
      </c>
      <c r="B4399" t="s">
        <v>36</v>
      </c>
      <c r="C4399" s="3">
        <v>821.567992</v>
      </c>
      <c r="D4399">
        <v>1</v>
      </c>
      <c r="E4399">
        <v>1</v>
      </c>
      <c r="F4399">
        <v>1</v>
      </c>
    </row>
    <row r="4400" spans="1:6">
      <c r="A4400" t="s">
        <v>346</v>
      </c>
      <c r="B4400" t="s">
        <v>40</v>
      </c>
      <c r="C4400" s="3">
        <v>129.4</v>
      </c>
      <c r="D4400">
        <v>1</v>
      </c>
      <c r="E4400">
        <v>1</v>
      </c>
      <c r="F4400">
        <v>1</v>
      </c>
    </row>
    <row r="4401" spans="1:6">
      <c r="A4401" t="s">
        <v>346</v>
      </c>
      <c r="B4401" t="s">
        <v>41</v>
      </c>
      <c r="C4401" s="3">
        <v>106.1</v>
      </c>
      <c r="D4401">
        <v>1</v>
      </c>
      <c r="E4401">
        <v>1</v>
      </c>
      <c r="F4401">
        <v>1</v>
      </c>
    </row>
    <row r="4402" spans="1:6">
      <c r="A4402" t="s">
        <v>346</v>
      </c>
      <c r="B4402" t="s">
        <v>42</v>
      </c>
      <c r="C4402" s="3">
        <v>102.5</v>
      </c>
      <c r="D4402">
        <v>1</v>
      </c>
      <c r="E4402">
        <v>1</v>
      </c>
      <c r="F4402">
        <v>1</v>
      </c>
    </row>
    <row r="4403" spans="1:6">
      <c r="A4403" t="s">
        <v>346</v>
      </c>
      <c r="B4403" t="s">
        <v>46</v>
      </c>
      <c r="C4403" s="3">
        <v>108.5</v>
      </c>
      <c r="D4403">
        <v>1</v>
      </c>
      <c r="E4403">
        <v>1</v>
      </c>
      <c r="F4403">
        <v>1</v>
      </c>
    </row>
    <row r="4404" spans="1:6">
      <c r="A4404" t="s">
        <v>346</v>
      </c>
      <c r="B4404" t="s">
        <v>392</v>
      </c>
      <c r="C4404" s="3">
        <v>35801260643</v>
      </c>
      <c r="D4404">
        <v>1</v>
      </c>
      <c r="E4404">
        <v>1</v>
      </c>
      <c r="F4404">
        <v>1</v>
      </c>
    </row>
    <row r="4405" spans="1:6">
      <c r="A4405" t="s">
        <v>346</v>
      </c>
      <c r="B4405" t="s">
        <v>393</v>
      </c>
      <c r="C4405" s="3">
        <v>194599093492</v>
      </c>
      <c r="D4405">
        <v>1</v>
      </c>
      <c r="E4405">
        <v>1</v>
      </c>
      <c r="F4405">
        <v>1</v>
      </c>
    </row>
    <row r="4406" spans="1:6">
      <c r="A4406" t="s">
        <v>346</v>
      </c>
      <c r="B4406" t="s">
        <v>394</v>
      </c>
      <c r="C4406" s="3">
        <v>5.43553746423867</v>
      </c>
      <c r="D4406">
        <v>1</v>
      </c>
      <c r="E4406">
        <v>1</v>
      </c>
      <c r="F4406">
        <v>1</v>
      </c>
    </row>
    <row r="4407" spans="1:6">
      <c r="A4407" t="s">
        <v>346</v>
      </c>
      <c r="B4407" t="s">
        <v>39</v>
      </c>
      <c r="C4407" s="3">
        <v>7.88642874573797</v>
      </c>
      <c r="D4407">
        <v>1</v>
      </c>
      <c r="E4407">
        <v>1</v>
      </c>
      <c r="F4407">
        <v>1</v>
      </c>
    </row>
    <row r="4408" spans="1:6">
      <c r="A4408" t="s">
        <v>346</v>
      </c>
      <c r="B4408" t="s">
        <v>43</v>
      </c>
      <c r="C4408" s="3">
        <v>-2.19999999999999</v>
      </c>
      <c r="D4408">
        <v>1</v>
      </c>
      <c r="E4408">
        <v>1</v>
      </c>
      <c r="F4408">
        <v>1</v>
      </c>
    </row>
    <row r="4409" spans="1:6">
      <c r="A4409" t="s">
        <v>346</v>
      </c>
      <c r="B4409" t="s">
        <v>44</v>
      </c>
      <c r="C4409" s="3">
        <v>-0.300000000000011</v>
      </c>
      <c r="D4409">
        <v>1</v>
      </c>
      <c r="E4409">
        <v>1</v>
      </c>
      <c r="F4409">
        <v>1</v>
      </c>
    </row>
    <row r="4410" spans="1:6">
      <c r="A4410" t="s">
        <v>346</v>
      </c>
      <c r="B4410" t="s">
        <v>45</v>
      </c>
      <c r="C4410" s="3">
        <v>0.400000000000006</v>
      </c>
      <c r="D4410">
        <v>1</v>
      </c>
      <c r="E4410">
        <v>1</v>
      </c>
      <c r="F4410">
        <v>1</v>
      </c>
    </row>
    <row r="4411" spans="1:6">
      <c r="A4411" t="s">
        <v>346</v>
      </c>
      <c r="B4411" t="s">
        <v>396</v>
      </c>
      <c r="C4411" s="3">
        <v>7.91977133641592</v>
      </c>
      <c r="D4411">
        <v>1</v>
      </c>
      <c r="E4411">
        <v>1</v>
      </c>
      <c r="F4411">
        <v>1</v>
      </c>
    </row>
    <row r="4412" spans="1:6">
      <c r="A4412" t="s">
        <v>347</v>
      </c>
      <c r="B4412" t="s">
        <v>34</v>
      </c>
      <c r="C4412" s="3">
        <v>111.93</v>
      </c>
      <c r="D4412">
        <v>1</v>
      </c>
      <c r="E4412">
        <v>1</v>
      </c>
      <c r="F4412">
        <v>1</v>
      </c>
    </row>
    <row r="4413" spans="1:6">
      <c r="A4413" t="s">
        <v>347</v>
      </c>
      <c r="B4413" t="s">
        <v>35</v>
      </c>
      <c r="C4413" s="3">
        <v>6.7352</v>
      </c>
      <c r="D4413">
        <v>1</v>
      </c>
      <c r="E4413">
        <v>1</v>
      </c>
      <c r="F4413">
        <v>1</v>
      </c>
    </row>
    <row r="4414" spans="1:6">
      <c r="A4414" t="s">
        <v>347</v>
      </c>
      <c r="B4414" t="s">
        <v>36</v>
      </c>
      <c r="C4414" s="3">
        <v>753.870936</v>
      </c>
      <c r="D4414">
        <v>1</v>
      </c>
      <c r="E4414">
        <v>1</v>
      </c>
      <c r="F4414">
        <v>1</v>
      </c>
    </row>
    <row r="4415" spans="1:6">
      <c r="A4415" t="s">
        <v>347</v>
      </c>
      <c r="B4415" t="s">
        <v>40</v>
      </c>
      <c r="C4415" s="3">
        <v>125.1</v>
      </c>
      <c r="D4415">
        <v>1</v>
      </c>
      <c r="E4415">
        <v>1</v>
      </c>
      <c r="F4415">
        <v>1</v>
      </c>
    </row>
    <row r="4416" spans="1:6">
      <c r="A4416" t="s">
        <v>347</v>
      </c>
      <c r="B4416" t="s">
        <v>41</v>
      </c>
      <c r="C4416" s="3">
        <v>104.2</v>
      </c>
      <c r="D4416">
        <v>1</v>
      </c>
      <c r="E4416">
        <v>1</v>
      </c>
      <c r="F4416">
        <v>1</v>
      </c>
    </row>
    <row r="4417" spans="1:6">
      <c r="A4417" t="s">
        <v>347</v>
      </c>
      <c r="B4417" t="s">
        <v>42</v>
      </c>
      <c r="C4417" s="3">
        <v>102.7</v>
      </c>
      <c r="D4417">
        <v>1</v>
      </c>
      <c r="E4417">
        <v>1</v>
      </c>
      <c r="F4417">
        <v>1</v>
      </c>
    </row>
    <row r="4418" spans="1:6">
      <c r="A4418" t="s">
        <v>347</v>
      </c>
      <c r="B4418" t="s">
        <v>46</v>
      </c>
      <c r="C4418" s="3">
        <v>106.5</v>
      </c>
      <c r="D4418">
        <v>1</v>
      </c>
      <c r="E4418">
        <v>1</v>
      </c>
      <c r="F4418">
        <v>1</v>
      </c>
    </row>
    <row r="4419" spans="1:6">
      <c r="A4419" t="s">
        <v>347</v>
      </c>
      <c r="B4419" t="s">
        <v>392</v>
      </c>
      <c r="C4419" s="3">
        <v>37318463206</v>
      </c>
      <c r="D4419">
        <v>1</v>
      </c>
      <c r="E4419">
        <v>1</v>
      </c>
      <c r="F4419">
        <v>1</v>
      </c>
    </row>
    <row r="4420" spans="1:6">
      <c r="A4420" t="s">
        <v>347</v>
      </c>
      <c r="B4420" t="s">
        <v>393</v>
      </c>
      <c r="C4420" s="3">
        <v>204281937448</v>
      </c>
      <c r="D4420">
        <v>1</v>
      </c>
      <c r="E4420">
        <v>1</v>
      </c>
      <c r="F4420">
        <v>1</v>
      </c>
    </row>
    <row r="4421" spans="1:6">
      <c r="A4421" t="s">
        <v>347</v>
      </c>
      <c r="B4421" t="s">
        <v>394</v>
      </c>
      <c r="C4421" s="3">
        <v>5.47401794978406</v>
      </c>
      <c r="D4421">
        <v>1</v>
      </c>
      <c r="E4421">
        <v>1</v>
      </c>
      <c r="F4421">
        <v>1</v>
      </c>
    </row>
    <row r="4422" spans="1:6">
      <c r="A4422" t="s">
        <v>347</v>
      </c>
      <c r="B4422" t="s">
        <v>39</v>
      </c>
      <c r="C4422" s="3">
        <v>-8.59935187824902</v>
      </c>
      <c r="D4422">
        <v>1</v>
      </c>
      <c r="E4422">
        <v>1</v>
      </c>
      <c r="F4422">
        <v>1</v>
      </c>
    </row>
    <row r="4423" spans="1:6">
      <c r="A4423" t="s">
        <v>347</v>
      </c>
      <c r="B4423" t="s">
        <v>43</v>
      </c>
      <c r="C4423" s="3">
        <v>-4.30000000000001</v>
      </c>
      <c r="D4423">
        <v>1</v>
      </c>
      <c r="E4423">
        <v>1</v>
      </c>
      <c r="F4423">
        <v>1</v>
      </c>
    </row>
    <row r="4424" spans="1:6">
      <c r="A4424" t="s">
        <v>347</v>
      </c>
      <c r="B4424" t="s">
        <v>44</v>
      </c>
      <c r="C4424" s="3">
        <v>-1.89999999999999</v>
      </c>
      <c r="D4424">
        <v>1</v>
      </c>
      <c r="E4424">
        <v>1</v>
      </c>
      <c r="F4424">
        <v>1</v>
      </c>
    </row>
    <row r="4425" spans="1:6">
      <c r="A4425" t="s">
        <v>347</v>
      </c>
      <c r="B4425" t="s">
        <v>45</v>
      </c>
      <c r="C4425" s="3">
        <v>0.200000000000003</v>
      </c>
      <c r="D4425">
        <v>1</v>
      </c>
      <c r="E4425">
        <v>1</v>
      </c>
      <c r="F4425">
        <v>1</v>
      </c>
    </row>
    <row r="4426" spans="1:6">
      <c r="A4426" t="s">
        <v>347</v>
      </c>
      <c r="B4426" t="s">
        <v>396</v>
      </c>
      <c r="C4426" s="3">
        <v>0.705448456313576</v>
      </c>
      <c r="D4426">
        <v>1</v>
      </c>
      <c r="E4426">
        <v>1</v>
      </c>
      <c r="F4426">
        <v>1</v>
      </c>
    </row>
    <row r="4427" spans="1:6">
      <c r="A4427" t="s">
        <v>348</v>
      </c>
      <c r="B4427" t="s">
        <v>34</v>
      </c>
      <c r="C4427" s="3">
        <v>100.45</v>
      </c>
      <c r="D4427">
        <v>1</v>
      </c>
      <c r="E4427">
        <v>1</v>
      </c>
      <c r="F4427">
        <v>1</v>
      </c>
    </row>
    <row r="4428" spans="1:6">
      <c r="A4428" t="s">
        <v>348</v>
      </c>
      <c r="B4428" t="s">
        <v>35</v>
      </c>
      <c r="C4428" s="3">
        <v>6.8007</v>
      </c>
      <c r="D4428">
        <v>1</v>
      </c>
      <c r="E4428">
        <v>1</v>
      </c>
      <c r="F4428">
        <v>1</v>
      </c>
    </row>
    <row r="4429" spans="1:6">
      <c r="A4429" t="s">
        <v>348</v>
      </c>
      <c r="B4429" t="s">
        <v>36</v>
      </c>
      <c r="C4429" s="3">
        <v>683.130315</v>
      </c>
      <c r="D4429">
        <v>1</v>
      </c>
      <c r="E4429">
        <v>1</v>
      </c>
      <c r="F4429">
        <v>1</v>
      </c>
    </row>
    <row r="4430" spans="1:6">
      <c r="A4430" t="s">
        <v>348</v>
      </c>
      <c r="B4430" t="s">
        <v>40</v>
      </c>
      <c r="C4430" s="3">
        <v>119.5</v>
      </c>
      <c r="D4430">
        <v>1</v>
      </c>
      <c r="E4430">
        <v>1</v>
      </c>
      <c r="F4430">
        <v>1</v>
      </c>
    </row>
    <row r="4431" spans="1:6">
      <c r="A4431" t="s">
        <v>348</v>
      </c>
      <c r="B4431" t="s">
        <v>41</v>
      </c>
      <c r="C4431" s="3">
        <v>102.3</v>
      </c>
      <c r="D4431">
        <v>1</v>
      </c>
      <c r="E4431">
        <v>1</v>
      </c>
      <c r="F4431">
        <v>1</v>
      </c>
    </row>
    <row r="4432" spans="1:6">
      <c r="A4432" t="s">
        <v>348</v>
      </c>
      <c r="B4432" t="s">
        <v>42</v>
      </c>
      <c r="C4432" s="3">
        <v>102.5</v>
      </c>
      <c r="D4432">
        <v>1</v>
      </c>
      <c r="E4432">
        <v>1</v>
      </c>
      <c r="F4432">
        <v>1</v>
      </c>
    </row>
    <row r="4433" spans="1:6">
      <c r="A4433" t="s">
        <v>348</v>
      </c>
      <c r="B4433" t="s">
        <v>46</v>
      </c>
      <c r="C4433" s="3">
        <v>104.2</v>
      </c>
      <c r="D4433">
        <v>1</v>
      </c>
      <c r="E4433">
        <v>1</v>
      </c>
      <c r="F4433">
        <v>1</v>
      </c>
    </row>
    <row r="4434" spans="1:6">
      <c r="A4434" t="s">
        <v>348</v>
      </c>
      <c r="B4434" t="s">
        <v>392</v>
      </c>
      <c r="C4434" s="3">
        <v>40335895740</v>
      </c>
      <c r="D4434">
        <v>1</v>
      </c>
      <c r="E4434">
        <v>1</v>
      </c>
      <c r="F4434">
        <v>1</v>
      </c>
    </row>
    <row r="4435" spans="1:6">
      <c r="A4435" t="s">
        <v>348</v>
      </c>
      <c r="B4435" t="s">
        <v>393</v>
      </c>
      <c r="C4435" s="3">
        <v>207504635425</v>
      </c>
      <c r="D4435">
        <v>1</v>
      </c>
      <c r="E4435">
        <v>1</v>
      </c>
      <c r="F4435">
        <v>1</v>
      </c>
    </row>
    <row r="4436" spans="1:6">
      <c r="A4436" t="s">
        <v>348</v>
      </c>
      <c r="B4436" t="s">
        <v>394</v>
      </c>
      <c r="C4436" s="3">
        <v>5.1444161984786</v>
      </c>
      <c r="D4436">
        <v>1</v>
      </c>
      <c r="E4436">
        <v>1</v>
      </c>
      <c r="F4436">
        <v>1</v>
      </c>
    </row>
    <row r="4437" spans="1:6">
      <c r="A4437" t="s">
        <v>348</v>
      </c>
      <c r="B4437" t="s">
        <v>39</v>
      </c>
      <c r="C4437" s="3">
        <v>-9.85355416210977</v>
      </c>
      <c r="D4437">
        <v>1</v>
      </c>
      <c r="E4437">
        <v>1</v>
      </c>
      <c r="F4437">
        <v>1</v>
      </c>
    </row>
    <row r="4438" spans="1:6">
      <c r="A4438" t="s">
        <v>348</v>
      </c>
      <c r="B4438" t="s">
        <v>43</v>
      </c>
      <c r="C4438" s="3">
        <v>-5.59999999999999</v>
      </c>
      <c r="D4438">
        <v>1</v>
      </c>
      <c r="E4438">
        <v>1</v>
      </c>
      <c r="F4438">
        <v>1</v>
      </c>
    </row>
    <row r="4439" spans="1:6">
      <c r="A4439" t="s">
        <v>348</v>
      </c>
      <c r="B4439" t="s">
        <v>44</v>
      </c>
      <c r="C4439" s="3">
        <v>-1.90000000000001</v>
      </c>
      <c r="D4439">
        <v>1</v>
      </c>
      <c r="E4439">
        <v>1</v>
      </c>
      <c r="F4439">
        <v>1</v>
      </c>
    </row>
    <row r="4440" spans="1:6">
      <c r="A4440" t="s">
        <v>348</v>
      </c>
      <c r="B4440" t="s">
        <v>45</v>
      </c>
      <c r="C4440" s="3">
        <v>-0.200000000000003</v>
      </c>
      <c r="D4440">
        <v>1</v>
      </c>
      <c r="E4440">
        <v>1</v>
      </c>
      <c r="F4440">
        <v>1</v>
      </c>
    </row>
    <row r="4441" spans="1:6">
      <c r="A4441" t="s">
        <v>348</v>
      </c>
      <c r="B4441" t="s">
        <v>396</v>
      </c>
      <c r="C4441" s="3">
        <v>-6.2100996547023</v>
      </c>
      <c r="D4441">
        <v>1</v>
      </c>
      <c r="E4441">
        <v>1</v>
      </c>
      <c r="F4441">
        <v>1</v>
      </c>
    </row>
    <row r="4442" spans="1:6">
      <c r="A4442" t="s">
        <v>349</v>
      </c>
      <c r="B4442" t="s">
        <v>34</v>
      </c>
      <c r="C4442" s="3">
        <v>89.76</v>
      </c>
      <c r="D4442">
        <v>1</v>
      </c>
      <c r="E4442">
        <v>1</v>
      </c>
      <c r="F4442">
        <v>1</v>
      </c>
    </row>
    <row r="4443" spans="1:6">
      <c r="A4443" t="s">
        <v>349</v>
      </c>
      <c r="B4443" t="s">
        <v>35</v>
      </c>
      <c r="C4443" s="3">
        <v>7.0195</v>
      </c>
      <c r="D4443">
        <v>1</v>
      </c>
      <c r="E4443">
        <v>1</v>
      </c>
      <c r="F4443">
        <v>1</v>
      </c>
    </row>
    <row r="4444" spans="1:6">
      <c r="A4444" t="s">
        <v>349</v>
      </c>
      <c r="B4444" t="s">
        <v>36</v>
      </c>
      <c r="C4444" s="3">
        <v>630.07032</v>
      </c>
      <c r="D4444">
        <v>1</v>
      </c>
      <c r="E4444">
        <v>1</v>
      </c>
      <c r="F4444">
        <v>1</v>
      </c>
    </row>
    <row r="4445" spans="1:6">
      <c r="A4445" t="s">
        <v>349</v>
      </c>
      <c r="B4445" t="s">
        <v>40</v>
      </c>
      <c r="C4445" s="3">
        <v>114.3</v>
      </c>
      <c r="D4445">
        <v>1</v>
      </c>
      <c r="E4445">
        <v>1</v>
      </c>
      <c r="F4445">
        <v>1</v>
      </c>
    </row>
    <row r="4446" spans="1:6">
      <c r="A4446" t="s">
        <v>349</v>
      </c>
      <c r="B4446" t="s">
        <v>41</v>
      </c>
      <c r="C4446" s="3">
        <v>100.9</v>
      </c>
      <c r="D4446">
        <v>1</v>
      </c>
      <c r="E4446">
        <v>1</v>
      </c>
      <c r="F4446">
        <v>1</v>
      </c>
    </row>
    <row r="4447" spans="1:6">
      <c r="A4447" t="s">
        <v>349</v>
      </c>
      <c r="B4447" t="s">
        <v>42</v>
      </c>
      <c r="C4447" s="3">
        <v>102.8</v>
      </c>
      <c r="D4447">
        <v>1</v>
      </c>
      <c r="E4447">
        <v>1</v>
      </c>
      <c r="F4447">
        <v>1</v>
      </c>
    </row>
    <row r="4448" spans="1:6">
      <c r="A4448" t="s">
        <v>349</v>
      </c>
      <c r="B4448" t="s">
        <v>46</v>
      </c>
      <c r="C4448" s="3">
        <v>102.6</v>
      </c>
      <c r="D4448">
        <v>1</v>
      </c>
      <c r="E4448">
        <v>1</v>
      </c>
      <c r="F4448">
        <v>1</v>
      </c>
    </row>
    <row r="4449" spans="1:6">
      <c r="A4449" t="s">
        <v>349</v>
      </c>
      <c r="B4449" t="s">
        <v>392</v>
      </c>
      <c r="C4449" s="3">
        <v>40233599136</v>
      </c>
      <c r="D4449">
        <v>1</v>
      </c>
      <c r="E4449">
        <v>1</v>
      </c>
      <c r="F4449">
        <v>1</v>
      </c>
    </row>
    <row r="4450" spans="1:6">
      <c r="A4450" t="s">
        <v>349</v>
      </c>
      <c r="B4450" t="s">
        <v>393</v>
      </c>
      <c r="C4450" s="3">
        <v>196749420409</v>
      </c>
      <c r="D4450">
        <v>1</v>
      </c>
      <c r="E4450">
        <v>1</v>
      </c>
      <c r="F4450">
        <v>1</v>
      </c>
    </row>
    <row r="4451" spans="1:6">
      <c r="A4451" t="s">
        <v>349</v>
      </c>
      <c r="B4451" t="s">
        <v>394</v>
      </c>
      <c r="C4451" s="3">
        <v>4.89017698227633</v>
      </c>
      <c r="D4451">
        <v>1</v>
      </c>
      <c r="E4451">
        <v>1</v>
      </c>
      <c r="F4451">
        <v>1</v>
      </c>
    </row>
    <row r="4452" spans="1:6">
      <c r="A4452" t="s">
        <v>349</v>
      </c>
      <c r="B4452" t="s">
        <v>39</v>
      </c>
      <c r="C4452" s="3">
        <v>-8.08542071171406</v>
      </c>
      <c r="D4452">
        <v>1</v>
      </c>
      <c r="E4452">
        <v>1</v>
      </c>
      <c r="F4452">
        <v>1</v>
      </c>
    </row>
    <row r="4453" spans="1:6">
      <c r="A4453" t="s">
        <v>349</v>
      </c>
      <c r="B4453" t="s">
        <v>43</v>
      </c>
      <c r="C4453" s="3">
        <v>-5.2</v>
      </c>
      <c r="D4453">
        <v>1</v>
      </c>
      <c r="E4453">
        <v>1</v>
      </c>
      <c r="F4453">
        <v>1</v>
      </c>
    </row>
    <row r="4454" spans="1:6">
      <c r="A4454" t="s">
        <v>349</v>
      </c>
      <c r="B4454" t="s">
        <v>44</v>
      </c>
      <c r="C4454" s="3">
        <v>-1.39999999999999</v>
      </c>
      <c r="D4454">
        <v>1</v>
      </c>
      <c r="E4454">
        <v>1</v>
      </c>
      <c r="F4454">
        <v>1</v>
      </c>
    </row>
    <row r="4455" spans="1:6">
      <c r="A4455" t="s">
        <v>349</v>
      </c>
      <c r="B4455" t="s">
        <v>45</v>
      </c>
      <c r="C4455" s="3">
        <v>0.299999999999997</v>
      </c>
      <c r="D4455">
        <v>1</v>
      </c>
      <c r="E4455">
        <v>1</v>
      </c>
      <c r="F4455">
        <v>1</v>
      </c>
    </row>
    <row r="4456" spans="1:6">
      <c r="A4456" t="s">
        <v>349</v>
      </c>
      <c r="B4456" t="s">
        <v>396</v>
      </c>
      <c r="C4456" s="3">
        <v>-5.06833976379952</v>
      </c>
      <c r="D4456">
        <v>1</v>
      </c>
      <c r="E4456">
        <v>1</v>
      </c>
      <c r="F4456">
        <v>1</v>
      </c>
    </row>
    <row r="4457" spans="1:6">
      <c r="A4457" t="s">
        <v>350</v>
      </c>
      <c r="B4457" t="s">
        <v>34</v>
      </c>
      <c r="C4457" s="3">
        <v>93.33</v>
      </c>
      <c r="D4457">
        <v>1</v>
      </c>
      <c r="E4457">
        <v>1</v>
      </c>
      <c r="F4457">
        <v>1</v>
      </c>
    </row>
    <row r="4458" spans="1:6">
      <c r="A4458" t="s">
        <v>350</v>
      </c>
      <c r="B4458" t="s">
        <v>35</v>
      </c>
      <c r="C4458" s="3">
        <v>7.1902</v>
      </c>
      <c r="D4458">
        <v>1</v>
      </c>
      <c r="E4458">
        <v>1</v>
      </c>
      <c r="F4458">
        <v>1</v>
      </c>
    </row>
    <row r="4459" spans="1:6">
      <c r="A4459" t="s">
        <v>350</v>
      </c>
      <c r="B4459" t="s">
        <v>36</v>
      </c>
      <c r="C4459" s="3">
        <v>671.061366</v>
      </c>
      <c r="D4459">
        <v>1</v>
      </c>
      <c r="E4459">
        <v>1</v>
      </c>
      <c r="F4459">
        <v>1</v>
      </c>
    </row>
    <row r="4460" spans="1:6">
      <c r="A4460" t="s">
        <v>350</v>
      </c>
      <c r="B4460" t="s">
        <v>40</v>
      </c>
      <c r="C4460" s="3">
        <v>107.3</v>
      </c>
      <c r="D4460">
        <v>1</v>
      </c>
      <c r="E4460">
        <v>1</v>
      </c>
      <c r="F4460">
        <v>1</v>
      </c>
    </row>
    <row r="4461" spans="1:6">
      <c r="A4461" t="s">
        <v>350</v>
      </c>
      <c r="B4461" t="s">
        <v>41</v>
      </c>
      <c r="C4461" s="3">
        <v>98.7</v>
      </c>
      <c r="D4461">
        <v>1</v>
      </c>
      <c r="E4461">
        <v>1</v>
      </c>
      <c r="F4461">
        <v>1</v>
      </c>
    </row>
    <row r="4462" spans="1:6">
      <c r="A4462" t="s">
        <v>350</v>
      </c>
      <c r="B4462" t="s">
        <v>42</v>
      </c>
      <c r="C4462" s="3">
        <v>102.1</v>
      </c>
      <c r="D4462">
        <v>1</v>
      </c>
      <c r="E4462">
        <v>1</v>
      </c>
      <c r="F4462">
        <v>1</v>
      </c>
    </row>
    <row r="4463" spans="1:6">
      <c r="A4463" t="s">
        <v>350</v>
      </c>
      <c r="B4463" t="s">
        <v>46</v>
      </c>
      <c r="C4463" s="3">
        <v>100.3</v>
      </c>
      <c r="D4463">
        <v>1</v>
      </c>
      <c r="E4463">
        <v>1</v>
      </c>
      <c r="F4463">
        <v>1</v>
      </c>
    </row>
    <row r="4464" spans="1:6">
      <c r="A4464" t="s">
        <v>350</v>
      </c>
      <c r="B4464" t="s">
        <v>392</v>
      </c>
      <c r="C4464" s="3">
        <v>43119759464</v>
      </c>
      <c r="D4464">
        <v>1</v>
      </c>
      <c r="E4464">
        <v>1</v>
      </c>
      <c r="F4464">
        <v>1</v>
      </c>
    </row>
    <row r="4465" spans="1:6">
      <c r="A4465" t="s">
        <v>350</v>
      </c>
      <c r="B4465" t="s">
        <v>393</v>
      </c>
      <c r="C4465" s="3">
        <v>208843844626</v>
      </c>
      <c r="D4465">
        <v>1</v>
      </c>
      <c r="E4465">
        <v>1</v>
      </c>
      <c r="F4465">
        <v>1</v>
      </c>
    </row>
    <row r="4466" spans="1:6">
      <c r="A4466" t="s">
        <v>350</v>
      </c>
      <c r="B4466" t="s">
        <v>394</v>
      </c>
      <c r="C4466" s="3">
        <v>4.8433443790511</v>
      </c>
      <c r="D4466">
        <v>1</v>
      </c>
      <c r="E4466">
        <v>1</v>
      </c>
      <c r="F4466">
        <v>1</v>
      </c>
    </row>
    <row r="4467" spans="1:6">
      <c r="A4467" t="s">
        <v>350</v>
      </c>
      <c r="B4467" t="s">
        <v>39</v>
      </c>
      <c r="C4467" s="3">
        <v>6.30291551311692</v>
      </c>
      <c r="D4467">
        <v>1</v>
      </c>
      <c r="E4467">
        <v>1</v>
      </c>
      <c r="F4467">
        <v>1</v>
      </c>
    </row>
    <row r="4468" spans="1:6">
      <c r="A4468" t="s">
        <v>350</v>
      </c>
      <c r="B4468" t="s">
        <v>43</v>
      </c>
      <c r="C4468" s="3">
        <v>-7</v>
      </c>
      <c r="D4468">
        <v>1</v>
      </c>
      <c r="E4468">
        <v>1</v>
      </c>
      <c r="F4468">
        <v>1</v>
      </c>
    </row>
    <row r="4469" spans="1:6">
      <c r="A4469" t="s">
        <v>350</v>
      </c>
      <c r="B4469" t="s">
        <v>44</v>
      </c>
      <c r="C4469" s="3">
        <v>-2.2</v>
      </c>
      <c r="D4469">
        <v>1</v>
      </c>
      <c r="E4469">
        <v>1</v>
      </c>
      <c r="F4469">
        <v>1</v>
      </c>
    </row>
    <row r="4470" spans="1:6">
      <c r="A4470" t="s">
        <v>350</v>
      </c>
      <c r="B4470" t="s">
        <v>45</v>
      </c>
      <c r="C4470" s="3">
        <v>-0.700000000000003</v>
      </c>
      <c r="D4470">
        <v>1</v>
      </c>
      <c r="E4470">
        <v>1</v>
      </c>
      <c r="F4470">
        <v>1</v>
      </c>
    </row>
    <row r="4471" spans="1:6">
      <c r="A4471" t="s">
        <v>350</v>
      </c>
      <c r="B4471" t="s">
        <v>396</v>
      </c>
      <c r="C4471" s="3">
        <v>-0.96230260124754</v>
      </c>
      <c r="D4471">
        <v>1</v>
      </c>
      <c r="E4471">
        <v>1</v>
      </c>
      <c r="F4471">
        <v>1</v>
      </c>
    </row>
    <row r="4472" spans="1:6">
      <c r="A4472" t="s">
        <v>351</v>
      </c>
      <c r="B4472" t="s">
        <v>34</v>
      </c>
      <c r="C4472" s="3">
        <v>91.42</v>
      </c>
      <c r="D4472">
        <v>1</v>
      </c>
      <c r="E4472">
        <v>1</v>
      </c>
      <c r="F4472">
        <v>1</v>
      </c>
    </row>
    <row r="4473" spans="1:6">
      <c r="A4473" t="s">
        <v>351</v>
      </c>
      <c r="B4473" t="s">
        <v>35</v>
      </c>
      <c r="C4473" s="3">
        <v>7.1812</v>
      </c>
      <c r="D4473">
        <v>1</v>
      </c>
      <c r="E4473">
        <v>1</v>
      </c>
      <c r="F4473">
        <v>1</v>
      </c>
    </row>
    <row r="4474" spans="1:6">
      <c r="A4474" t="s">
        <v>351</v>
      </c>
      <c r="B4474" t="s">
        <v>36</v>
      </c>
      <c r="C4474" s="3">
        <v>656.505304</v>
      </c>
      <c r="D4474">
        <v>1</v>
      </c>
      <c r="E4474">
        <v>1</v>
      </c>
      <c r="F4474">
        <v>1</v>
      </c>
    </row>
    <row r="4475" spans="1:6">
      <c r="A4475" t="s">
        <v>351</v>
      </c>
      <c r="B4475" t="s">
        <v>40</v>
      </c>
      <c r="C4475" s="3">
        <v>104.3</v>
      </c>
      <c r="D4475">
        <v>1</v>
      </c>
      <c r="E4475">
        <v>1</v>
      </c>
      <c r="F4475">
        <v>1</v>
      </c>
    </row>
    <row r="4476" spans="1:6">
      <c r="A4476" t="s">
        <v>351</v>
      </c>
      <c r="B4476" t="s">
        <v>41</v>
      </c>
      <c r="C4476" s="3">
        <v>98.7</v>
      </c>
      <c r="D4476">
        <v>1</v>
      </c>
      <c r="E4476">
        <v>1</v>
      </c>
      <c r="F4476">
        <v>1</v>
      </c>
    </row>
    <row r="4477" spans="1:6">
      <c r="A4477" t="s">
        <v>351</v>
      </c>
      <c r="B4477" t="s">
        <v>42</v>
      </c>
      <c r="C4477" s="3">
        <v>101.6</v>
      </c>
      <c r="D4477">
        <v>1</v>
      </c>
      <c r="E4477">
        <v>1</v>
      </c>
      <c r="F4477">
        <v>1</v>
      </c>
    </row>
    <row r="4478" spans="1:6">
      <c r="A4478" t="s">
        <v>351</v>
      </c>
      <c r="B4478" t="s">
        <v>46</v>
      </c>
      <c r="C4478" s="3">
        <v>99.4</v>
      </c>
      <c r="D4478">
        <v>1</v>
      </c>
      <c r="E4478">
        <v>1</v>
      </c>
      <c r="F4478">
        <v>1</v>
      </c>
    </row>
    <row r="4479" spans="1:6">
      <c r="A4479" t="s">
        <v>351</v>
      </c>
      <c r="B4479" t="s">
        <v>392</v>
      </c>
      <c r="C4479" s="3">
        <v>46691449945</v>
      </c>
      <c r="D4479">
        <v>1</v>
      </c>
      <c r="E4479">
        <v>1</v>
      </c>
      <c r="F4479">
        <v>1</v>
      </c>
    </row>
    <row r="4480" spans="1:6">
      <c r="A4480" t="s">
        <v>351</v>
      </c>
      <c r="B4480" t="s">
        <v>393</v>
      </c>
      <c r="C4480" s="3">
        <v>224015252835</v>
      </c>
      <c r="D4480">
        <v>1</v>
      </c>
      <c r="E4480">
        <v>1</v>
      </c>
      <c r="F4480">
        <v>1</v>
      </c>
    </row>
    <row r="4481" spans="1:6">
      <c r="A4481" t="s">
        <v>351</v>
      </c>
      <c r="B4481" t="s">
        <v>394</v>
      </c>
      <c r="C4481" s="3">
        <v>4.79777888883035</v>
      </c>
      <c r="D4481">
        <v>1</v>
      </c>
      <c r="E4481">
        <v>1</v>
      </c>
      <c r="F4481">
        <v>1</v>
      </c>
    </row>
    <row r="4482" spans="1:6">
      <c r="A4482" t="s">
        <v>351</v>
      </c>
      <c r="B4482" t="s">
        <v>39</v>
      </c>
      <c r="C4482" s="3">
        <v>-2.19298144172893</v>
      </c>
      <c r="D4482">
        <v>1</v>
      </c>
      <c r="E4482">
        <v>1</v>
      </c>
      <c r="F4482">
        <v>1</v>
      </c>
    </row>
    <row r="4483" spans="1:6">
      <c r="A4483" t="s">
        <v>351</v>
      </c>
      <c r="B4483" t="s">
        <v>43</v>
      </c>
      <c r="C4483" s="3">
        <v>-3</v>
      </c>
      <c r="D4483">
        <v>1</v>
      </c>
      <c r="E4483">
        <v>1</v>
      </c>
      <c r="F4483">
        <v>1</v>
      </c>
    </row>
    <row r="4484" spans="1:6">
      <c r="A4484" t="s">
        <v>351</v>
      </c>
      <c r="B4484" t="s">
        <v>44</v>
      </c>
      <c r="C4484" s="3">
        <v>0</v>
      </c>
      <c r="D4484">
        <v>1</v>
      </c>
      <c r="E4484">
        <v>1</v>
      </c>
      <c r="F4484">
        <v>1</v>
      </c>
    </row>
    <row r="4485" spans="1:6">
      <c r="A4485" t="s">
        <v>351</v>
      </c>
      <c r="B4485" t="s">
        <v>45</v>
      </c>
      <c r="C4485" s="3">
        <v>-0.5</v>
      </c>
      <c r="D4485">
        <v>1</v>
      </c>
      <c r="E4485">
        <v>1</v>
      </c>
      <c r="F4485">
        <v>1</v>
      </c>
    </row>
    <row r="4486" spans="1:6">
      <c r="A4486" t="s">
        <v>351</v>
      </c>
      <c r="B4486" t="s">
        <v>396</v>
      </c>
      <c r="C4486" s="3">
        <v>-0.945239018699902</v>
      </c>
      <c r="D4486">
        <v>1</v>
      </c>
      <c r="E4486">
        <v>1</v>
      </c>
      <c r="F4486">
        <v>1</v>
      </c>
    </row>
    <row r="4487" spans="1:6">
      <c r="A4487" t="s">
        <v>352</v>
      </c>
      <c r="B4487" t="s">
        <v>34</v>
      </c>
      <c r="C4487" s="3">
        <v>80.92</v>
      </c>
      <c r="D4487">
        <v>1</v>
      </c>
      <c r="E4487">
        <v>1</v>
      </c>
      <c r="F4487">
        <v>1</v>
      </c>
    </row>
    <row r="4488" spans="1:6">
      <c r="A4488" t="s">
        <v>352</v>
      </c>
      <c r="B4488" t="s">
        <v>35</v>
      </c>
      <c r="C4488" s="3">
        <v>6.9717</v>
      </c>
      <c r="D4488">
        <v>1</v>
      </c>
      <c r="E4488">
        <v>1</v>
      </c>
      <c r="F4488">
        <v>1</v>
      </c>
    </row>
    <row r="4489" spans="1:6">
      <c r="A4489" t="s">
        <v>352</v>
      </c>
      <c r="B4489" t="s">
        <v>36</v>
      </c>
      <c r="C4489" s="3">
        <v>564.149964</v>
      </c>
      <c r="D4489">
        <v>1</v>
      </c>
      <c r="E4489">
        <v>1</v>
      </c>
      <c r="F4489">
        <v>1</v>
      </c>
    </row>
    <row r="4490" spans="1:6">
      <c r="A4490" t="s">
        <v>352</v>
      </c>
      <c r="B4490" t="s">
        <v>40</v>
      </c>
      <c r="C4490" s="3">
        <v>107.6</v>
      </c>
      <c r="D4490">
        <v>1</v>
      </c>
      <c r="E4490">
        <v>1</v>
      </c>
      <c r="F4490">
        <v>1</v>
      </c>
    </row>
    <row r="4491" spans="1:6">
      <c r="A4491" t="s">
        <v>352</v>
      </c>
      <c r="B4491" t="s">
        <v>41</v>
      </c>
      <c r="C4491" s="3">
        <v>99.3</v>
      </c>
      <c r="D4491">
        <v>1</v>
      </c>
      <c r="E4491">
        <v>1</v>
      </c>
      <c r="F4491">
        <v>1</v>
      </c>
    </row>
    <row r="4492" spans="1:6">
      <c r="A4492" t="s">
        <v>352</v>
      </c>
      <c r="B4492" t="s">
        <v>42</v>
      </c>
      <c r="C4492" s="3">
        <v>101.8</v>
      </c>
      <c r="D4492">
        <v>1</v>
      </c>
      <c r="E4492">
        <v>1</v>
      </c>
      <c r="F4492">
        <v>1</v>
      </c>
    </row>
    <row r="4493" spans="1:6">
      <c r="A4493" t="s">
        <v>352</v>
      </c>
      <c r="B4493" t="s">
        <v>46</v>
      </c>
      <c r="C4493" s="3">
        <v>100.3</v>
      </c>
      <c r="D4493">
        <v>1</v>
      </c>
      <c r="E4493">
        <v>1</v>
      </c>
      <c r="F4493">
        <v>1</v>
      </c>
    </row>
    <row r="4494" spans="1:6">
      <c r="A4494" t="s">
        <v>352</v>
      </c>
      <c r="B4494" t="s">
        <v>392</v>
      </c>
      <c r="C4494" s="3">
        <v>48060205441</v>
      </c>
      <c r="D4494">
        <v>1</v>
      </c>
      <c r="E4494">
        <v>1</v>
      </c>
      <c r="F4494">
        <v>1</v>
      </c>
    </row>
    <row r="4495" spans="1:6">
      <c r="A4495" t="s">
        <v>352</v>
      </c>
      <c r="B4495" t="s">
        <v>393</v>
      </c>
      <c r="C4495" s="3">
        <v>217251601556</v>
      </c>
      <c r="D4495">
        <v>1</v>
      </c>
      <c r="E4495">
        <v>1</v>
      </c>
      <c r="F4495">
        <v>1</v>
      </c>
    </row>
    <row r="4496" spans="1:6">
      <c r="A4496" t="s">
        <v>352</v>
      </c>
      <c r="B4496" t="s">
        <v>394</v>
      </c>
      <c r="C4496" s="3">
        <v>4.52040517851518</v>
      </c>
      <c r="D4496">
        <v>1</v>
      </c>
      <c r="E4496">
        <v>1</v>
      </c>
      <c r="F4496">
        <v>1</v>
      </c>
    </row>
    <row r="4497" spans="1:6">
      <c r="A4497" t="s">
        <v>352</v>
      </c>
      <c r="B4497" t="s">
        <v>39</v>
      </c>
      <c r="C4497" s="3">
        <v>-15.1610663146498</v>
      </c>
      <c r="D4497">
        <v>1</v>
      </c>
      <c r="E4497">
        <v>1</v>
      </c>
      <c r="F4497">
        <v>1</v>
      </c>
    </row>
    <row r="4498" spans="1:6">
      <c r="A4498" t="s">
        <v>352</v>
      </c>
      <c r="B4498" t="s">
        <v>43</v>
      </c>
      <c r="C4498" s="3">
        <v>3.3</v>
      </c>
      <c r="D4498">
        <v>1</v>
      </c>
      <c r="E4498">
        <v>1</v>
      </c>
      <c r="F4498">
        <v>1</v>
      </c>
    </row>
    <row r="4499" spans="1:6">
      <c r="A4499" t="s">
        <v>352</v>
      </c>
      <c r="B4499" t="s">
        <v>44</v>
      </c>
      <c r="C4499" s="3">
        <v>0.599999999999994</v>
      </c>
      <c r="D4499">
        <v>1</v>
      </c>
      <c r="E4499">
        <v>1</v>
      </c>
      <c r="F4499">
        <v>1</v>
      </c>
    </row>
    <row r="4500" spans="1:6">
      <c r="A4500" t="s">
        <v>352</v>
      </c>
      <c r="B4500" t="s">
        <v>45</v>
      </c>
      <c r="C4500" s="3">
        <v>0.200000000000003</v>
      </c>
      <c r="D4500">
        <v>1</v>
      </c>
      <c r="E4500">
        <v>1</v>
      </c>
      <c r="F4500">
        <v>1</v>
      </c>
    </row>
    <row r="4501" spans="1:6">
      <c r="A4501" t="s">
        <v>352</v>
      </c>
      <c r="B4501" t="s">
        <v>396</v>
      </c>
      <c r="C4501" s="3">
        <v>-5.95514482358894</v>
      </c>
      <c r="D4501">
        <v>1</v>
      </c>
      <c r="E4501">
        <v>1</v>
      </c>
      <c r="F4501">
        <v>1</v>
      </c>
    </row>
    <row r="4502" spans="1:6">
      <c r="A4502" t="s">
        <v>353</v>
      </c>
      <c r="B4502" t="s">
        <v>34</v>
      </c>
      <c r="C4502" s="3">
        <v>82.5</v>
      </c>
      <c r="D4502">
        <v>1</v>
      </c>
      <c r="E4502">
        <v>1</v>
      </c>
      <c r="F4502">
        <v>1</v>
      </c>
    </row>
    <row r="4503" spans="1:6">
      <c r="A4503" t="s">
        <v>353</v>
      </c>
      <c r="B4503" t="s">
        <v>35</v>
      </c>
      <c r="C4503" s="3">
        <v>6.7904</v>
      </c>
      <c r="D4503">
        <v>1</v>
      </c>
      <c r="E4503">
        <v>1</v>
      </c>
      <c r="F4503">
        <v>1</v>
      </c>
    </row>
    <row r="4504" spans="1:6">
      <c r="A4504" t="s">
        <v>353</v>
      </c>
      <c r="B4504" t="s">
        <v>36</v>
      </c>
      <c r="C4504" s="3">
        <v>560.208</v>
      </c>
      <c r="D4504">
        <v>1</v>
      </c>
      <c r="E4504">
        <v>1</v>
      </c>
      <c r="F4504">
        <v>1</v>
      </c>
    </row>
    <row r="4505" spans="1:6">
      <c r="A4505" t="s">
        <v>353</v>
      </c>
      <c r="B4505" t="s">
        <v>40</v>
      </c>
      <c r="C4505" s="3">
        <v>107.2</v>
      </c>
      <c r="D4505">
        <v>1</v>
      </c>
      <c r="E4505">
        <v>1</v>
      </c>
      <c r="F4505">
        <v>1</v>
      </c>
    </row>
    <row r="4506" spans="1:6">
      <c r="A4506" t="s">
        <v>353</v>
      </c>
      <c r="B4506" t="s">
        <v>41</v>
      </c>
      <c r="C4506" s="3">
        <v>99.2</v>
      </c>
      <c r="D4506">
        <v>1</v>
      </c>
      <c r="E4506">
        <v>1</v>
      </c>
      <c r="F4506">
        <v>1</v>
      </c>
    </row>
    <row r="4507" spans="1:6">
      <c r="A4507" t="s">
        <v>353</v>
      </c>
      <c r="B4507" t="s">
        <v>42</v>
      </c>
      <c r="C4507" s="3">
        <v>102.1</v>
      </c>
      <c r="D4507">
        <v>1</v>
      </c>
      <c r="E4507">
        <v>1</v>
      </c>
      <c r="F4507">
        <v>1</v>
      </c>
    </row>
    <row r="4508" spans="1:6">
      <c r="A4508" t="s">
        <v>353</v>
      </c>
      <c r="B4508" t="s">
        <v>46</v>
      </c>
      <c r="C4508" s="3">
        <v>100.1</v>
      </c>
      <c r="D4508">
        <v>1</v>
      </c>
      <c r="E4508">
        <v>1</v>
      </c>
      <c r="F4508">
        <v>1</v>
      </c>
    </row>
    <row r="4509" spans="1:6">
      <c r="A4509" t="s">
        <v>353</v>
      </c>
      <c r="B4509" t="s">
        <v>392</v>
      </c>
      <c r="C4509" s="3">
        <v>43310090974</v>
      </c>
      <c r="D4509">
        <v>1</v>
      </c>
      <c r="E4509">
        <v>1</v>
      </c>
      <c r="F4509">
        <v>1</v>
      </c>
    </row>
    <row r="4510" spans="1:6">
      <c r="A4510" t="s">
        <v>353</v>
      </c>
      <c r="B4510" t="s">
        <v>393</v>
      </c>
      <c r="C4510" s="3">
        <v>181019345092</v>
      </c>
      <c r="D4510">
        <v>1</v>
      </c>
      <c r="E4510">
        <v>1</v>
      </c>
      <c r="F4510">
        <v>1</v>
      </c>
    </row>
    <row r="4511" spans="1:6">
      <c r="A4511" t="s">
        <v>353</v>
      </c>
      <c r="B4511" t="s">
        <v>394</v>
      </c>
      <c r="C4511" s="3">
        <v>4.17961128737111</v>
      </c>
      <c r="D4511">
        <v>1</v>
      </c>
      <c r="E4511">
        <v>1</v>
      </c>
      <c r="F4511">
        <v>1</v>
      </c>
    </row>
    <row r="4512" spans="1:6">
      <c r="A4512" t="s">
        <v>353</v>
      </c>
      <c r="B4512" t="s">
        <v>39</v>
      </c>
      <c r="C4512" s="3">
        <v>-0.701196643352998</v>
      </c>
      <c r="D4512">
        <v>1</v>
      </c>
      <c r="E4512">
        <v>1</v>
      </c>
      <c r="F4512">
        <v>1</v>
      </c>
    </row>
    <row r="4513" spans="1:6">
      <c r="A4513" t="s">
        <v>353</v>
      </c>
      <c r="B4513" t="s">
        <v>43</v>
      </c>
      <c r="C4513" s="3">
        <v>-0.399999999999991</v>
      </c>
      <c r="D4513">
        <v>1</v>
      </c>
      <c r="E4513">
        <v>1</v>
      </c>
      <c r="F4513">
        <v>1</v>
      </c>
    </row>
    <row r="4514" spans="1:6">
      <c r="A4514" t="s">
        <v>353</v>
      </c>
      <c r="B4514" t="s">
        <v>44</v>
      </c>
      <c r="C4514" s="3">
        <v>-0.0999999999999943</v>
      </c>
      <c r="D4514">
        <v>1</v>
      </c>
      <c r="E4514">
        <v>1</v>
      </c>
      <c r="F4514">
        <v>1</v>
      </c>
    </row>
    <row r="4515" spans="1:6">
      <c r="A4515" t="s">
        <v>353</v>
      </c>
      <c r="B4515" t="s">
        <v>45</v>
      </c>
      <c r="C4515" s="3">
        <v>0.299999999999997</v>
      </c>
      <c r="D4515">
        <v>1</v>
      </c>
      <c r="E4515">
        <v>1</v>
      </c>
      <c r="F4515">
        <v>1</v>
      </c>
    </row>
    <row r="4516" spans="1:6">
      <c r="A4516" t="s">
        <v>353</v>
      </c>
      <c r="B4516" t="s">
        <v>396</v>
      </c>
      <c r="C4516" s="3">
        <v>-7.83833823304047</v>
      </c>
      <c r="D4516">
        <v>1</v>
      </c>
      <c r="E4516">
        <v>1</v>
      </c>
      <c r="F4516">
        <v>1</v>
      </c>
    </row>
    <row r="4517" spans="1:6">
      <c r="A4517" t="s">
        <v>354</v>
      </c>
      <c r="B4517" t="s">
        <v>34</v>
      </c>
      <c r="C4517" s="3">
        <v>82.59</v>
      </c>
      <c r="D4517">
        <v>1</v>
      </c>
      <c r="E4517">
        <v>1</v>
      </c>
      <c r="F4517">
        <v>1</v>
      </c>
    </row>
    <row r="4518" spans="1:6">
      <c r="A4518" t="s">
        <v>354</v>
      </c>
      <c r="B4518" t="s">
        <v>35</v>
      </c>
      <c r="C4518" s="3">
        <v>6.838</v>
      </c>
      <c r="D4518">
        <v>1</v>
      </c>
      <c r="E4518">
        <v>1</v>
      </c>
      <c r="F4518">
        <v>1</v>
      </c>
    </row>
    <row r="4519" spans="1:6">
      <c r="A4519" t="s">
        <v>354</v>
      </c>
      <c r="B4519" t="s">
        <v>36</v>
      </c>
      <c r="C4519" s="3">
        <v>564.75042</v>
      </c>
      <c r="D4519">
        <v>1</v>
      </c>
      <c r="E4519">
        <v>1</v>
      </c>
      <c r="F4519">
        <v>1</v>
      </c>
    </row>
    <row r="4520" spans="1:6">
      <c r="A4520" t="s">
        <v>354</v>
      </c>
      <c r="B4520" t="s">
        <v>40</v>
      </c>
      <c r="C4520" s="3">
        <v>105.2</v>
      </c>
      <c r="D4520">
        <v>1</v>
      </c>
      <c r="E4520">
        <v>1</v>
      </c>
      <c r="F4520">
        <v>1</v>
      </c>
    </row>
    <row r="4521" spans="1:6">
      <c r="A4521" t="s">
        <v>354</v>
      </c>
      <c r="B4521" t="s">
        <v>41</v>
      </c>
      <c r="C4521" s="3">
        <v>98.6</v>
      </c>
      <c r="D4521">
        <v>1</v>
      </c>
      <c r="E4521">
        <v>1</v>
      </c>
      <c r="F4521">
        <v>1</v>
      </c>
    </row>
    <row r="4522" spans="1:6">
      <c r="A4522" t="s">
        <v>354</v>
      </c>
      <c r="B4522" t="s">
        <v>42</v>
      </c>
      <c r="C4522" s="3">
        <v>101</v>
      </c>
      <c r="D4522">
        <v>1</v>
      </c>
      <c r="E4522">
        <v>1</v>
      </c>
      <c r="F4522">
        <v>1</v>
      </c>
    </row>
    <row r="4523" spans="1:6">
      <c r="A4523" t="s">
        <v>354</v>
      </c>
      <c r="B4523" t="s">
        <v>46</v>
      </c>
      <c r="C4523" s="3">
        <v>99.5</v>
      </c>
      <c r="D4523">
        <v>1</v>
      </c>
      <c r="E4523">
        <v>1</v>
      </c>
      <c r="F4523">
        <v>1</v>
      </c>
    </row>
    <row r="4524" spans="1:6">
      <c r="A4524" t="s">
        <v>354</v>
      </c>
      <c r="B4524" t="s">
        <v>392</v>
      </c>
      <c r="C4524" s="3">
        <v>40729871056</v>
      </c>
      <c r="D4524">
        <v>1</v>
      </c>
      <c r="E4524">
        <v>1</v>
      </c>
      <c r="F4524">
        <v>1</v>
      </c>
    </row>
    <row r="4525" spans="1:6">
      <c r="A4525" t="s">
        <v>354</v>
      </c>
      <c r="B4525" t="s">
        <v>393</v>
      </c>
      <c r="C4525" s="3">
        <v>162316859196</v>
      </c>
      <c r="D4525">
        <v>1</v>
      </c>
      <c r="E4525">
        <v>1</v>
      </c>
      <c r="F4525">
        <v>1</v>
      </c>
    </row>
    <row r="4526" spans="1:6">
      <c r="A4526" t="s">
        <v>354</v>
      </c>
      <c r="B4526" t="s">
        <v>394</v>
      </c>
      <c r="C4526" s="3">
        <v>3.98520434726711</v>
      </c>
      <c r="D4526">
        <v>1</v>
      </c>
      <c r="E4526">
        <v>1</v>
      </c>
      <c r="F4526">
        <v>1</v>
      </c>
    </row>
    <row r="4527" spans="1:6">
      <c r="A4527" t="s">
        <v>354</v>
      </c>
      <c r="B4527" t="s">
        <v>39</v>
      </c>
      <c r="C4527" s="3">
        <v>0.80757557016278</v>
      </c>
      <c r="D4527">
        <v>1</v>
      </c>
      <c r="E4527">
        <v>1</v>
      </c>
      <c r="F4527">
        <v>1</v>
      </c>
    </row>
    <row r="4528" spans="1:6">
      <c r="A4528" t="s">
        <v>354</v>
      </c>
      <c r="B4528" t="s">
        <v>43</v>
      </c>
      <c r="C4528" s="3">
        <v>-2</v>
      </c>
      <c r="D4528">
        <v>1</v>
      </c>
      <c r="E4528">
        <v>1</v>
      </c>
      <c r="F4528">
        <v>1</v>
      </c>
    </row>
    <row r="4529" spans="1:6">
      <c r="A4529" t="s">
        <v>354</v>
      </c>
      <c r="B4529" t="s">
        <v>44</v>
      </c>
      <c r="C4529" s="3">
        <v>-0.600000000000009</v>
      </c>
      <c r="D4529">
        <v>1</v>
      </c>
      <c r="E4529">
        <v>1</v>
      </c>
      <c r="F4529">
        <v>1</v>
      </c>
    </row>
    <row r="4530" spans="1:6">
      <c r="A4530" t="s">
        <v>354</v>
      </c>
      <c r="B4530" t="s">
        <v>45</v>
      </c>
      <c r="C4530" s="3">
        <v>-1.09999999999999</v>
      </c>
      <c r="D4530">
        <v>1</v>
      </c>
      <c r="E4530">
        <v>1</v>
      </c>
      <c r="F4530">
        <v>1</v>
      </c>
    </row>
    <row r="4531" spans="1:6">
      <c r="A4531" t="s">
        <v>354</v>
      </c>
      <c r="B4531" t="s">
        <v>396</v>
      </c>
      <c r="C4531" s="3">
        <v>-4.76296587197159</v>
      </c>
      <c r="D4531">
        <v>1</v>
      </c>
      <c r="E4531">
        <v>1</v>
      </c>
      <c r="F4531">
        <v>1</v>
      </c>
    </row>
    <row r="4532" spans="1:6">
      <c r="A4532" t="s">
        <v>355</v>
      </c>
      <c r="B4532" t="s">
        <v>34</v>
      </c>
      <c r="C4532" s="3">
        <v>78.43</v>
      </c>
      <c r="D4532">
        <v>1</v>
      </c>
      <c r="E4532">
        <v>1</v>
      </c>
      <c r="F4532">
        <v>1</v>
      </c>
    </row>
    <row r="4533" spans="1:6">
      <c r="A4533" t="s">
        <v>355</v>
      </c>
      <c r="B4533" t="s">
        <v>35</v>
      </c>
      <c r="C4533" s="3">
        <v>6.8909</v>
      </c>
      <c r="D4533">
        <v>1</v>
      </c>
      <c r="E4533">
        <v>1</v>
      </c>
      <c r="F4533">
        <v>1</v>
      </c>
    </row>
    <row r="4534" spans="1:6">
      <c r="A4534" t="s">
        <v>355</v>
      </c>
      <c r="B4534" t="s">
        <v>36</v>
      </c>
      <c r="C4534" s="3">
        <v>540.453287</v>
      </c>
      <c r="D4534">
        <v>1</v>
      </c>
      <c r="E4534">
        <v>1</v>
      </c>
      <c r="F4534">
        <v>1</v>
      </c>
    </row>
    <row r="4535" spans="1:6">
      <c r="A4535" t="s">
        <v>355</v>
      </c>
      <c r="B4535" t="s">
        <v>40</v>
      </c>
      <c r="C4535" s="3">
        <v>100.1</v>
      </c>
      <c r="D4535">
        <v>1</v>
      </c>
      <c r="E4535">
        <v>1</v>
      </c>
      <c r="F4535">
        <v>1</v>
      </c>
    </row>
    <row r="4536" spans="1:6">
      <c r="A4536" t="s">
        <v>355</v>
      </c>
      <c r="B4536" t="s">
        <v>41</v>
      </c>
      <c r="C4536" s="3">
        <v>97.5</v>
      </c>
      <c r="D4536">
        <v>1</v>
      </c>
      <c r="E4536">
        <v>1</v>
      </c>
      <c r="F4536">
        <v>1</v>
      </c>
    </row>
    <row r="4537" spans="1:6">
      <c r="A4537" t="s">
        <v>355</v>
      </c>
      <c r="B4537" t="s">
        <v>42</v>
      </c>
      <c r="C4537" s="3">
        <v>100.7</v>
      </c>
      <c r="D4537">
        <v>1</v>
      </c>
      <c r="E4537">
        <v>1</v>
      </c>
      <c r="F4537">
        <v>1</v>
      </c>
    </row>
    <row r="4538" spans="1:6">
      <c r="A4538" t="s">
        <v>355</v>
      </c>
      <c r="B4538" t="s">
        <v>46</v>
      </c>
      <c r="C4538" s="3">
        <v>98.2</v>
      </c>
      <c r="D4538">
        <v>1</v>
      </c>
      <c r="E4538">
        <v>1</v>
      </c>
      <c r="F4538">
        <v>1</v>
      </c>
    </row>
    <row r="4539" spans="1:6">
      <c r="A4539" t="s">
        <v>355</v>
      </c>
      <c r="B4539" t="s">
        <v>392</v>
      </c>
      <c r="C4539" s="3">
        <v>52294580085</v>
      </c>
      <c r="D4539">
        <v>1</v>
      </c>
      <c r="E4539">
        <v>1</v>
      </c>
      <c r="F4539">
        <v>1</v>
      </c>
    </row>
    <row r="4540" spans="1:6">
      <c r="A4540" t="s">
        <v>355</v>
      </c>
      <c r="B4540" t="s">
        <v>393</v>
      </c>
      <c r="C4540" s="3">
        <v>207971929563</v>
      </c>
      <c r="D4540">
        <v>1</v>
      </c>
      <c r="E4540">
        <v>1</v>
      </c>
      <c r="F4540">
        <v>1</v>
      </c>
    </row>
    <row r="4541" spans="1:6">
      <c r="A4541" t="s">
        <v>355</v>
      </c>
      <c r="B4541" t="s">
        <v>394</v>
      </c>
      <c r="C4541" s="3">
        <v>3.9769308640582</v>
      </c>
      <c r="D4541">
        <v>1</v>
      </c>
      <c r="E4541">
        <v>1</v>
      </c>
      <c r="F4541">
        <v>1</v>
      </c>
    </row>
    <row r="4542" spans="1:6">
      <c r="A4542" t="s">
        <v>355</v>
      </c>
      <c r="B4542" t="s">
        <v>39</v>
      </c>
      <c r="C4542" s="3">
        <v>-4.39756912272886</v>
      </c>
      <c r="D4542">
        <v>1</v>
      </c>
      <c r="E4542">
        <v>1</v>
      </c>
      <c r="F4542">
        <v>1</v>
      </c>
    </row>
    <row r="4543" spans="1:6">
      <c r="A4543" t="s">
        <v>355</v>
      </c>
      <c r="B4543" t="s">
        <v>43</v>
      </c>
      <c r="C4543" s="3">
        <v>-5.10000000000001</v>
      </c>
      <c r="D4543">
        <v>1</v>
      </c>
      <c r="E4543">
        <v>1</v>
      </c>
      <c r="F4543">
        <v>1</v>
      </c>
    </row>
    <row r="4544" spans="1:6">
      <c r="A4544" t="s">
        <v>355</v>
      </c>
      <c r="B4544" t="s">
        <v>44</v>
      </c>
      <c r="C4544" s="3">
        <v>-1.09999999999999</v>
      </c>
      <c r="D4544">
        <v>1</v>
      </c>
      <c r="E4544">
        <v>1</v>
      </c>
      <c r="F4544">
        <v>1</v>
      </c>
    </row>
    <row r="4545" spans="1:6">
      <c r="A4545" t="s">
        <v>355</v>
      </c>
      <c r="B4545" t="s">
        <v>45</v>
      </c>
      <c r="C4545" s="3">
        <v>-0.299999999999997</v>
      </c>
      <c r="D4545">
        <v>1</v>
      </c>
      <c r="E4545">
        <v>1</v>
      </c>
      <c r="F4545">
        <v>1</v>
      </c>
    </row>
    <row r="4546" spans="1:6">
      <c r="A4546" t="s">
        <v>355</v>
      </c>
      <c r="B4546" t="s">
        <v>396</v>
      </c>
      <c r="C4546" s="3">
        <v>-0.207820790957325</v>
      </c>
      <c r="D4546">
        <v>1</v>
      </c>
      <c r="E4546">
        <v>1</v>
      </c>
      <c r="F4546">
        <v>1</v>
      </c>
    </row>
    <row r="4547" spans="1:6">
      <c r="A4547" t="s">
        <v>356</v>
      </c>
      <c r="B4547" t="s">
        <v>34</v>
      </c>
      <c r="C4547" s="3">
        <v>84.64</v>
      </c>
      <c r="D4547">
        <v>1</v>
      </c>
      <c r="E4547">
        <v>1</v>
      </c>
      <c r="F4547">
        <v>1</v>
      </c>
    </row>
    <row r="4548" spans="1:6">
      <c r="A4548" t="s">
        <v>356</v>
      </c>
      <c r="B4548" t="s">
        <v>35</v>
      </c>
      <c r="C4548" s="3">
        <v>6.8876</v>
      </c>
      <c r="D4548">
        <v>1</v>
      </c>
      <c r="E4548">
        <v>1</v>
      </c>
      <c r="F4548">
        <v>1</v>
      </c>
    </row>
    <row r="4549" spans="1:6">
      <c r="A4549" t="s">
        <v>356</v>
      </c>
      <c r="B4549" t="s">
        <v>36</v>
      </c>
      <c r="C4549" s="3">
        <v>582.966464</v>
      </c>
      <c r="D4549">
        <v>1</v>
      </c>
      <c r="E4549">
        <v>1</v>
      </c>
      <c r="F4549">
        <v>1</v>
      </c>
    </row>
    <row r="4550" spans="1:6">
      <c r="A4550" t="s">
        <v>356</v>
      </c>
      <c r="B4550" t="s">
        <v>40</v>
      </c>
      <c r="C4550" s="3">
        <v>94.7</v>
      </c>
      <c r="D4550">
        <v>1</v>
      </c>
      <c r="E4550">
        <v>1</v>
      </c>
      <c r="F4550">
        <v>1</v>
      </c>
    </row>
    <row r="4551" spans="1:6">
      <c r="A4551" t="s">
        <v>356</v>
      </c>
      <c r="B4551" t="s">
        <v>41</v>
      </c>
      <c r="C4551" s="3">
        <v>96.4</v>
      </c>
      <c r="D4551">
        <v>1</v>
      </c>
      <c r="E4551">
        <v>1</v>
      </c>
      <c r="F4551">
        <v>1</v>
      </c>
    </row>
    <row r="4552" spans="1:6">
      <c r="A4552" t="s">
        <v>356</v>
      </c>
      <c r="B4552" t="s">
        <v>42</v>
      </c>
      <c r="C4552" s="3">
        <v>100.1</v>
      </c>
      <c r="D4552">
        <v>1</v>
      </c>
      <c r="E4552">
        <v>1</v>
      </c>
      <c r="F4552">
        <v>1</v>
      </c>
    </row>
    <row r="4553" spans="1:6">
      <c r="A4553" t="s">
        <v>356</v>
      </c>
      <c r="B4553" t="s">
        <v>46</v>
      </c>
      <c r="C4553" s="3">
        <v>96.2</v>
      </c>
      <c r="D4553">
        <v>1</v>
      </c>
      <c r="E4553">
        <v>1</v>
      </c>
      <c r="F4553">
        <v>1</v>
      </c>
    </row>
    <row r="4554" spans="1:6">
      <c r="A4554" t="s">
        <v>356</v>
      </c>
      <c r="B4554" t="s">
        <v>392</v>
      </c>
      <c r="C4554" s="3">
        <v>42210194799</v>
      </c>
      <c r="D4554">
        <v>1</v>
      </c>
      <c r="E4554">
        <v>1</v>
      </c>
      <c r="F4554">
        <v>1</v>
      </c>
    </row>
    <row r="4555" spans="1:6">
      <c r="A4555" t="s">
        <v>356</v>
      </c>
      <c r="B4555" t="s">
        <v>393</v>
      </c>
      <c r="C4555" s="3">
        <v>168171123739</v>
      </c>
      <c r="D4555">
        <v>1</v>
      </c>
      <c r="E4555">
        <v>1</v>
      </c>
      <c r="F4555">
        <v>1</v>
      </c>
    </row>
    <row r="4556" spans="1:6">
      <c r="A4556" t="s">
        <v>356</v>
      </c>
      <c r="B4556" t="s">
        <v>394</v>
      </c>
      <c r="C4556" s="3">
        <v>3.98413521993469</v>
      </c>
      <c r="D4556">
        <v>1</v>
      </c>
      <c r="E4556">
        <v>1</v>
      </c>
      <c r="F4556">
        <v>1</v>
      </c>
    </row>
    <row r="4557" spans="1:6">
      <c r="A4557" t="s">
        <v>356</v>
      </c>
      <c r="B4557" t="s">
        <v>39</v>
      </c>
      <c r="C4557" s="3">
        <v>7.57214537274362</v>
      </c>
      <c r="D4557">
        <v>1</v>
      </c>
      <c r="E4557">
        <v>1</v>
      </c>
      <c r="F4557">
        <v>1</v>
      </c>
    </row>
    <row r="4558" spans="1:6">
      <c r="A4558" t="s">
        <v>356</v>
      </c>
      <c r="B4558" t="s">
        <v>43</v>
      </c>
      <c r="C4558" s="3">
        <v>-5.39999999999999</v>
      </c>
      <c r="D4558">
        <v>1</v>
      </c>
      <c r="E4558">
        <v>1</v>
      </c>
      <c r="F4558">
        <v>1</v>
      </c>
    </row>
    <row r="4559" spans="1:6">
      <c r="A4559" t="s">
        <v>356</v>
      </c>
      <c r="B4559" t="s">
        <v>44</v>
      </c>
      <c r="C4559" s="3">
        <v>-1.09999999999999</v>
      </c>
      <c r="D4559">
        <v>1</v>
      </c>
      <c r="E4559">
        <v>1</v>
      </c>
      <c r="F4559">
        <v>1</v>
      </c>
    </row>
    <row r="4560" spans="1:6">
      <c r="A4560" t="s">
        <v>356</v>
      </c>
      <c r="B4560" t="s">
        <v>45</v>
      </c>
      <c r="C4560" s="3">
        <v>-0.600000000000009</v>
      </c>
      <c r="D4560">
        <v>1</v>
      </c>
      <c r="E4560">
        <v>1</v>
      </c>
      <c r="F4560">
        <v>1</v>
      </c>
    </row>
    <row r="4561" spans="1:6">
      <c r="A4561" t="s">
        <v>356</v>
      </c>
      <c r="B4561" t="s">
        <v>396</v>
      </c>
      <c r="C4561" s="3">
        <v>0.180989776170793</v>
      </c>
      <c r="D4561">
        <v>1</v>
      </c>
      <c r="E4561">
        <v>1</v>
      </c>
      <c r="F4561">
        <v>1</v>
      </c>
    </row>
    <row r="4562" spans="1:6">
      <c r="A4562" t="s">
        <v>357</v>
      </c>
      <c r="B4562" t="s">
        <v>34</v>
      </c>
      <c r="C4562" s="3">
        <v>75.47</v>
      </c>
      <c r="D4562">
        <v>1</v>
      </c>
      <c r="E4562">
        <v>1</v>
      </c>
      <c r="F4562">
        <v>1</v>
      </c>
    </row>
    <row r="4563" spans="1:6">
      <c r="A4563" t="s">
        <v>357</v>
      </c>
      <c r="B4563" t="s">
        <v>35</v>
      </c>
      <c r="C4563" s="3">
        <v>6.9854</v>
      </c>
      <c r="D4563">
        <v>1</v>
      </c>
      <c r="E4563">
        <v>1</v>
      </c>
      <c r="F4563">
        <v>1</v>
      </c>
    </row>
    <row r="4564" spans="1:6">
      <c r="A4564" t="s">
        <v>357</v>
      </c>
      <c r="B4564" t="s">
        <v>36</v>
      </c>
      <c r="C4564" s="3">
        <v>527.188138</v>
      </c>
      <c r="D4564">
        <v>1</v>
      </c>
      <c r="E4564">
        <v>1</v>
      </c>
      <c r="F4564">
        <v>1</v>
      </c>
    </row>
    <row r="4565" spans="1:6">
      <c r="A4565" t="s">
        <v>357</v>
      </c>
      <c r="B4565" t="s">
        <v>40</v>
      </c>
      <c r="C4565" s="3">
        <v>92.4</v>
      </c>
      <c r="D4565">
        <v>1</v>
      </c>
      <c r="E4565">
        <v>1</v>
      </c>
      <c r="F4565">
        <v>1</v>
      </c>
    </row>
    <row r="4566" spans="1:6">
      <c r="A4566" t="s">
        <v>357</v>
      </c>
      <c r="B4566" t="s">
        <v>41</v>
      </c>
      <c r="C4566" s="3">
        <v>95.4</v>
      </c>
      <c r="D4566">
        <v>1</v>
      </c>
      <c r="E4566">
        <v>1</v>
      </c>
      <c r="F4566">
        <v>1</v>
      </c>
    </row>
    <row r="4567" spans="1:6">
      <c r="A4567" t="s">
        <v>357</v>
      </c>
      <c r="B4567" t="s">
        <v>42</v>
      </c>
      <c r="C4567" s="3">
        <v>100.2</v>
      </c>
      <c r="D4567">
        <v>1</v>
      </c>
      <c r="E4567">
        <v>1</v>
      </c>
      <c r="F4567">
        <v>1</v>
      </c>
    </row>
    <row r="4568" spans="1:6">
      <c r="A4568" t="s">
        <v>357</v>
      </c>
      <c r="B4568" t="s">
        <v>46</v>
      </c>
      <c r="C4568" s="3">
        <v>94.7</v>
      </c>
      <c r="D4568">
        <v>1</v>
      </c>
      <c r="E4568">
        <v>1</v>
      </c>
      <c r="F4568">
        <v>1</v>
      </c>
    </row>
    <row r="4569" spans="1:6">
      <c r="A4569" t="s">
        <v>357</v>
      </c>
      <c r="B4569" t="s">
        <v>392</v>
      </c>
      <c r="C4569" s="3">
        <v>51435743241</v>
      </c>
      <c r="D4569">
        <v>1</v>
      </c>
      <c r="E4569">
        <v>1</v>
      </c>
      <c r="F4569">
        <v>1</v>
      </c>
    </row>
    <row r="4570" spans="1:6">
      <c r="A4570" t="s">
        <v>357</v>
      </c>
      <c r="B4570" t="s">
        <v>393</v>
      </c>
      <c r="C4570" s="3">
        <v>209172913788</v>
      </c>
      <c r="D4570">
        <v>1</v>
      </c>
      <c r="E4570">
        <v>1</v>
      </c>
      <c r="F4570">
        <v>1</v>
      </c>
    </row>
    <row r="4571" spans="1:6">
      <c r="A4571" t="s">
        <v>357</v>
      </c>
      <c r="B4571" t="s">
        <v>394</v>
      </c>
      <c r="C4571" s="3">
        <v>4.0666839945897</v>
      </c>
      <c r="D4571">
        <v>1</v>
      </c>
      <c r="E4571">
        <v>1</v>
      </c>
      <c r="F4571">
        <v>1</v>
      </c>
    </row>
    <row r="4572" spans="1:6">
      <c r="A4572" t="s">
        <v>357</v>
      </c>
      <c r="B4572" t="s">
        <v>39</v>
      </c>
      <c r="C4572" s="3">
        <v>-10.0572178604714</v>
      </c>
      <c r="D4572">
        <v>1</v>
      </c>
      <c r="E4572">
        <v>1</v>
      </c>
      <c r="F4572">
        <v>1</v>
      </c>
    </row>
    <row r="4573" spans="1:6">
      <c r="A4573" t="s">
        <v>357</v>
      </c>
      <c r="B4573" t="s">
        <v>43</v>
      </c>
      <c r="C4573" s="3">
        <v>-2.3</v>
      </c>
      <c r="D4573">
        <v>1</v>
      </c>
      <c r="E4573">
        <v>1</v>
      </c>
      <c r="F4573">
        <v>1</v>
      </c>
    </row>
    <row r="4574" spans="1:6">
      <c r="A4574" t="s">
        <v>357</v>
      </c>
      <c r="B4574" t="s">
        <v>44</v>
      </c>
      <c r="C4574" s="3">
        <v>-1</v>
      </c>
      <c r="D4574">
        <v>1</v>
      </c>
      <c r="E4574">
        <v>1</v>
      </c>
      <c r="F4574">
        <v>1</v>
      </c>
    </row>
    <row r="4575" spans="1:6">
      <c r="A4575" t="s">
        <v>357</v>
      </c>
      <c r="B4575" t="s">
        <v>45</v>
      </c>
      <c r="C4575" s="3">
        <v>0.100000000000009</v>
      </c>
      <c r="D4575">
        <v>1</v>
      </c>
      <c r="E4575">
        <v>1</v>
      </c>
      <c r="F4575">
        <v>1</v>
      </c>
    </row>
    <row r="4576" spans="1:6">
      <c r="A4576" t="s">
        <v>357</v>
      </c>
      <c r="B4576" t="s">
        <v>396</v>
      </c>
      <c r="C4576" s="3">
        <v>2.05076441336662</v>
      </c>
      <c r="D4576">
        <v>1</v>
      </c>
      <c r="E4576">
        <v>1</v>
      </c>
      <c r="F4576">
        <v>1</v>
      </c>
    </row>
    <row r="4577" spans="1:6">
      <c r="A4577" t="s">
        <v>358</v>
      </c>
      <c r="B4577" t="s">
        <v>34</v>
      </c>
      <c r="C4577" s="3">
        <v>74.84</v>
      </c>
      <c r="D4577">
        <v>1</v>
      </c>
      <c r="E4577">
        <v>1</v>
      </c>
      <c r="F4577">
        <v>1</v>
      </c>
    </row>
    <row r="4578" spans="1:6">
      <c r="A4578" t="s">
        <v>358</v>
      </c>
      <c r="B4578" t="s">
        <v>35</v>
      </c>
      <c r="C4578" s="3">
        <v>7.1614</v>
      </c>
      <c r="D4578">
        <v>1</v>
      </c>
      <c r="E4578">
        <v>1</v>
      </c>
      <c r="F4578">
        <v>1</v>
      </c>
    </row>
    <row r="4579" spans="1:6">
      <c r="A4579" t="s">
        <v>358</v>
      </c>
      <c r="B4579" t="s">
        <v>36</v>
      </c>
      <c r="C4579" s="3">
        <v>535.959176</v>
      </c>
      <c r="D4579">
        <v>1</v>
      </c>
      <c r="E4579">
        <v>1</v>
      </c>
      <c r="F4579">
        <v>1</v>
      </c>
    </row>
    <row r="4580" spans="1:6">
      <c r="A4580" t="s">
        <v>358</v>
      </c>
      <c r="B4580" t="s">
        <v>40</v>
      </c>
      <c r="C4580" s="3">
        <v>88.9</v>
      </c>
      <c r="D4580">
        <v>1</v>
      </c>
      <c r="E4580">
        <v>1</v>
      </c>
      <c r="F4580">
        <v>1</v>
      </c>
    </row>
    <row r="4581" spans="1:6">
      <c r="A4581" t="s">
        <v>358</v>
      </c>
      <c r="B4581" t="s">
        <v>41</v>
      </c>
      <c r="C4581" s="3">
        <v>94.6</v>
      </c>
      <c r="D4581">
        <v>1</v>
      </c>
      <c r="E4581">
        <v>1</v>
      </c>
      <c r="F4581">
        <v>1</v>
      </c>
    </row>
    <row r="4582" spans="1:6">
      <c r="A4582" t="s">
        <v>358</v>
      </c>
      <c r="B4582" t="s">
        <v>42</v>
      </c>
      <c r="C4582" s="3">
        <v>100</v>
      </c>
      <c r="D4582">
        <v>1</v>
      </c>
      <c r="E4582">
        <v>1</v>
      </c>
      <c r="F4582">
        <v>1</v>
      </c>
    </row>
    <row r="4583" spans="1:6">
      <c r="A4583" t="s">
        <v>358</v>
      </c>
      <c r="B4583" t="s">
        <v>46</v>
      </c>
      <c r="C4583" s="3">
        <v>93.5</v>
      </c>
      <c r="D4583">
        <v>1</v>
      </c>
      <c r="E4583">
        <v>1</v>
      </c>
      <c r="F4583">
        <v>1</v>
      </c>
    </row>
    <row r="4584" spans="1:6">
      <c r="A4584" t="s">
        <v>358</v>
      </c>
      <c r="B4584" t="s">
        <v>392</v>
      </c>
      <c r="C4584" s="3">
        <v>52039330232</v>
      </c>
      <c r="D4584">
        <v>1</v>
      </c>
      <c r="E4584">
        <v>1</v>
      </c>
      <c r="F4584">
        <v>1</v>
      </c>
    </row>
    <row r="4585" spans="1:6">
      <c r="A4585" t="s">
        <v>358</v>
      </c>
      <c r="B4585" t="s">
        <v>393</v>
      </c>
      <c r="C4585" s="3">
        <v>199497086126</v>
      </c>
      <c r="D4585">
        <v>1</v>
      </c>
      <c r="E4585">
        <v>1</v>
      </c>
      <c r="F4585">
        <v>1</v>
      </c>
    </row>
    <row r="4586" spans="1:6">
      <c r="A4586" t="s">
        <v>358</v>
      </c>
      <c r="B4586" t="s">
        <v>394</v>
      </c>
      <c r="C4586" s="3">
        <v>3.83358289271996</v>
      </c>
      <c r="D4586">
        <v>1</v>
      </c>
      <c r="E4586">
        <v>1</v>
      </c>
      <c r="F4586">
        <v>1</v>
      </c>
    </row>
    <row r="4587" spans="1:6">
      <c r="A4587" t="s">
        <v>358</v>
      </c>
      <c r="B4587" t="s">
        <v>39</v>
      </c>
      <c r="C4587" s="3">
        <v>1.65005110558906</v>
      </c>
      <c r="D4587">
        <v>1</v>
      </c>
      <c r="E4587">
        <v>1</v>
      </c>
      <c r="F4587">
        <v>1</v>
      </c>
    </row>
    <row r="4588" spans="1:6">
      <c r="A4588" t="s">
        <v>358</v>
      </c>
      <c r="B4588" t="s">
        <v>43</v>
      </c>
      <c r="C4588" s="3">
        <v>-3.5</v>
      </c>
      <c r="D4588">
        <v>1</v>
      </c>
      <c r="E4588">
        <v>1</v>
      </c>
      <c r="F4588">
        <v>1</v>
      </c>
    </row>
    <row r="4589" spans="1:6">
      <c r="A4589" t="s">
        <v>358</v>
      </c>
      <c r="B4589" t="s">
        <v>44</v>
      </c>
      <c r="C4589" s="3">
        <v>-0.800000000000011</v>
      </c>
      <c r="D4589">
        <v>1</v>
      </c>
      <c r="E4589">
        <v>1</v>
      </c>
      <c r="F4589">
        <v>1</v>
      </c>
    </row>
    <row r="4590" spans="1:6">
      <c r="A4590" t="s">
        <v>358</v>
      </c>
      <c r="B4590" t="s">
        <v>45</v>
      </c>
      <c r="C4590" s="3">
        <v>-0.200000000000003</v>
      </c>
      <c r="D4590">
        <v>1</v>
      </c>
      <c r="E4590">
        <v>1</v>
      </c>
      <c r="F4590">
        <v>1</v>
      </c>
    </row>
    <row r="4591" spans="1:6">
      <c r="A4591" t="s">
        <v>358</v>
      </c>
      <c r="B4591" t="s">
        <v>396</v>
      </c>
      <c r="C4591" s="3">
        <v>-5.90280769959951</v>
      </c>
      <c r="D4591">
        <v>1</v>
      </c>
      <c r="E4591">
        <v>1</v>
      </c>
      <c r="F4591">
        <v>1</v>
      </c>
    </row>
    <row r="4592" spans="1:6">
      <c r="A4592" t="s">
        <v>359</v>
      </c>
      <c r="B4592" t="s">
        <v>34</v>
      </c>
      <c r="C4592" s="3">
        <v>80.11</v>
      </c>
      <c r="D4592">
        <v>1</v>
      </c>
      <c r="E4592">
        <v>1</v>
      </c>
      <c r="F4592">
        <v>1</v>
      </c>
    </row>
    <row r="4593" spans="1:6">
      <c r="A4593" t="s">
        <v>359</v>
      </c>
      <c r="B4593" t="s">
        <v>35</v>
      </c>
      <c r="C4593" s="3">
        <v>7.1863</v>
      </c>
      <c r="D4593">
        <v>1</v>
      </c>
      <c r="E4593">
        <v>1</v>
      </c>
      <c r="F4593">
        <v>1</v>
      </c>
    </row>
    <row r="4594" spans="1:6">
      <c r="A4594" t="s">
        <v>359</v>
      </c>
      <c r="B4594" t="s">
        <v>36</v>
      </c>
      <c r="C4594" s="3">
        <v>575.694493</v>
      </c>
      <c r="D4594">
        <v>1</v>
      </c>
      <c r="E4594">
        <v>1</v>
      </c>
      <c r="F4594">
        <v>1</v>
      </c>
    </row>
    <row r="4595" spans="1:6">
      <c r="A4595" t="s">
        <v>359</v>
      </c>
      <c r="B4595" t="s">
        <v>40</v>
      </c>
      <c r="C4595" s="3">
        <v>87.8</v>
      </c>
      <c r="D4595">
        <v>1</v>
      </c>
      <c r="E4595">
        <v>1</v>
      </c>
      <c r="F4595">
        <v>1</v>
      </c>
    </row>
    <row r="4596" spans="1:6">
      <c r="A4596" t="s">
        <v>359</v>
      </c>
      <c r="B4596" t="s">
        <v>41</v>
      </c>
      <c r="C4596" s="3">
        <v>95.6</v>
      </c>
      <c r="D4596">
        <v>1</v>
      </c>
      <c r="E4596">
        <v>1</v>
      </c>
      <c r="F4596">
        <v>1</v>
      </c>
    </row>
    <row r="4597" spans="1:6">
      <c r="A4597" t="s">
        <v>359</v>
      </c>
      <c r="B4597" t="s">
        <v>42</v>
      </c>
      <c r="C4597" s="3">
        <v>99.7</v>
      </c>
      <c r="D4597">
        <v>1</v>
      </c>
      <c r="E4597">
        <v>1</v>
      </c>
      <c r="F4597">
        <v>1</v>
      </c>
    </row>
    <row r="4598" spans="1:6">
      <c r="A4598" t="s">
        <v>359</v>
      </c>
      <c r="B4598" t="s">
        <v>46</v>
      </c>
      <c r="C4598" s="3">
        <v>93.9</v>
      </c>
      <c r="D4598">
        <v>1</v>
      </c>
      <c r="E4598">
        <v>1</v>
      </c>
      <c r="F4598">
        <v>1</v>
      </c>
    </row>
    <row r="4599" spans="1:6">
      <c r="A4599" t="s">
        <v>359</v>
      </c>
      <c r="B4599" t="s">
        <v>392</v>
      </c>
      <c r="C4599" s="3">
        <v>43677197715</v>
      </c>
      <c r="D4599">
        <v>1</v>
      </c>
      <c r="E4599">
        <v>1</v>
      </c>
      <c r="F4599">
        <v>1</v>
      </c>
    </row>
    <row r="4600" spans="1:6">
      <c r="A4600" t="s">
        <v>359</v>
      </c>
      <c r="B4600" t="s">
        <v>393</v>
      </c>
      <c r="C4600" s="3">
        <v>173611942547</v>
      </c>
      <c r="D4600">
        <v>1</v>
      </c>
      <c r="E4600">
        <v>1</v>
      </c>
      <c r="F4600">
        <v>1</v>
      </c>
    </row>
    <row r="4601" spans="1:6">
      <c r="A4601" t="s">
        <v>359</v>
      </c>
      <c r="B4601" t="s">
        <v>394</v>
      </c>
      <c r="C4601" s="3">
        <v>3.97488739272704</v>
      </c>
      <c r="D4601">
        <v>1</v>
      </c>
      <c r="E4601">
        <v>1</v>
      </c>
      <c r="F4601">
        <v>1</v>
      </c>
    </row>
    <row r="4602" spans="1:6">
      <c r="A4602" t="s">
        <v>359</v>
      </c>
      <c r="B4602" t="s">
        <v>39</v>
      </c>
      <c r="C4602" s="3">
        <v>7.15191318989042</v>
      </c>
      <c r="D4602">
        <v>1</v>
      </c>
      <c r="E4602">
        <v>1</v>
      </c>
      <c r="F4602">
        <v>1</v>
      </c>
    </row>
    <row r="4603" spans="1:6">
      <c r="A4603" t="s">
        <v>359</v>
      </c>
      <c r="B4603" t="s">
        <v>43</v>
      </c>
      <c r="C4603" s="3">
        <v>-1.10000000000001</v>
      </c>
      <c r="D4603">
        <v>1</v>
      </c>
      <c r="E4603">
        <v>1</v>
      </c>
      <c r="F4603">
        <v>1</v>
      </c>
    </row>
    <row r="4604" spans="1:6">
      <c r="A4604" t="s">
        <v>359</v>
      </c>
      <c r="B4604" t="s">
        <v>44</v>
      </c>
      <c r="C4604" s="3">
        <v>1</v>
      </c>
      <c r="D4604">
        <v>1</v>
      </c>
      <c r="E4604">
        <v>1</v>
      </c>
      <c r="F4604">
        <v>1</v>
      </c>
    </row>
    <row r="4605" spans="1:6">
      <c r="A4605" t="s">
        <v>359</v>
      </c>
      <c r="B4605" t="s">
        <v>45</v>
      </c>
      <c r="C4605" s="3">
        <v>-0.299999999999997</v>
      </c>
      <c r="D4605">
        <v>1</v>
      </c>
      <c r="E4605">
        <v>1</v>
      </c>
      <c r="F4605">
        <v>1</v>
      </c>
    </row>
    <row r="4606" spans="1:6">
      <c r="A4606" t="s">
        <v>359</v>
      </c>
      <c r="B4606" t="s">
        <v>396</v>
      </c>
      <c r="C4606" s="3">
        <v>3.61965718006174</v>
      </c>
      <c r="D4606">
        <v>1</v>
      </c>
      <c r="E4606">
        <v>1</v>
      </c>
      <c r="F4606">
        <v>1</v>
      </c>
    </row>
    <row r="4607" spans="1:6">
      <c r="A4607" t="s">
        <v>360</v>
      </c>
      <c r="B4607" t="s">
        <v>34</v>
      </c>
      <c r="C4607" s="3">
        <v>86.15</v>
      </c>
      <c r="D4607">
        <v>1</v>
      </c>
      <c r="E4607">
        <v>1</v>
      </c>
      <c r="F4607">
        <v>1</v>
      </c>
    </row>
    <row r="4608" spans="1:6">
      <c r="A4608" t="s">
        <v>360</v>
      </c>
      <c r="B4608" t="s">
        <v>35</v>
      </c>
      <c r="C4608" s="3">
        <v>7.2486</v>
      </c>
      <c r="D4608">
        <v>1</v>
      </c>
      <c r="E4608">
        <v>1</v>
      </c>
      <c r="F4608">
        <v>1</v>
      </c>
    </row>
    <row r="4609" spans="1:6">
      <c r="A4609" t="s">
        <v>360</v>
      </c>
      <c r="B4609" t="s">
        <v>36</v>
      </c>
      <c r="C4609" s="3">
        <v>624.46689</v>
      </c>
      <c r="D4609">
        <v>1</v>
      </c>
      <c r="E4609">
        <v>1</v>
      </c>
      <c r="F4609">
        <v>1</v>
      </c>
    </row>
    <row r="4610" spans="1:6">
      <c r="A4610" t="s">
        <v>360</v>
      </c>
      <c r="B4610" t="s">
        <v>40</v>
      </c>
      <c r="C4610" s="3">
        <v>90.9</v>
      </c>
      <c r="D4610">
        <v>1</v>
      </c>
      <c r="E4610">
        <v>1</v>
      </c>
      <c r="F4610">
        <v>1</v>
      </c>
    </row>
    <row r="4611" spans="1:6">
      <c r="A4611" t="s">
        <v>360</v>
      </c>
      <c r="B4611" t="s">
        <v>41</v>
      </c>
      <c r="C4611" s="3">
        <v>97</v>
      </c>
      <c r="D4611">
        <v>1</v>
      </c>
      <c r="E4611">
        <v>1</v>
      </c>
      <c r="F4611">
        <v>1</v>
      </c>
    </row>
    <row r="4612" spans="1:6">
      <c r="A4612" t="s">
        <v>360</v>
      </c>
      <c r="B4612" t="s">
        <v>42</v>
      </c>
      <c r="C4612" s="3">
        <v>100.1</v>
      </c>
      <c r="D4612">
        <v>1</v>
      </c>
      <c r="E4612">
        <v>1</v>
      </c>
      <c r="F4612">
        <v>1</v>
      </c>
    </row>
    <row r="4613" spans="1:6">
      <c r="A4613" t="s">
        <v>360</v>
      </c>
      <c r="B4613" t="s">
        <v>46</v>
      </c>
      <c r="C4613" s="3">
        <v>95.4</v>
      </c>
      <c r="D4613">
        <v>1</v>
      </c>
      <c r="E4613">
        <v>1</v>
      </c>
      <c r="F4613">
        <v>1</v>
      </c>
    </row>
    <row r="4614" spans="1:6">
      <c r="A4614" t="s">
        <v>360</v>
      </c>
      <c r="B4614" t="s">
        <v>392</v>
      </c>
      <c r="C4614" s="3">
        <v>52790372168</v>
      </c>
      <c r="D4614">
        <v>1</v>
      </c>
      <c r="E4614">
        <v>1</v>
      </c>
      <c r="F4614">
        <v>1</v>
      </c>
    </row>
    <row r="4615" spans="1:6">
      <c r="A4615" t="s">
        <v>360</v>
      </c>
      <c r="B4615" t="s">
        <v>393</v>
      </c>
      <c r="C4615" s="3">
        <v>221993977161</v>
      </c>
      <c r="D4615">
        <v>1</v>
      </c>
      <c r="E4615">
        <v>1</v>
      </c>
      <c r="F4615">
        <v>1</v>
      </c>
    </row>
    <row r="4616" spans="1:6">
      <c r="A4616" t="s">
        <v>360</v>
      </c>
      <c r="B4616" t="s">
        <v>394</v>
      </c>
      <c r="C4616" s="3">
        <v>4.20519818376212</v>
      </c>
      <c r="D4616">
        <v>1</v>
      </c>
      <c r="E4616">
        <v>1</v>
      </c>
      <c r="F4616">
        <v>1</v>
      </c>
    </row>
    <row r="4617" spans="1:6">
      <c r="A4617" t="s">
        <v>360</v>
      </c>
      <c r="B4617" t="s">
        <v>39</v>
      </c>
      <c r="C4617" s="3">
        <v>8.13211838554112</v>
      </c>
      <c r="D4617">
        <v>1</v>
      </c>
      <c r="E4617">
        <v>1</v>
      </c>
      <c r="F4617">
        <v>1</v>
      </c>
    </row>
    <row r="4618" spans="1:6">
      <c r="A4618" t="s">
        <v>360</v>
      </c>
      <c r="B4618" t="s">
        <v>43</v>
      </c>
      <c r="C4618" s="3">
        <v>3.10000000000001</v>
      </c>
      <c r="D4618">
        <v>1</v>
      </c>
      <c r="E4618">
        <v>1</v>
      </c>
      <c r="F4618">
        <v>1</v>
      </c>
    </row>
    <row r="4619" spans="1:6">
      <c r="A4619" t="s">
        <v>360</v>
      </c>
      <c r="B4619" t="s">
        <v>44</v>
      </c>
      <c r="C4619" s="3">
        <v>1.40000000000001</v>
      </c>
      <c r="D4619">
        <v>1</v>
      </c>
      <c r="E4619">
        <v>1</v>
      </c>
      <c r="F4619">
        <v>1</v>
      </c>
    </row>
    <row r="4620" spans="1:6">
      <c r="A4620" t="s">
        <v>360</v>
      </c>
      <c r="B4620" t="s">
        <v>45</v>
      </c>
      <c r="C4620" s="3">
        <v>0.399999999999991</v>
      </c>
      <c r="D4620">
        <v>1</v>
      </c>
      <c r="E4620">
        <v>1</v>
      </c>
      <c r="F4620">
        <v>1</v>
      </c>
    </row>
    <row r="4621" spans="1:6">
      <c r="A4621" t="s">
        <v>360</v>
      </c>
      <c r="B4621" t="s">
        <v>396</v>
      </c>
      <c r="C4621" s="3">
        <v>5.63250039852663</v>
      </c>
      <c r="D4621">
        <v>1</v>
      </c>
      <c r="E4621">
        <v>1</v>
      </c>
      <c r="F4621">
        <v>1</v>
      </c>
    </row>
    <row r="4622" spans="1:6">
      <c r="A4622" t="s">
        <v>361</v>
      </c>
      <c r="B4622" t="s">
        <v>34</v>
      </c>
      <c r="C4622" s="3">
        <v>93.72</v>
      </c>
      <c r="D4622">
        <v>1</v>
      </c>
      <c r="E4622">
        <v>1</v>
      </c>
      <c r="F4622">
        <v>1</v>
      </c>
    </row>
    <row r="4623" spans="1:6">
      <c r="A4623" t="s">
        <v>361</v>
      </c>
      <c r="B4623" t="s">
        <v>35</v>
      </c>
      <c r="C4623" s="3">
        <v>7.2979</v>
      </c>
      <c r="D4623">
        <v>1</v>
      </c>
      <c r="E4623">
        <v>1</v>
      </c>
      <c r="F4623">
        <v>1</v>
      </c>
    </row>
    <row r="4624" spans="1:6">
      <c r="A4624" t="s">
        <v>361</v>
      </c>
      <c r="B4624" t="s">
        <v>36</v>
      </c>
      <c r="C4624" s="3">
        <v>683.959188</v>
      </c>
      <c r="D4624">
        <v>1</v>
      </c>
      <c r="E4624">
        <v>1</v>
      </c>
      <c r="F4624">
        <v>1</v>
      </c>
    </row>
    <row r="4625" spans="1:6">
      <c r="A4625" t="s">
        <v>361</v>
      </c>
      <c r="B4625" t="s">
        <v>40</v>
      </c>
      <c r="C4625" s="3">
        <v>93</v>
      </c>
      <c r="D4625">
        <v>1</v>
      </c>
      <c r="E4625">
        <v>1</v>
      </c>
      <c r="F4625">
        <v>1</v>
      </c>
    </row>
    <row r="4626" spans="1:6">
      <c r="A4626" t="s">
        <v>361</v>
      </c>
      <c r="B4626" t="s">
        <v>41</v>
      </c>
      <c r="C4626" s="3">
        <v>97.5</v>
      </c>
      <c r="D4626">
        <v>1</v>
      </c>
      <c r="E4626">
        <v>1</v>
      </c>
      <c r="F4626">
        <v>1</v>
      </c>
    </row>
    <row r="4627" spans="1:6">
      <c r="A4627" t="s">
        <v>361</v>
      </c>
      <c r="B4627" t="s">
        <v>42</v>
      </c>
      <c r="C4627" s="3">
        <v>100</v>
      </c>
      <c r="D4627">
        <v>1</v>
      </c>
      <c r="E4627">
        <v>1</v>
      </c>
      <c r="F4627">
        <v>1</v>
      </c>
    </row>
    <row r="4628" spans="1:6">
      <c r="A4628" t="s">
        <v>361</v>
      </c>
      <c r="B4628" t="s">
        <v>46</v>
      </c>
      <c r="C4628" s="3">
        <v>96.4</v>
      </c>
      <c r="D4628">
        <v>1</v>
      </c>
      <c r="E4628">
        <v>1</v>
      </c>
      <c r="F4628">
        <v>1</v>
      </c>
    </row>
    <row r="4629" spans="1:6">
      <c r="A4629" t="s">
        <v>361</v>
      </c>
      <c r="B4629" t="s">
        <v>392</v>
      </c>
      <c r="C4629" s="3">
        <v>45714545038</v>
      </c>
      <c r="D4629">
        <v>1</v>
      </c>
      <c r="E4629">
        <v>1</v>
      </c>
      <c r="F4629">
        <v>1</v>
      </c>
    </row>
    <row r="4630" spans="1:6">
      <c r="A4630" t="s">
        <v>361</v>
      </c>
      <c r="B4630" t="s">
        <v>393</v>
      </c>
      <c r="C4630" s="3">
        <v>209264399557</v>
      </c>
      <c r="D4630">
        <v>1</v>
      </c>
      <c r="E4630">
        <v>1</v>
      </c>
      <c r="F4630">
        <v>1</v>
      </c>
    </row>
    <row r="4631" spans="1:6">
      <c r="A4631" t="s">
        <v>361</v>
      </c>
      <c r="B4631" t="s">
        <v>394</v>
      </c>
      <c r="C4631" s="3">
        <v>4.57763277274333</v>
      </c>
      <c r="D4631">
        <v>1</v>
      </c>
      <c r="E4631">
        <v>1</v>
      </c>
      <c r="F4631">
        <v>1</v>
      </c>
    </row>
    <row r="4632" spans="1:6">
      <c r="A4632" t="s">
        <v>361</v>
      </c>
      <c r="B4632" t="s">
        <v>39</v>
      </c>
      <c r="C4632" s="3">
        <v>9.09999394303827</v>
      </c>
      <c r="D4632">
        <v>1</v>
      </c>
      <c r="E4632">
        <v>1</v>
      </c>
      <c r="F4632">
        <v>1</v>
      </c>
    </row>
    <row r="4633" spans="1:6">
      <c r="A4633" t="s">
        <v>361</v>
      </c>
      <c r="B4633" t="s">
        <v>43</v>
      </c>
      <c r="C4633" s="3">
        <v>2.09999999999999</v>
      </c>
      <c r="D4633">
        <v>1</v>
      </c>
      <c r="E4633">
        <v>1</v>
      </c>
      <c r="F4633">
        <v>1</v>
      </c>
    </row>
    <row r="4634" spans="1:6">
      <c r="A4634" t="s">
        <v>361</v>
      </c>
      <c r="B4634" t="s">
        <v>44</v>
      </c>
      <c r="C4634" s="3">
        <v>0.5</v>
      </c>
      <c r="D4634">
        <v>1</v>
      </c>
      <c r="E4634">
        <v>1</v>
      </c>
      <c r="F4634">
        <v>1</v>
      </c>
    </row>
    <row r="4635" spans="1:6">
      <c r="A4635" t="s">
        <v>361</v>
      </c>
      <c r="B4635" t="s">
        <v>45</v>
      </c>
      <c r="C4635" s="3">
        <v>-0.0999999999999943</v>
      </c>
      <c r="D4635">
        <v>1</v>
      </c>
      <c r="E4635">
        <v>1</v>
      </c>
      <c r="F4635">
        <v>1</v>
      </c>
    </row>
    <row r="4636" spans="1:6">
      <c r="A4636" t="s">
        <v>361</v>
      </c>
      <c r="B4636" t="s">
        <v>396</v>
      </c>
      <c r="C4636" s="3">
        <v>8.48605798439403</v>
      </c>
      <c r="D4636">
        <v>1</v>
      </c>
      <c r="E4636">
        <v>1</v>
      </c>
      <c r="F4636">
        <v>1</v>
      </c>
    </row>
    <row r="4637" spans="1:6">
      <c r="A4637" t="s">
        <v>362</v>
      </c>
      <c r="B4637" t="s">
        <v>34</v>
      </c>
      <c r="C4637" s="3">
        <v>90.6</v>
      </c>
      <c r="D4637">
        <v>1</v>
      </c>
      <c r="E4637">
        <v>1</v>
      </c>
      <c r="F4637">
        <v>1</v>
      </c>
    </row>
    <row r="4638" spans="1:6">
      <c r="A4638" t="s">
        <v>362</v>
      </c>
      <c r="B4638" t="s">
        <v>35</v>
      </c>
      <c r="C4638" s="3">
        <v>7.3071</v>
      </c>
      <c r="D4638">
        <v>1</v>
      </c>
      <c r="E4638">
        <v>1</v>
      </c>
      <c r="F4638">
        <v>1</v>
      </c>
    </row>
    <row r="4639" spans="1:6">
      <c r="A4639" t="s">
        <v>362</v>
      </c>
      <c r="B4639" t="s">
        <v>36</v>
      </c>
      <c r="C4639" s="3">
        <v>662.02326</v>
      </c>
      <c r="D4639">
        <v>1</v>
      </c>
      <c r="E4639">
        <v>1</v>
      </c>
      <c r="F4639">
        <v>1</v>
      </c>
    </row>
    <row r="4640" spans="1:6">
      <c r="A4640" t="s">
        <v>362</v>
      </c>
      <c r="B4640" t="s">
        <v>40</v>
      </c>
      <c r="C4640" s="3">
        <v>93.3</v>
      </c>
      <c r="D4640">
        <v>1</v>
      </c>
      <c r="E4640">
        <v>1</v>
      </c>
      <c r="F4640">
        <v>1</v>
      </c>
    </row>
    <row r="4641" spans="1:6">
      <c r="A4641" t="s">
        <v>362</v>
      </c>
      <c r="B4641" t="s">
        <v>41</v>
      </c>
      <c r="C4641" s="3">
        <v>97.4</v>
      </c>
      <c r="D4641">
        <v>1</v>
      </c>
      <c r="E4641">
        <v>1</v>
      </c>
      <c r="F4641">
        <v>1</v>
      </c>
    </row>
    <row r="4642" spans="1:6">
      <c r="A4642" t="s">
        <v>362</v>
      </c>
      <c r="B4642" t="s">
        <v>42</v>
      </c>
      <c r="C4642" s="3">
        <v>99.8</v>
      </c>
      <c r="D4642">
        <v>1</v>
      </c>
      <c r="E4642">
        <v>1</v>
      </c>
      <c r="F4642">
        <v>1</v>
      </c>
    </row>
    <row r="4643" spans="1:6">
      <c r="A4643" t="s">
        <v>362</v>
      </c>
      <c r="B4643" t="s">
        <v>46</v>
      </c>
      <c r="C4643" s="3">
        <v>96.3</v>
      </c>
      <c r="D4643">
        <v>1</v>
      </c>
      <c r="E4643">
        <v>1</v>
      </c>
      <c r="F4643">
        <v>1</v>
      </c>
    </row>
    <row r="4644" spans="1:6">
      <c r="A4644" t="s">
        <v>362</v>
      </c>
      <c r="B4644" t="s">
        <v>392</v>
      </c>
      <c r="C4644" s="3">
        <v>48954957150</v>
      </c>
      <c r="D4644">
        <v>1</v>
      </c>
      <c r="E4644">
        <v>1</v>
      </c>
      <c r="F4644">
        <v>1</v>
      </c>
    </row>
    <row r="4645" spans="1:6">
      <c r="A4645" t="s">
        <v>362</v>
      </c>
      <c r="B4645" t="s">
        <v>393</v>
      </c>
      <c r="C4645" s="3">
        <v>233297943827</v>
      </c>
      <c r="D4645">
        <v>1</v>
      </c>
      <c r="E4645">
        <v>1</v>
      </c>
      <c r="F4645">
        <v>1</v>
      </c>
    </row>
    <row r="4646" spans="1:6">
      <c r="A4646" t="s">
        <v>362</v>
      </c>
      <c r="B4646" t="s">
        <v>394</v>
      </c>
      <c r="C4646" s="3">
        <v>4.76556323218026</v>
      </c>
      <c r="D4646">
        <v>1</v>
      </c>
      <c r="E4646">
        <v>1</v>
      </c>
      <c r="F4646">
        <v>1</v>
      </c>
    </row>
    <row r="4647" spans="1:6">
      <c r="A4647" t="s">
        <v>362</v>
      </c>
      <c r="B4647" t="s">
        <v>39</v>
      </c>
      <c r="C4647" s="3">
        <v>-3.25975579043408</v>
      </c>
      <c r="D4647">
        <v>1</v>
      </c>
      <c r="E4647">
        <v>1</v>
      </c>
      <c r="F4647">
        <v>1</v>
      </c>
    </row>
    <row r="4648" spans="1:6">
      <c r="A4648" t="s">
        <v>362</v>
      </c>
      <c r="B4648" t="s">
        <v>43</v>
      </c>
      <c r="C4648" s="3">
        <v>0.299999999999997</v>
      </c>
      <c r="D4648">
        <v>1</v>
      </c>
      <c r="E4648">
        <v>1</v>
      </c>
      <c r="F4648">
        <v>1</v>
      </c>
    </row>
    <row r="4649" spans="1:6">
      <c r="A4649" t="s">
        <v>362</v>
      </c>
      <c r="B4649" t="s">
        <v>44</v>
      </c>
      <c r="C4649" s="3">
        <v>-0.0999999999999943</v>
      </c>
      <c r="D4649">
        <v>1</v>
      </c>
      <c r="E4649">
        <v>1</v>
      </c>
      <c r="F4649">
        <v>1</v>
      </c>
    </row>
    <row r="4650" spans="1:6">
      <c r="A4650" t="s">
        <v>362</v>
      </c>
      <c r="B4650" t="s">
        <v>45</v>
      </c>
      <c r="C4650" s="3">
        <v>-0.200000000000003</v>
      </c>
      <c r="D4650">
        <v>1</v>
      </c>
      <c r="E4650">
        <v>1</v>
      </c>
      <c r="F4650">
        <v>1</v>
      </c>
    </row>
    <row r="4651" spans="1:6">
      <c r="A4651" t="s">
        <v>362</v>
      </c>
      <c r="B4651" t="s">
        <v>396</v>
      </c>
      <c r="C4651" s="3">
        <v>4.02337293869377</v>
      </c>
      <c r="D4651">
        <v>1</v>
      </c>
      <c r="E4651">
        <v>1</v>
      </c>
      <c r="F4651">
        <v>1</v>
      </c>
    </row>
    <row r="4652" spans="1:6">
      <c r="A4652" t="s">
        <v>363</v>
      </c>
      <c r="B4652" t="s">
        <v>34</v>
      </c>
      <c r="C4652" s="3">
        <v>82.94</v>
      </c>
      <c r="D4652">
        <v>1</v>
      </c>
      <c r="E4652">
        <v>1</v>
      </c>
      <c r="F4652">
        <v>1</v>
      </c>
    </row>
    <row r="4653" spans="1:6">
      <c r="A4653" t="s">
        <v>363</v>
      </c>
      <c r="B4653" t="s">
        <v>35</v>
      </c>
      <c r="C4653" s="3">
        <v>7.2226</v>
      </c>
      <c r="D4653">
        <v>1</v>
      </c>
      <c r="E4653">
        <v>1</v>
      </c>
      <c r="F4653">
        <v>1</v>
      </c>
    </row>
    <row r="4654" spans="1:6">
      <c r="A4654" t="s">
        <v>363</v>
      </c>
      <c r="B4654" t="s">
        <v>36</v>
      </c>
      <c r="C4654" s="3">
        <v>599.042444</v>
      </c>
      <c r="D4654">
        <v>1</v>
      </c>
      <c r="E4654">
        <v>1</v>
      </c>
      <c r="F4654">
        <v>1</v>
      </c>
    </row>
    <row r="4655" spans="1:6">
      <c r="A4655" t="s">
        <v>363</v>
      </c>
      <c r="B4655" t="s">
        <v>40</v>
      </c>
      <c r="C4655" s="3">
        <v>92.6</v>
      </c>
      <c r="D4655">
        <v>1</v>
      </c>
      <c r="E4655">
        <v>1</v>
      </c>
      <c r="F4655">
        <v>1</v>
      </c>
    </row>
    <row r="4656" spans="1:6">
      <c r="A4656" t="s">
        <v>363</v>
      </c>
      <c r="B4656" t="s">
        <v>41</v>
      </c>
      <c r="C4656" s="3">
        <v>97</v>
      </c>
      <c r="D4656">
        <v>1</v>
      </c>
      <c r="E4656">
        <v>1</v>
      </c>
      <c r="F4656">
        <v>1</v>
      </c>
    </row>
    <row r="4657" spans="1:6">
      <c r="A4657" t="s">
        <v>363</v>
      </c>
      <c r="B4657" t="s">
        <v>42</v>
      </c>
      <c r="C4657" s="3">
        <v>99.5</v>
      </c>
      <c r="D4657">
        <v>1</v>
      </c>
      <c r="E4657">
        <v>1</v>
      </c>
      <c r="F4657">
        <v>1</v>
      </c>
    </row>
    <row r="4658" spans="1:6">
      <c r="A4658" t="s">
        <v>363</v>
      </c>
      <c r="B4658" t="s">
        <v>46</v>
      </c>
      <c r="C4658" s="3">
        <v>96</v>
      </c>
      <c r="D4658">
        <v>1</v>
      </c>
      <c r="E4658">
        <v>1</v>
      </c>
      <c r="F4658">
        <v>1</v>
      </c>
    </row>
    <row r="4659" spans="1:6">
      <c r="A4659" t="s">
        <v>363</v>
      </c>
      <c r="B4659" t="s">
        <v>392</v>
      </c>
      <c r="C4659" s="3">
        <v>42425229570</v>
      </c>
      <c r="D4659">
        <v>1</v>
      </c>
      <c r="E4659">
        <v>1</v>
      </c>
      <c r="F4659">
        <v>1</v>
      </c>
    </row>
    <row r="4660" spans="1:6">
      <c r="A4660" t="s">
        <v>363</v>
      </c>
      <c r="B4660" t="s">
        <v>393</v>
      </c>
      <c r="C4660" s="3">
        <v>197709513502</v>
      </c>
      <c r="D4660">
        <v>1</v>
      </c>
      <c r="E4660">
        <v>1</v>
      </c>
      <c r="F4660">
        <v>1</v>
      </c>
    </row>
    <row r="4661" spans="1:6">
      <c r="A4661" t="s">
        <v>363</v>
      </c>
      <c r="B4661" t="s">
        <v>394</v>
      </c>
      <c r="C4661" s="3">
        <v>4.66018724013707</v>
      </c>
      <c r="D4661">
        <v>1</v>
      </c>
      <c r="E4661">
        <v>1</v>
      </c>
      <c r="F4661">
        <v>1</v>
      </c>
    </row>
    <row r="4662" spans="1:6">
      <c r="A4662" t="s">
        <v>363</v>
      </c>
      <c r="B4662" t="s">
        <v>39</v>
      </c>
      <c r="C4662" s="3">
        <v>-9.99682375694557</v>
      </c>
      <c r="D4662">
        <v>1</v>
      </c>
      <c r="E4662">
        <v>1</v>
      </c>
      <c r="F4662">
        <v>1</v>
      </c>
    </row>
    <row r="4663" spans="1:6">
      <c r="A4663" t="s">
        <v>363</v>
      </c>
      <c r="B4663" t="s">
        <v>43</v>
      </c>
      <c r="C4663" s="3">
        <v>-0.700000000000003</v>
      </c>
      <c r="D4663">
        <v>1</v>
      </c>
      <c r="E4663">
        <v>1</v>
      </c>
      <c r="F4663">
        <v>1</v>
      </c>
    </row>
    <row r="4664" spans="1:6">
      <c r="A4664" t="s">
        <v>363</v>
      </c>
      <c r="B4664" t="s">
        <v>44</v>
      </c>
      <c r="C4664" s="3">
        <v>-0.400000000000006</v>
      </c>
      <c r="D4664">
        <v>1</v>
      </c>
      <c r="E4664">
        <v>1</v>
      </c>
      <c r="F4664">
        <v>1</v>
      </c>
    </row>
    <row r="4665" spans="1:6">
      <c r="A4665" t="s">
        <v>363</v>
      </c>
      <c r="B4665" t="s">
        <v>45</v>
      </c>
      <c r="C4665" s="3">
        <v>-0.299999999999997</v>
      </c>
      <c r="D4665">
        <v>1</v>
      </c>
      <c r="E4665">
        <v>1</v>
      </c>
      <c r="F4665">
        <v>1</v>
      </c>
    </row>
    <row r="4666" spans="1:6">
      <c r="A4666" t="s">
        <v>363</v>
      </c>
      <c r="B4666" t="s">
        <v>396</v>
      </c>
      <c r="C4666" s="3">
        <v>-2.23601044301963</v>
      </c>
      <c r="D4666">
        <v>1</v>
      </c>
      <c r="E4666">
        <v>1</v>
      </c>
      <c r="F4666">
        <v>1</v>
      </c>
    </row>
    <row r="4667" spans="1:6">
      <c r="A4667" t="s">
        <v>364</v>
      </c>
      <c r="B4667" t="s">
        <v>34</v>
      </c>
      <c r="C4667" s="3">
        <v>77.63</v>
      </c>
      <c r="D4667">
        <v>1</v>
      </c>
      <c r="E4667">
        <v>1</v>
      </c>
      <c r="F4667">
        <v>1</v>
      </c>
    </row>
    <row r="4668" spans="1:6">
      <c r="A4668" t="s">
        <v>364</v>
      </c>
      <c r="B4668" t="s">
        <v>35</v>
      </c>
      <c r="C4668" s="3">
        <v>7.1402</v>
      </c>
      <c r="D4668">
        <v>1</v>
      </c>
      <c r="E4668">
        <v>1</v>
      </c>
      <c r="F4668">
        <v>1</v>
      </c>
    </row>
    <row r="4669" spans="1:6">
      <c r="A4669" t="s">
        <v>364</v>
      </c>
      <c r="B4669" t="s">
        <v>36</v>
      </c>
      <c r="C4669" s="3">
        <v>554.293726</v>
      </c>
      <c r="D4669">
        <v>1</v>
      </c>
      <c r="E4669">
        <v>1</v>
      </c>
      <c r="F4669">
        <v>1</v>
      </c>
    </row>
    <row r="4670" spans="1:6">
      <c r="A4670" t="s">
        <v>364</v>
      </c>
      <c r="B4670" t="s">
        <v>40</v>
      </c>
      <c r="C4670" s="3">
        <v>92.8</v>
      </c>
      <c r="D4670">
        <v>1</v>
      </c>
      <c r="E4670">
        <v>1</v>
      </c>
      <c r="F4670">
        <v>1</v>
      </c>
    </row>
    <row r="4671" spans="1:6">
      <c r="A4671" t="s">
        <v>364</v>
      </c>
      <c r="B4671" t="s">
        <v>41</v>
      </c>
      <c r="C4671" s="3">
        <v>97.3</v>
      </c>
      <c r="D4671">
        <v>1</v>
      </c>
      <c r="E4671">
        <v>1</v>
      </c>
      <c r="F4671">
        <v>1</v>
      </c>
    </row>
    <row r="4672" spans="1:6">
      <c r="A4672" t="s">
        <v>364</v>
      </c>
      <c r="B4672" t="s">
        <v>42</v>
      </c>
      <c r="C4672" s="3">
        <v>99.7</v>
      </c>
      <c r="D4672">
        <v>1</v>
      </c>
      <c r="E4672">
        <v>1</v>
      </c>
      <c r="F4672">
        <v>1</v>
      </c>
    </row>
    <row r="4673" spans="1:6">
      <c r="A4673" t="s">
        <v>364</v>
      </c>
      <c r="B4673" t="s">
        <v>46</v>
      </c>
      <c r="C4673" s="3">
        <v>96.2</v>
      </c>
      <c r="D4673">
        <v>1</v>
      </c>
      <c r="E4673">
        <v>1</v>
      </c>
      <c r="F4673">
        <v>1</v>
      </c>
    </row>
    <row r="4674" spans="1:6">
      <c r="A4674" t="s">
        <v>364</v>
      </c>
      <c r="B4674" t="s">
        <v>392</v>
      </c>
      <c r="C4674" s="3">
        <v>48358361191</v>
      </c>
      <c r="D4674">
        <v>1</v>
      </c>
      <c r="E4674">
        <v>1</v>
      </c>
      <c r="F4674">
        <v>1</v>
      </c>
    </row>
    <row r="4675" spans="1:6">
      <c r="A4675" t="s">
        <v>364</v>
      </c>
      <c r="B4675" t="s">
        <v>393</v>
      </c>
      <c r="C4675" s="3">
        <v>211391782106</v>
      </c>
      <c r="D4675">
        <v>1</v>
      </c>
      <c r="E4675">
        <v>1</v>
      </c>
      <c r="F4675">
        <v>1</v>
      </c>
    </row>
    <row r="4676" spans="1:6">
      <c r="A4676" t="s">
        <v>364</v>
      </c>
      <c r="B4676" t="s">
        <v>394</v>
      </c>
      <c r="C4676" s="3">
        <v>4.3713595105316</v>
      </c>
      <c r="D4676">
        <v>1</v>
      </c>
      <c r="E4676">
        <v>1</v>
      </c>
      <c r="F4676">
        <v>1</v>
      </c>
    </row>
    <row r="4677" spans="1:6">
      <c r="A4677" t="s">
        <v>364</v>
      </c>
      <c r="B4677" t="s">
        <v>39</v>
      </c>
      <c r="C4677" s="3">
        <v>-7.76377161207036</v>
      </c>
      <c r="D4677">
        <v>1</v>
      </c>
      <c r="E4677">
        <v>1</v>
      </c>
      <c r="F4677">
        <v>1</v>
      </c>
    </row>
    <row r="4678" spans="1:6">
      <c r="A4678" t="s">
        <v>364</v>
      </c>
      <c r="B4678" t="s">
        <v>43</v>
      </c>
      <c r="C4678" s="3">
        <v>0.200000000000003</v>
      </c>
      <c r="D4678">
        <v>1</v>
      </c>
      <c r="E4678">
        <v>1</v>
      </c>
      <c r="F4678">
        <v>1</v>
      </c>
    </row>
    <row r="4679" spans="1:6">
      <c r="A4679" t="s">
        <v>364</v>
      </c>
      <c r="B4679" t="s">
        <v>44</v>
      </c>
      <c r="C4679" s="3">
        <v>0.299999999999997</v>
      </c>
      <c r="D4679">
        <v>1</v>
      </c>
      <c r="E4679">
        <v>1</v>
      </c>
      <c r="F4679">
        <v>1</v>
      </c>
    </row>
    <row r="4680" spans="1:6">
      <c r="A4680" t="s">
        <v>364</v>
      </c>
      <c r="B4680" t="s">
        <v>45</v>
      </c>
      <c r="C4680" s="3">
        <v>0.200000000000003</v>
      </c>
      <c r="D4680">
        <v>1</v>
      </c>
      <c r="E4680">
        <v>1</v>
      </c>
      <c r="F4680">
        <v>1</v>
      </c>
    </row>
    <row r="4681" spans="1:6">
      <c r="A4681" t="s">
        <v>364</v>
      </c>
      <c r="B4681" t="s">
        <v>396</v>
      </c>
      <c r="C4681" s="3">
        <v>-6.3981566083451</v>
      </c>
      <c r="D4681">
        <v>1</v>
      </c>
      <c r="E4681">
        <v>1</v>
      </c>
      <c r="F4681">
        <v>1</v>
      </c>
    </row>
    <row r="4682" spans="1:6">
      <c r="A4682" t="s">
        <v>365</v>
      </c>
      <c r="B4682" t="s">
        <v>34</v>
      </c>
      <c r="C4682" s="3">
        <v>80.12</v>
      </c>
      <c r="D4682">
        <v>1</v>
      </c>
      <c r="E4682">
        <v>1</v>
      </c>
      <c r="F4682">
        <v>1</v>
      </c>
    </row>
    <row r="4683" spans="1:6">
      <c r="A4683" t="s">
        <v>365</v>
      </c>
      <c r="B4683" t="s">
        <v>35</v>
      </c>
      <c r="C4683" s="3">
        <v>7.1707</v>
      </c>
      <c r="D4683">
        <v>1</v>
      </c>
      <c r="E4683">
        <v>1</v>
      </c>
      <c r="F4683">
        <v>1</v>
      </c>
    </row>
    <row r="4684" spans="1:6">
      <c r="A4684" t="s">
        <v>365</v>
      </c>
      <c r="B4684" t="s">
        <v>36</v>
      </c>
      <c r="C4684" s="3">
        <v>574.516484</v>
      </c>
      <c r="D4684">
        <v>1</v>
      </c>
      <c r="E4684">
        <v>1</v>
      </c>
      <c r="F4684">
        <v>1</v>
      </c>
    </row>
    <row r="4685" spans="1:6">
      <c r="A4685" t="s">
        <v>365</v>
      </c>
      <c r="B4685" t="s">
        <v>40</v>
      </c>
      <c r="C4685" s="3">
        <v>93.3</v>
      </c>
      <c r="D4685">
        <v>1</v>
      </c>
      <c r="E4685">
        <v>1</v>
      </c>
      <c r="F4685">
        <v>1</v>
      </c>
    </row>
    <row r="4686" spans="1:6">
      <c r="A4686" t="s">
        <v>365</v>
      </c>
      <c r="B4686" t="s">
        <v>41</v>
      </c>
      <c r="C4686" s="3">
        <v>97.5</v>
      </c>
      <c r="D4686">
        <v>1</v>
      </c>
      <c r="E4686">
        <v>1</v>
      </c>
      <c r="F4686">
        <v>1</v>
      </c>
    </row>
    <row r="4687" spans="1:6">
      <c r="A4687" t="s">
        <v>365</v>
      </c>
      <c r="B4687" t="s">
        <v>42</v>
      </c>
      <c r="C4687" s="3">
        <v>99.2</v>
      </c>
      <c r="D4687">
        <v>1</v>
      </c>
      <c r="E4687">
        <v>1</v>
      </c>
      <c r="F4687">
        <v>1</v>
      </c>
    </row>
    <row r="4688" spans="1:6">
      <c r="A4688" t="s">
        <v>365</v>
      </c>
      <c r="B4688" t="s">
        <v>46</v>
      </c>
      <c r="C4688" s="3">
        <v>96.6</v>
      </c>
      <c r="D4688">
        <v>1</v>
      </c>
      <c r="E4688">
        <v>1</v>
      </c>
      <c r="F4688">
        <v>1</v>
      </c>
    </row>
    <row r="4689" spans="1:6">
      <c r="A4689" t="s">
        <v>365</v>
      </c>
      <c r="B4689" t="s">
        <v>392</v>
      </c>
      <c r="C4689" s="3">
        <v>44166290031</v>
      </c>
      <c r="D4689">
        <v>1</v>
      </c>
      <c r="E4689">
        <v>1</v>
      </c>
      <c r="F4689">
        <v>1</v>
      </c>
    </row>
    <row r="4690" spans="1:6">
      <c r="A4690" t="s">
        <v>365</v>
      </c>
      <c r="B4690" t="s">
        <v>393</v>
      </c>
      <c r="C4690" s="3">
        <v>183738644773</v>
      </c>
      <c r="D4690">
        <v>1</v>
      </c>
      <c r="E4690">
        <v>1</v>
      </c>
      <c r="F4690">
        <v>1</v>
      </c>
    </row>
    <row r="4691" spans="1:6">
      <c r="A4691" t="s">
        <v>365</v>
      </c>
      <c r="B4691" t="s">
        <v>394</v>
      </c>
      <c r="C4691" s="3">
        <v>4.16015573515537</v>
      </c>
      <c r="D4691">
        <v>1</v>
      </c>
      <c r="E4691">
        <v>1</v>
      </c>
      <c r="F4691">
        <v>1</v>
      </c>
    </row>
    <row r="4692" spans="1:6">
      <c r="A4692" t="s">
        <v>365</v>
      </c>
      <c r="B4692" t="s">
        <v>39</v>
      </c>
      <c r="C4692" s="3">
        <v>3.58340520722504</v>
      </c>
      <c r="D4692">
        <v>1</v>
      </c>
      <c r="E4692">
        <v>1</v>
      </c>
      <c r="F4692">
        <v>1</v>
      </c>
    </row>
    <row r="4693" spans="1:6">
      <c r="A4693" t="s">
        <v>365</v>
      </c>
      <c r="B4693" t="s">
        <v>43</v>
      </c>
      <c r="C4693" s="3">
        <v>0.5</v>
      </c>
      <c r="D4693">
        <v>1</v>
      </c>
      <c r="E4693">
        <v>1</v>
      </c>
      <c r="F4693">
        <v>1</v>
      </c>
    </row>
    <row r="4694" spans="1:6">
      <c r="A4694" t="s">
        <v>365</v>
      </c>
      <c r="B4694" t="s">
        <v>44</v>
      </c>
      <c r="C4694" s="3">
        <v>0.200000000000003</v>
      </c>
      <c r="D4694">
        <v>1</v>
      </c>
      <c r="E4694">
        <v>1</v>
      </c>
      <c r="F4694">
        <v>1</v>
      </c>
    </row>
    <row r="4695" spans="1:6">
      <c r="A4695" t="s">
        <v>365</v>
      </c>
      <c r="B4695" t="s">
        <v>45</v>
      </c>
      <c r="C4695" s="3">
        <v>-0.5</v>
      </c>
      <c r="D4695">
        <v>1</v>
      </c>
      <c r="E4695">
        <v>1</v>
      </c>
      <c r="F4695">
        <v>1</v>
      </c>
    </row>
    <row r="4696" spans="1:6">
      <c r="A4696" t="s">
        <v>365</v>
      </c>
      <c r="B4696" t="s">
        <v>396</v>
      </c>
      <c r="C4696" s="3">
        <v>-4.95215516259478</v>
      </c>
      <c r="D4696">
        <v>1</v>
      </c>
      <c r="E4696">
        <v>1</v>
      </c>
      <c r="F4696">
        <v>1</v>
      </c>
    </row>
    <row r="4697" spans="1:6">
      <c r="A4697" t="s">
        <v>366</v>
      </c>
      <c r="B4697" t="s">
        <v>34</v>
      </c>
      <c r="C4697" s="3">
        <v>83.48</v>
      </c>
      <c r="D4697">
        <v>1</v>
      </c>
      <c r="E4697">
        <v>1</v>
      </c>
      <c r="F4697">
        <v>1</v>
      </c>
    </row>
    <row r="4698" spans="1:6">
      <c r="A4698" t="s">
        <v>366</v>
      </c>
      <c r="B4698" t="s">
        <v>35</v>
      </c>
      <c r="C4698" s="3">
        <v>7.1935</v>
      </c>
      <c r="D4698">
        <v>1</v>
      </c>
      <c r="E4698">
        <v>1</v>
      </c>
      <c r="F4698">
        <v>1</v>
      </c>
    </row>
    <row r="4699" spans="1:6">
      <c r="A4699" t="s">
        <v>366</v>
      </c>
      <c r="B4699" t="s">
        <v>36</v>
      </c>
      <c r="C4699" s="3">
        <v>600.51338</v>
      </c>
      <c r="D4699">
        <v>1</v>
      </c>
      <c r="E4699">
        <v>1</v>
      </c>
      <c r="F4699">
        <v>1</v>
      </c>
    </row>
    <row r="4700" spans="1:6">
      <c r="A4700" t="s">
        <v>366</v>
      </c>
      <c r="B4700" t="s">
        <v>40</v>
      </c>
      <c r="C4700" s="3">
        <v>93.4</v>
      </c>
      <c r="D4700">
        <v>1</v>
      </c>
      <c r="E4700">
        <v>1</v>
      </c>
      <c r="F4700">
        <v>1</v>
      </c>
    </row>
    <row r="4701" spans="1:6">
      <c r="A4701" t="s">
        <v>366</v>
      </c>
      <c r="B4701" t="s">
        <v>41</v>
      </c>
      <c r="C4701" s="3">
        <v>97.3</v>
      </c>
      <c r="D4701">
        <v>1</v>
      </c>
      <c r="E4701">
        <v>1</v>
      </c>
      <c r="F4701">
        <v>1</v>
      </c>
    </row>
    <row r="4702" spans="1:6">
      <c r="A4702" t="s">
        <v>366</v>
      </c>
      <c r="B4702" t="s">
        <v>42</v>
      </c>
      <c r="C4702" s="3">
        <v>100.7</v>
      </c>
      <c r="D4702">
        <v>1</v>
      </c>
      <c r="E4702">
        <v>1</v>
      </c>
      <c r="F4702">
        <v>1</v>
      </c>
    </row>
    <row r="4703" spans="1:6">
      <c r="A4703" t="s">
        <v>366</v>
      </c>
      <c r="B4703" t="s">
        <v>46</v>
      </c>
      <c r="C4703" s="3">
        <v>96.6</v>
      </c>
      <c r="D4703">
        <v>1</v>
      </c>
      <c r="E4703">
        <v>1</v>
      </c>
      <c r="F4703">
        <v>1</v>
      </c>
    </row>
    <row r="4704" spans="1:6">
      <c r="A4704" t="s">
        <v>366</v>
      </c>
      <c r="B4704" t="s">
        <v>392</v>
      </c>
      <c r="C4704" s="3">
        <v>44137624714</v>
      </c>
      <c r="D4704">
        <v>1</v>
      </c>
      <c r="E4704">
        <v>1</v>
      </c>
      <c r="F4704">
        <v>1</v>
      </c>
    </row>
    <row r="4705" spans="1:6">
      <c r="A4705" t="s">
        <v>366</v>
      </c>
      <c r="B4705" t="s">
        <v>393</v>
      </c>
      <c r="C4705" s="3">
        <v>185499668147</v>
      </c>
      <c r="D4705">
        <v>1</v>
      </c>
      <c r="E4705">
        <v>1</v>
      </c>
      <c r="F4705">
        <v>1</v>
      </c>
    </row>
    <row r="4706" spans="1:6">
      <c r="A4706" t="s">
        <v>366</v>
      </c>
      <c r="B4706" t="s">
        <v>394</v>
      </c>
      <c r="C4706" s="3">
        <v>4.20275602389091</v>
      </c>
      <c r="D4706">
        <v>1</v>
      </c>
      <c r="E4706">
        <v>1</v>
      </c>
      <c r="F4706">
        <v>1</v>
      </c>
    </row>
    <row r="4707" spans="1:6">
      <c r="A4707" t="s">
        <v>366</v>
      </c>
      <c r="B4707" t="s">
        <v>39</v>
      </c>
      <c r="C4707" s="3">
        <v>4.42561330504431</v>
      </c>
      <c r="D4707">
        <v>1</v>
      </c>
      <c r="E4707">
        <v>1</v>
      </c>
      <c r="F4707">
        <v>1</v>
      </c>
    </row>
    <row r="4708" spans="1:6">
      <c r="A4708" t="s">
        <v>366</v>
      </c>
      <c r="B4708" t="s">
        <v>43</v>
      </c>
      <c r="C4708" s="3">
        <v>0.100000000000009</v>
      </c>
      <c r="D4708">
        <v>1</v>
      </c>
      <c r="E4708">
        <v>1</v>
      </c>
      <c r="F4708">
        <v>1</v>
      </c>
    </row>
    <row r="4709" spans="1:6">
      <c r="A4709" t="s">
        <v>366</v>
      </c>
      <c r="B4709" t="s">
        <v>44</v>
      </c>
      <c r="C4709" s="3">
        <v>-0.200000000000003</v>
      </c>
      <c r="D4709">
        <v>1</v>
      </c>
      <c r="E4709">
        <v>1</v>
      </c>
      <c r="F4709">
        <v>1</v>
      </c>
    </row>
    <row r="4710" spans="1:6">
      <c r="A4710" t="s">
        <v>366</v>
      </c>
      <c r="B4710" t="s">
        <v>45</v>
      </c>
      <c r="C4710" s="3">
        <v>1.5</v>
      </c>
      <c r="D4710">
        <v>1</v>
      </c>
      <c r="E4710">
        <v>1</v>
      </c>
      <c r="F4710">
        <v>1</v>
      </c>
    </row>
    <row r="4711" spans="1:6">
      <c r="A4711" t="s">
        <v>366</v>
      </c>
      <c r="B4711" t="s">
        <v>396</v>
      </c>
      <c r="C4711" s="3">
        <v>1.01879963433861</v>
      </c>
      <c r="D4711">
        <v>1</v>
      </c>
      <c r="E4711">
        <v>1</v>
      </c>
      <c r="F4711">
        <v>1</v>
      </c>
    </row>
    <row r="4712" spans="1:6">
      <c r="A4712" t="s">
        <v>367</v>
      </c>
      <c r="B4712" t="s">
        <v>34</v>
      </c>
      <c r="C4712" s="3">
        <v>85.41</v>
      </c>
      <c r="D4712">
        <v>1</v>
      </c>
      <c r="E4712">
        <v>1</v>
      </c>
      <c r="F4712">
        <v>1</v>
      </c>
    </row>
    <row r="4713" spans="1:6">
      <c r="A4713" t="s">
        <v>367</v>
      </c>
      <c r="B4713" t="s">
        <v>35</v>
      </c>
      <c r="C4713" s="3">
        <v>7.2015</v>
      </c>
      <c r="D4713">
        <v>1</v>
      </c>
      <c r="E4713">
        <v>1</v>
      </c>
      <c r="F4713">
        <v>1</v>
      </c>
    </row>
    <row r="4714" spans="1:6">
      <c r="A4714" t="s">
        <v>367</v>
      </c>
      <c r="B4714" t="s">
        <v>36</v>
      </c>
      <c r="C4714" s="3">
        <v>615.080115</v>
      </c>
      <c r="D4714">
        <v>1</v>
      </c>
      <c r="E4714">
        <v>1</v>
      </c>
      <c r="F4714">
        <v>1</v>
      </c>
    </row>
    <row r="4715" spans="1:6">
      <c r="A4715" t="s">
        <v>367</v>
      </c>
      <c r="B4715" t="s">
        <v>40</v>
      </c>
      <c r="C4715" s="3">
        <v>95.1</v>
      </c>
      <c r="D4715">
        <v>1</v>
      </c>
      <c r="E4715">
        <v>1</v>
      </c>
      <c r="F4715">
        <v>1</v>
      </c>
    </row>
    <row r="4716" spans="1:6">
      <c r="A4716" t="s">
        <v>367</v>
      </c>
      <c r="B4716" t="s">
        <v>41</v>
      </c>
      <c r="C4716" s="3">
        <v>97.2</v>
      </c>
      <c r="D4716">
        <v>1</v>
      </c>
      <c r="E4716">
        <v>1</v>
      </c>
      <c r="F4716">
        <v>1</v>
      </c>
    </row>
    <row r="4717" spans="1:6">
      <c r="A4717" t="s">
        <v>367</v>
      </c>
      <c r="B4717" t="s">
        <v>42</v>
      </c>
      <c r="C4717" s="3">
        <v>100.1</v>
      </c>
      <c r="D4717">
        <v>1</v>
      </c>
      <c r="E4717">
        <v>1</v>
      </c>
      <c r="F4717">
        <v>1</v>
      </c>
    </row>
    <row r="4718" spans="1:6">
      <c r="A4718" t="s">
        <v>367</v>
      </c>
      <c r="B4718" t="s">
        <v>46</v>
      </c>
      <c r="C4718" s="3">
        <v>96.5</v>
      </c>
      <c r="D4718">
        <v>1</v>
      </c>
      <c r="E4718">
        <v>1</v>
      </c>
      <c r="F4718">
        <v>1</v>
      </c>
    </row>
    <row r="4719" spans="1:6">
      <c r="A4719" t="s">
        <v>367</v>
      </c>
      <c r="B4719" t="s">
        <v>392</v>
      </c>
      <c r="C4719" s="3">
        <v>49038217733</v>
      </c>
      <c r="D4719">
        <v>1</v>
      </c>
      <c r="E4719">
        <v>1</v>
      </c>
      <c r="F4719">
        <v>1</v>
      </c>
    </row>
    <row r="4720" spans="1:6">
      <c r="A4720" t="s">
        <v>367</v>
      </c>
      <c r="B4720" t="s">
        <v>393</v>
      </c>
      <c r="C4720" s="3">
        <v>210622975361</v>
      </c>
      <c r="D4720">
        <v>1</v>
      </c>
      <c r="E4720">
        <v>1</v>
      </c>
      <c r="F4720">
        <v>1</v>
      </c>
    </row>
    <row r="4721" spans="1:6">
      <c r="A4721" t="s">
        <v>367</v>
      </c>
      <c r="B4721" t="s">
        <v>394</v>
      </c>
      <c r="C4721" s="3">
        <v>4.29507810638196</v>
      </c>
      <c r="D4721">
        <v>1</v>
      </c>
      <c r="E4721">
        <v>1</v>
      </c>
      <c r="F4721">
        <v>1</v>
      </c>
    </row>
    <row r="4722" spans="1:6">
      <c r="A4722" t="s">
        <v>367</v>
      </c>
      <c r="B4722" t="s">
        <v>39</v>
      </c>
      <c r="C4722" s="3">
        <v>2.39676049110728</v>
      </c>
      <c r="D4722">
        <v>1</v>
      </c>
      <c r="E4722">
        <v>1</v>
      </c>
      <c r="F4722">
        <v>1</v>
      </c>
    </row>
    <row r="4723" spans="1:6">
      <c r="A4723" t="s">
        <v>367</v>
      </c>
      <c r="B4723" t="s">
        <v>43</v>
      </c>
      <c r="C4723" s="3">
        <v>1.69999999999999</v>
      </c>
      <c r="D4723">
        <v>1</v>
      </c>
      <c r="E4723">
        <v>1</v>
      </c>
      <c r="F4723">
        <v>1</v>
      </c>
    </row>
    <row r="4724" spans="1:6">
      <c r="A4724" t="s">
        <v>367</v>
      </c>
      <c r="B4724" t="s">
        <v>44</v>
      </c>
      <c r="C4724" s="3">
        <v>-0.0999999999999943</v>
      </c>
      <c r="D4724">
        <v>1</v>
      </c>
      <c r="E4724">
        <v>1</v>
      </c>
      <c r="F4724">
        <v>1</v>
      </c>
    </row>
    <row r="4725" spans="1:6">
      <c r="A4725" t="s">
        <v>367</v>
      </c>
      <c r="B4725" t="s">
        <v>45</v>
      </c>
      <c r="C4725" s="3">
        <v>-0.600000000000009</v>
      </c>
      <c r="D4725">
        <v>1</v>
      </c>
      <c r="E4725">
        <v>1</v>
      </c>
      <c r="F4725">
        <v>1</v>
      </c>
    </row>
    <row r="4726" spans="1:6">
      <c r="A4726" t="s">
        <v>367</v>
      </c>
      <c r="B4726" t="s">
        <v>396</v>
      </c>
      <c r="C4726" s="3">
        <v>2.17292344403177</v>
      </c>
      <c r="D4726">
        <v>1</v>
      </c>
      <c r="E4726">
        <v>1</v>
      </c>
      <c r="F4726">
        <v>1</v>
      </c>
    </row>
    <row r="4727" spans="1:6">
      <c r="A4727" t="s">
        <v>368</v>
      </c>
      <c r="B4727" t="s">
        <v>34</v>
      </c>
      <c r="C4727" s="3">
        <v>89.94</v>
      </c>
      <c r="D4727">
        <v>1</v>
      </c>
      <c r="E4727">
        <v>1</v>
      </c>
      <c r="F4727">
        <v>1</v>
      </c>
    </row>
    <row r="4728" spans="1:6">
      <c r="A4728" t="s">
        <v>368</v>
      </c>
      <c r="B4728" t="s">
        <v>35</v>
      </c>
      <c r="C4728" s="3">
        <v>7.2374</v>
      </c>
      <c r="D4728">
        <v>1</v>
      </c>
      <c r="E4728">
        <v>1</v>
      </c>
      <c r="F4728">
        <v>1</v>
      </c>
    </row>
    <row r="4729" spans="1:6">
      <c r="A4729" t="s">
        <v>368</v>
      </c>
      <c r="B4729" t="s">
        <v>36</v>
      </c>
      <c r="C4729" s="3">
        <v>650.931756</v>
      </c>
      <c r="D4729">
        <v>1</v>
      </c>
      <c r="E4729">
        <v>1</v>
      </c>
      <c r="F4729">
        <v>1</v>
      </c>
    </row>
    <row r="4730" spans="1:6">
      <c r="A4730" t="s">
        <v>368</v>
      </c>
      <c r="B4730" t="s">
        <v>40</v>
      </c>
      <c r="C4730" s="3">
        <v>95.7</v>
      </c>
      <c r="D4730">
        <v>1</v>
      </c>
      <c r="E4730">
        <v>1</v>
      </c>
      <c r="F4730">
        <v>1</v>
      </c>
    </row>
    <row r="4731" spans="1:6">
      <c r="A4731" t="s">
        <v>368</v>
      </c>
      <c r="B4731" t="s">
        <v>41</v>
      </c>
      <c r="C4731" s="3">
        <v>97.5</v>
      </c>
      <c r="D4731">
        <v>1</v>
      </c>
      <c r="E4731">
        <v>1</v>
      </c>
      <c r="F4731">
        <v>1</v>
      </c>
    </row>
    <row r="4732" spans="1:6">
      <c r="A4732" t="s">
        <v>368</v>
      </c>
      <c r="B4732" t="s">
        <v>42</v>
      </c>
      <c r="C4732" s="3">
        <v>100.3</v>
      </c>
      <c r="D4732">
        <v>1</v>
      </c>
      <c r="E4732">
        <v>1</v>
      </c>
      <c r="F4732">
        <v>1</v>
      </c>
    </row>
    <row r="4733" spans="1:6">
      <c r="A4733" t="s">
        <v>368</v>
      </c>
      <c r="B4733" t="s">
        <v>46</v>
      </c>
      <c r="C4733" s="3">
        <v>97</v>
      </c>
      <c r="D4733">
        <v>1</v>
      </c>
      <c r="E4733">
        <v>1</v>
      </c>
      <c r="F4733">
        <v>1</v>
      </c>
    </row>
    <row r="4734" spans="1:6">
      <c r="A4734" t="s">
        <v>368</v>
      </c>
      <c r="B4734" t="s">
        <v>392</v>
      </c>
      <c r="C4734" s="3">
        <v>44712414299</v>
      </c>
      <c r="D4734">
        <v>1</v>
      </c>
      <c r="E4734">
        <v>1</v>
      </c>
      <c r="F4734">
        <v>1</v>
      </c>
    </row>
    <row r="4735" spans="1:6">
      <c r="A4735" t="s">
        <v>368</v>
      </c>
      <c r="B4735" t="s">
        <v>393</v>
      </c>
      <c r="C4735" s="3">
        <v>198898882661</v>
      </c>
      <c r="D4735">
        <v>1</v>
      </c>
      <c r="E4735">
        <v>1</v>
      </c>
      <c r="F4735">
        <v>1</v>
      </c>
    </row>
    <row r="4736" spans="1:6">
      <c r="A4736" t="s">
        <v>368</v>
      </c>
      <c r="B4736" t="s">
        <v>394</v>
      </c>
      <c r="C4736" s="3">
        <v>4.44840400097671</v>
      </c>
      <c r="D4736">
        <v>1</v>
      </c>
      <c r="E4736">
        <v>1</v>
      </c>
      <c r="F4736">
        <v>1</v>
      </c>
    </row>
    <row r="4737" spans="1:6">
      <c r="A4737" t="s">
        <v>368</v>
      </c>
      <c r="B4737" t="s">
        <v>39</v>
      </c>
      <c r="C4737" s="3">
        <v>5.66522796054628</v>
      </c>
      <c r="D4737">
        <v>1</v>
      </c>
      <c r="E4737">
        <v>1</v>
      </c>
      <c r="F4737">
        <v>1</v>
      </c>
    </row>
    <row r="4738" spans="1:6">
      <c r="A4738" t="s">
        <v>368</v>
      </c>
      <c r="B4738" t="s">
        <v>43</v>
      </c>
      <c r="C4738" s="3">
        <v>0.600000000000009</v>
      </c>
      <c r="D4738">
        <v>1</v>
      </c>
      <c r="E4738">
        <v>1</v>
      </c>
      <c r="F4738">
        <v>1</v>
      </c>
    </row>
    <row r="4739" spans="1:6">
      <c r="A4739" t="s">
        <v>368</v>
      </c>
      <c r="B4739" t="s">
        <v>44</v>
      </c>
      <c r="C4739" s="3">
        <v>0.299999999999997</v>
      </c>
      <c r="D4739">
        <v>1</v>
      </c>
      <c r="E4739">
        <v>1</v>
      </c>
      <c r="F4739">
        <v>1</v>
      </c>
    </row>
    <row r="4740" spans="1:6">
      <c r="A4740" t="s">
        <v>368</v>
      </c>
      <c r="B4740" t="s">
        <v>45</v>
      </c>
      <c r="C4740" s="3">
        <v>0.200000000000003</v>
      </c>
      <c r="D4740">
        <v>1</v>
      </c>
      <c r="E4740">
        <v>1</v>
      </c>
      <c r="F4740">
        <v>1</v>
      </c>
    </row>
    <row r="4741" spans="1:6">
      <c r="A4741" t="s">
        <v>368</v>
      </c>
      <c r="B4741" t="s">
        <v>396</v>
      </c>
      <c r="C4741" s="3">
        <v>3.50756396898437</v>
      </c>
      <c r="D4741">
        <v>1</v>
      </c>
      <c r="E4741">
        <v>1</v>
      </c>
      <c r="F4741">
        <v>1</v>
      </c>
    </row>
    <row r="4742" spans="1:6">
      <c r="A4742" t="s">
        <v>369</v>
      </c>
      <c r="B4742" t="s">
        <v>34</v>
      </c>
      <c r="C4742" s="3">
        <v>81.75</v>
      </c>
      <c r="D4742">
        <v>1</v>
      </c>
      <c r="E4742">
        <v>1</v>
      </c>
      <c r="F4742">
        <v>1</v>
      </c>
    </row>
    <row r="4743" spans="1:6">
      <c r="A4743" t="s">
        <v>369</v>
      </c>
      <c r="B4743" t="s">
        <v>35</v>
      </c>
      <c r="C4743" s="3">
        <v>7.2327</v>
      </c>
      <c r="D4743">
        <v>1</v>
      </c>
      <c r="E4743">
        <v>1</v>
      </c>
      <c r="F4743">
        <v>1</v>
      </c>
    </row>
    <row r="4744" spans="1:6">
      <c r="A4744" t="s">
        <v>369</v>
      </c>
      <c r="B4744" t="s">
        <v>36</v>
      </c>
      <c r="C4744" s="3">
        <v>591.273225</v>
      </c>
      <c r="D4744">
        <v>1</v>
      </c>
      <c r="E4744">
        <v>1</v>
      </c>
      <c r="F4744">
        <v>1</v>
      </c>
    </row>
    <row r="4745" spans="1:6">
      <c r="A4745" t="s">
        <v>369</v>
      </c>
      <c r="B4745" t="s">
        <v>40</v>
      </c>
      <c r="C4745" s="3">
        <v>97.9</v>
      </c>
      <c r="D4745">
        <v>1</v>
      </c>
      <c r="E4745">
        <v>1</v>
      </c>
      <c r="F4745">
        <v>1</v>
      </c>
    </row>
    <row r="4746" spans="1:6">
      <c r="A4746" t="s">
        <v>369</v>
      </c>
      <c r="B4746" t="s">
        <v>41</v>
      </c>
      <c r="C4746" s="3">
        <v>98.6</v>
      </c>
      <c r="D4746">
        <v>1</v>
      </c>
      <c r="E4746">
        <v>1</v>
      </c>
      <c r="F4746">
        <v>1</v>
      </c>
    </row>
    <row r="4747" spans="1:6">
      <c r="A4747" t="s">
        <v>369</v>
      </c>
      <c r="B4747" t="s">
        <v>42</v>
      </c>
      <c r="C4747" s="3">
        <v>100.3</v>
      </c>
      <c r="D4747">
        <v>1</v>
      </c>
      <c r="E4747">
        <v>1</v>
      </c>
      <c r="F4747">
        <v>1</v>
      </c>
    </row>
    <row r="4748" spans="1:6">
      <c r="A4748" t="s">
        <v>369</v>
      </c>
      <c r="B4748" t="s">
        <v>46</v>
      </c>
      <c r="C4748" s="3">
        <v>98.3</v>
      </c>
      <c r="D4748">
        <v>1</v>
      </c>
      <c r="E4748">
        <v>1</v>
      </c>
      <c r="F4748">
        <v>1</v>
      </c>
    </row>
    <row r="4749" spans="1:6">
      <c r="A4749" t="s">
        <v>369</v>
      </c>
      <c r="B4749" t="s">
        <v>392</v>
      </c>
      <c r="C4749" s="3">
        <v>46959871949</v>
      </c>
      <c r="D4749">
        <v>1</v>
      </c>
      <c r="E4749">
        <v>1</v>
      </c>
      <c r="F4749">
        <v>1</v>
      </c>
    </row>
    <row r="4750" spans="1:6">
      <c r="A4750" t="s">
        <v>369</v>
      </c>
      <c r="B4750" t="s">
        <v>393</v>
      </c>
      <c r="C4750" s="3">
        <v>211267845414</v>
      </c>
      <c r="D4750">
        <v>1</v>
      </c>
      <c r="E4750">
        <v>1</v>
      </c>
      <c r="F4750">
        <v>1</v>
      </c>
    </row>
    <row r="4751" spans="1:6">
      <c r="A4751" t="s">
        <v>369</v>
      </c>
      <c r="B4751" t="s">
        <v>394</v>
      </c>
      <c r="C4751" s="3">
        <v>4.49890165040152</v>
      </c>
      <c r="D4751">
        <v>1</v>
      </c>
      <c r="E4751">
        <v>1</v>
      </c>
      <c r="F4751">
        <v>1</v>
      </c>
    </row>
    <row r="4752" spans="1:6">
      <c r="A4752" t="s">
        <v>369</v>
      </c>
      <c r="B4752" t="s">
        <v>39</v>
      </c>
      <c r="C4752" s="3">
        <v>-9.61265870018967</v>
      </c>
      <c r="D4752">
        <v>1</v>
      </c>
      <c r="E4752">
        <v>1</v>
      </c>
      <c r="F4752">
        <v>1</v>
      </c>
    </row>
    <row r="4753" spans="1:6">
      <c r="A4753" t="s">
        <v>369</v>
      </c>
      <c r="B4753" t="s">
        <v>43</v>
      </c>
      <c r="C4753" s="3">
        <v>2.2</v>
      </c>
      <c r="D4753">
        <v>1</v>
      </c>
      <c r="E4753">
        <v>1</v>
      </c>
      <c r="F4753">
        <v>1</v>
      </c>
    </row>
    <row r="4754" spans="1:6">
      <c r="A4754" t="s">
        <v>369</v>
      </c>
      <c r="B4754" t="s">
        <v>44</v>
      </c>
      <c r="C4754" s="3">
        <v>1.09999999999999</v>
      </c>
      <c r="D4754">
        <v>1</v>
      </c>
      <c r="E4754">
        <v>1</v>
      </c>
      <c r="F4754">
        <v>1</v>
      </c>
    </row>
    <row r="4755" spans="1:6">
      <c r="A4755" t="s">
        <v>369</v>
      </c>
      <c r="B4755" t="s">
        <v>45</v>
      </c>
      <c r="C4755" s="3">
        <v>0</v>
      </c>
      <c r="D4755">
        <v>1</v>
      </c>
      <c r="E4755">
        <v>1</v>
      </c>
      <c r="F4755">
        <v>1</v>
      </c>
    </row>
    <row r="4756" spans="1:6">
      <c r="A4756" t="s">
        <v>369</v>
      </c>
      <c r="B4756" t="s">
        <v>396</v>
      </c>
      <c r="C4756" s="3">
        <v>1.12879089144929</v>
      </c>
      <c r="D4756">
        <v>1</v>
      </c>
      <c r="E4756">
        <v>1</v>
      </c>
      <c r="F4756">
        <v>1</v>
      </c>
    </row>
    <row r="4757" spans="1:6">
      <c r="A4757" t="s">
        <v>370</v>
      </c>
      <c r="B4757" t="s">
        <v>34</v>
      </c>
      <c r="C4757" s="3">
        <v>82.25</v>
      </c>
      <c r="D4757">
        <v>1</v>
      </c>
      <c r="E4757">
        <v>1</v>
      </c>
      <c r="F4757">
        <v>1</v>
      </c>
    </row>
    <row r="4758" spans="1:6">
      <c r="A4758" t="s">
        <v>370</v>
      </c>
      <c r="B4758" t="s">
        <v>35</v>
      </c>
      <c r="C4758" s="3">
        <v>7.2547</v>
      </c>
      <c r="D4758">
        <v>1</v>
      </c>
      <c r="E4758">
        <v>1</v>
      </c>
      <c r="F4758">
        <v>1</v>
      </c>
    </row>
    <row r="4759" spans="1:6">
      <c r="A4759" t="s">
        <v>370</v>
      </c>
      <c r="B4759" t="s">
        <v>36</v>
      </c>
      <c r="C4759" s="3">
        <v>596.699075</v>
      </c>
      <c r="D4759">
        <v>1</v>
      </c>
      <c r="E4759">
        <v>1</v>
      </c>
      <c r="F4759">
        <v>1</v>
      </c>
    </row>
    <row r="4760" spans="1:6">
      <c r="A4760" t="s">
        <v>370</v>
      </c>
      <c r="B4760" t="s">
        <v>40</v>
      </c>
      <c r="C4760" s="3">
        <v>99.4</v>
      </c>
      <c r="D4760">
        <v>1</v>
      </c>
      <c r="E4760">
        <v>1</v>
      </c>
      <c r="F4760">
        <v>1</v>
      </c>
    </row>
    <row r="4761" spans="1:6">
      <c r="A4761" t="s">
        <v>370</v>
      </c>
      <c r="B4761" t="s">
        <v>41</v>
      </c>
      <c r="C4761" s="3">
        <v>99.2</v>
      </c>
      <c r="D4761">
        <v>1</v>
      </c>
      <c r="E4761">
        <v>1</v>
      </c>
      <c r="F4761">
        <v>1</v>
      </c>
    </row>
    <row r="4762" spans="1:6">
      <c r="A4762" t="s">
        <v>370</v>
      </c>
      <c r="B4762" t="s">
        <v>42</v>
      </c>
      <c r="C4762" s="3">
        <v>100.2</v>
      </c>
      <c r="D4762">
        <v>1</v>
      </c>
      <c r="E4762">
        <v>1</v>
      </c>
      <c r="F4762">
        <v>1</v>
      </c>
    </row>
    <row r="4763" spans="1:6">
      <c r="A4763" t="s">
        <v>370</v>
      </c>
      <c r="B4763" t="s">
        <v>46</v>
      </c>
      <c r="C4763" s="3">
        <v>99.5</v>
      </c>
      <c r="D4763">
        <v>1</v>
      </c>
      <c r="E4763">
        <v>1</v>
      </c>
      <c r="F4763">
        <v>1</v>
      </c>
    </row>
    <row r="4764" spans="1:6">
      <c r="A4764" t="s">
        <v>370</v>
      </c>
      <c r="B4764" t="s">
        <v>392</v>
      </c>
      <c r="C4764" s="3">
        <v>46448308177</v>
      </c>
      <c r="D4764">
        <v>1</v>
      </c>
      <c r="E4764">
        <v>1</v>
      </c>
      <c r="F4764">
        <v>1</v>
      </c>
    </row>
    <row r="4765" spans="1:6">
      <c r="A4765" t="s">
        <v>370</v>
      </c>
      <c r="B4765" t="s">
        <v>393</v>
      </c>
      <c r="C4765" s="3">
        <v>202276359538</v>
      </c>
      <c r="D4765">
        <v>1</v>
      </c>
      <c r="E4765">
        <v>1</v>
      </c>
      <c r="F4765">
        <v>1</v>
      </c>
    </row>
    <row r="4766" spans="1:6">
      <c r="A4766" t="s">
        <v>370</v>
      </c>
      <c r="B4766" t="s">
        <v>394</v>
      </c>
      <c r="C4766" s="3">
        <v>4.35487033816577</v>
      </c>
      <c r="D4766">
        <v>1</v>
      </c>
      <c r="E4766">
        <v>1</v>
      </c>
      <c r="F4766">
        <v>1</v>
      </c>
    </row>
    <row r="4767" spans="1:6">
      <c r="A4767" t="s">
        <v>370</v>
      </c>
      <c r="B4767" t="s">
        <v>39</v>
      </c>
      <c r="C4767" s="3">
        <v>0.913470411551829</v>
      </c>
      <c r="D4767">
        <v>1</v>
      </c>
      <c r="E4767">
        <v>1</v>
      </c>
      <c r="F4767">
        <v>1</v>
      </c>
    </row>
    <row r="4768" spans="1:6">
      <c r="A4768" t="s">
        <v>370</v>
      </c>
      <c r="B4768" t="s">
        <v>43</v>
      </c>
      <c r="C4768" s="3">
        <v>1.5</v>
      </c>
      <c r="D4768">
        <v>1</v>
      </c>
      <c r="E4768">
        <v>1</v>
      </c>
      <c r="F4768">
        <v>1</v>
      </c>
    </row>
    <row r="4769" spans="1:6">
      <c r="A4769" t="s">
        <v>370</v>
      </c>
      <c r="B4769" t="s">
        <v>44</v>
      </c>
      <c r="C4769" s="3">
        <v>0.600000000000009</v>
      </c>
      <c r="D4769">
        <v>1</v>
      </c>
      <c r="E4769">
        <v>1</v>
      </c>
      <c r="F4769">
        <v>1</v>
      </c>
    </row>
    <row r="4770" spans="1:6">
      <c r="A4770" t="s">
        <v>370</v>
      </c>
      <c r="B4770" t="s">
        <v>45</v>
      </c>
      <c r="C4770" s="3">
        <v>-0.0999999999999943</v>
      </c>
      <c r="D4770">
        <v>1</v>
      </c>
      <c r="E4770">
        <v>1</v>
      </c>
      <c r="F4770">
        <v>1</v>
      </c>
    </row>
    <row r="4771" spans="1:6">
      <c r="A4771" t="s">
        <v>370</v>
      </c>
      <c r="B4771" t="s">
        <v>396</v>
      </c>
      <c r="C4771" s="3">
        <v>-3.25384525309401</v>
      </c>
      <c r="D4771">
        <v>1</v>
      </c>
      <c r="E4771">
        <v>1</v>
      </c>
      <c r="F4771">
        <v>1</v>
      </c>
    </row>
    <row r="4772" spans="1:6">
      <c r="A4772" t="s">
        <v>371</v>
      </c>
      <c r="B4772" t="s">
        <v>34</v>
      </c>
      <c r="C4772" s="3">
        <v>85.15</v>
      </c>
      <c r="D4772">
        <v>1</v>
      </c>
      <c r="E4772">
        <v>1</v>
      </c>
      <c r="F4772">
        <v>1</v>
      </c>
    </row>
    <row r="4773" spans="1:6">
      <c r="A4773" t="s">
        <v>371</v>
      </c>
      <c r="B4773" t="s">
        <v>35</v>
      </c>
      <c r="C4773" s="3">
        <v>7.2609</v>
      </c>
      <c r="D4773">
        <v>1</v>
      </c>
      <c r="E4773">
        <v>1</v>
      </c>
      <c r="F4773">
        <v>1</v>
      </c>
    </row>
    <row r="4774" spans="1:6">
      <c r="A4774" t="s">
        <v>371</v>
      </c>
      <c r="B4774" t="s">
        <v>36</v>
      </c>
      <c r="C4774" s="3">
        <v>618.265635</v>
      </c>
      <c r="D4774">
        <v>1</v>
      </c>
      <c r="E4774">
        <v>1</v>
      </c>
      <c r="F4774">
        <v>1</v>
      </c>
    </row>
    <row r="4775" spans="1:6">
      <c r="A4775" t="s">
        <v>371</v>
      </c>
      <c r="B4775" t="s">
        <v>40</v>
      </c>
      <c r="C4775" s="3">
        <v>100.5</v>
      </c>
      <c r="D4775">
        <v>1</v>
      </c>
      <c r="E4775">
        <v>1</v>
      </c>
      <c r="F4775">
        <v>1</v>
      </c>
    </row>
    <row r="4776" spans="1:6">
      <c r="A4776" t="s">
        <v>371</v>
      </c>
      <c r="B4776" t="s">
        <v>41</v>
      </c>
      <c r="C4776" s="3">
        <v>99.2</v>
      </c>
      <c r="D4776">
        <v>1</v>
      </c>
      <c r="E4776">
        <v>1</v>
      </c>
      <c r="F4776">
        <v>1</v>
      </c>
    </row>
    <row r="4777" spans="1:6">
      <c r="A4777" t="s">
        <v>371</v>
      </c>
      <c r="B4777" t="s">
        <v>42</v>
      </c>
      <c r="C4777" s="3">
        <v>100.5</v>
      </c>
      <c r="D4777">
        <v>1</v>
      </c>
      <c r="E4777">
        <v>1</v>
      </c>
      <c r="F4777">
        <v>1</v>
      </c>
    </row>
    <row r="4778" spans="1:6">
      <c r="A4778" t="s">
        <v>371</v>
      </c>
      <c r="B4778" t="s">
        <v>46</v>
      </c>
      <c r="C4778" s="3">
        <v>99.9</v>
      </c>
      <c r="D4778">
        <v>1</v>
      </c>
      <c r="E4778">
        <v>1</v>
      </c>
      <c r="F4778">
        <v>1</v>
      </c>
    </row>
    <row r="4779" spans="1:6">
      <c r="A4779" t="s">
        <v>371</v>
      </c>
      <c r="B4779" t="s">
        <v>392</v>
      </c>
      <c r="C4779" s="3">
        <v>42327615904</v>
      </c>
      <c r="D4779">
        <v>1</v>
      </c>
      <c r="E4779">
        <v>1</v>
      </c>
      <c r="F4779">
        <v>1</v>
      </c>
    </row>
    <row r="4780" spans="1:6">
      <c r="A4780" t="s">
        <v>371</v>
      </c>
      <c r="B4780" t="s">
        <v>393</v>
      </c>
      <c r="C4780" s="3">
        <v>183389058277</v>
      </c>
      <c r="D4780">
        <v>1</v>
      </c>
      <c r="E4780">
        <v>1</v>
      </c>
      <c r="F4780">
        <v>1</v>
      </c>
    </row>
    <row r="4781" spans="1:6">
      <c r="A4781" t="s">
        <v>371</v>
      </c>
      <c r="B4781" t="s">
        <v>394</v>
      </c>
      <c r="C4781" s="3">
        <v>4.33261014966991</v>
      </c>
      <c r="D4781">
        <v>1</v>
      </c>
      <c r="E4781">
        <v>1</v>
      </c>
      <c r="F4781">
        <v>1</v>
      </c>
    </row>
    <row r="4782" spans="1:6">
      <c r="A4782" t="s">
        <v>371</v>
      </c>
      <c r="B4782" t="s">
        <v>39</v>
      </c>
      <c r="C4782" s="3">
        <v>3.55052708701766</v>
      </c>
      <c r="D4782">
        <v>1</v>
      </c>
      <c r="E4782">
        <v>1</v>
      </c>
      <c r="F4782">
        <v>1</v>
      </c>
    </row>
    <row r="4783" spans="1:6">
      <c r="A4783" t="s">
        <v>371</v>
      </c>
      <c r="B4783" t="s">
        <v>43</v>
      </c>
      <c r="C4783" s="3">
        <v>1.09999999999999</v>
      </c>
      <c r="D4783">
        <v>1</v>
      </c>
      <c r="E4783">
        <v>1</v>
      </c>
      <c r="F4783">
        <v>1</v>
      </c>
    </row>
    <row r="4784" spans="1:6">
      <c r="A4784" t="s">
        <v>371</v>
      </c>
      <c r="B4784" t="s">
        <v>44</v>
      </c>
      <c r="C4784" s="3">
        <v>0</v>
      </c>
      <c r="D4784">
        <v>1</v>
      </c>
      <c r="E4784">
        <v>1</v>
      </c>
      <c r="F4784">
        <v>1</v>
      </c>
    </row>
    <row r="4785" spans="1:6">
      <c r="A4785" t="s">
        <v>371</v>
      </c>
      <c r="B4785" t="s">
        <v>45</v>
      </c>
      <c r="C4785" s="3">
        <v>0.299999999999997</v>
      </c>
      <c r="D4785">
        <v>1</v>
      </c>
      <c r="E4785">
        <v>1</v>
      </c>
      <c r="F4785">
        <v>1</v>
      </c>
    </row>
    <row r="4786" spans="1:6">
      <c r="A4786" t="s">
        <v>371</v>
      </c>
      <c r="B4786" t="s">
        <v>396</v>
      </c>
      <c r="C4786" s="3">
        <v>-0.512467043670239</v>
      </c>
      <c r="D4786">
        <v>1</v>
      </c>
      <c r="E4786">
        <v>1</v>
      </c>
      <c r="F4786">
        <v>1</v>
      </c>
    </row>
    <row r="4787" spans="1:6">
      <c r="A4787" t="s">
        <v>372</v>
      </c>
      <c r="B4787" t="s">
        <v>34</v>
      </c>
      <c r="C4787" s="3">
        <v>80.36</v>
      </c>
      <c r="D4787">
        <v>1</v>
      </c>
      <c r="E4787">
        <v>1</v>
      </c>
      <c r="F4787">
        <v>1</v>
      </c>
    </row>
    <row r="4788" spans="1:6">
      <c r="A4788" t="s">
        <v>372</v>
      </c>
      <c r="B4788" t="s">
        <v>35</v>
      </c>
      <c r="C4788" s="3">
        <v>7.1475</v>
      </c>
      <c r="D4788">
        <v>1</v>
      </c>
      <c r="E4788">
        <v>1</v>
      </c>
      <c r="F4788">
        <v>1</v>
      </c>
    </row>
    <row r="4789" spans="1:6">
      <c r="A4789" t="s">
        <v>372</v>
      </c>
      <c r="B4789" t="s">
        <v>36</v>
      </c>
      <c r="C4789" s="3">
        <v>574.3731</v>
      </c>
      <c r="D4789">
        <v>1</v>
      </c>
      <c r="E4789">
        <v>1</v>
      </c>
      <c r="F4789">
        <v>1</v>
      </c>
    </row>
    <row r="4790" spans="1:6">
      <c r="A4790" t="s">
        <v>372</v>
      </c>
      <c r="B4790" t="s">
        <v>40</v>
      </c>
      <c r="C4790" s="3">
        <v>99</v>
      </c>
      <c r="D4790">
        <v>1</v>
      </c>
      <c r="E4790">
        <v>1</v>
      </c>
      <c r="F4790">
        <v>1</v>
      </c>
    </row>
    <row r="4791" spans="1:6">
      <c r="A4791" t="s">
        <v>372</v>
      </c>
      <c r="B4791" t="s">
        <v>41</v>
      </c>
      <c r="C4791" s="3">
        <v>98.2</v>
      </c>
      <c r="D4791">
        <v>1</v>
      </c>
      <c r="E4791">
        <v>1</v>
      </c>
      <c r="F4791">
        <v>1</v>
      </c>
    </row>
    <row r="4792" spans="1:6">
      <c r="A4792" t="s">
        <v>372</v>
      </c>
      <c r="B4792" t="s">
        <v>42</v>
      </c>
      <c r="C4792" s="3">
        <v>100.6</v>
      </c>
      <c r="D4792">
        <v>1</v>
      </c>
      <c r="E4792">
        <v>1</v>
      </c>
      <c r="F4792">
        <v>1</v>
      </c>
    </row>
    <row r="4793" spans="1:6">
      <c r="A4793" t="s">
        <v>372</v>
      </c>
      <c r="B4793" t="s">
        <v>46</v>
      </c>
      <c r="C4793" s="3">
        <v>99.2</v>
      </c>
      <c r="D4793">
        <v>1</v>
      </c>
      <c r="E4793">
        <v>1</v>
      </c>
      <c r="F4793">
        <v>1</v>
      </c>
    </row>
    <row r="4794" spans="1:6">
      <c r="A4794" t="s">
        <v>372</v>
      </c>
      <c r="B4794" t="s">
        <v>392</v>
      </c>
      <c r="C4794" s="3">
        <v>49089290800</v>
      </c>
      <c r="D4794">
        <v>1</v>
      </c>
      <c r="E4794">
        <v>1</v>
      </c>
      <c r="F4794">
        <v>1</v>
      </c>
    </row>
    <row r="4795" spans="1:6">
      <c r="A4795" t="s">
        <v>372</v>
      </c>
      <c r="B4795" t="s">
        <v>393</v>
      </c>
      <c r="C4795" s="3">
        <v>209433445866</v>
      </c>
      <c r="D4795">
        <v>1</v>
      </c>
      <c r="E4795">
        <v>1</v>
      </c>
      <c r="F4795">
        <v>1</v>
      </c>
    </row>
    <row r="4796" spans="1:6">
      <c r="A4796" t="s">
        <v>372</v>
      </c>
      <c r="B4796" t="s">
        <v>394</v>
      </c>
      <c r="C4796" s="3">
        <v>4.26637750215776</v>
      </c>
      <c r="D4796">
        <v>1</v>
      </c>
      <c r="E4796">
        <v>1</v>
      </c>
      <c r="F4796">
        <v>1</v>
      </c>
    </row>
    <row r="4797" spans="1:6">
      <c r="A4797" t="s">
        <v>372</v>
      </c>
      <c r="B4797" t="s">
        <v>39</v>
      </c>
      <c r="C4797" s="3">
        <v>-7.3639010043221</v>
      </c>
      <c r="D4797">
        <v>1</v>
      </c>
      <c r="E4797">
        <v>1</v>
      </c>
      <c r="F4797">
        <v>1</v>
      </c>
    </row>
    <row r="4798" spans="1:6">
      <c r="A4798" t="s">
        <v>372</v>
      </c>
      <c r="B4798" t="s">
        <v>43</v>
      </c>
      <c r="C4798" s="3">
        <v>-1.5</v>
      </c>
      <c r="D4798">
        <v>1</v>
      </c>
      <c r="E4798">
        <v>1</v>
      </c>
      <c r="F4798">
        <v>1</v>
      </c>
    </row>
    <row r="4799" spans="1:6">
      <c r="A4799" t="s">
        <v>372</v>
      </c>
      <c r="B4799" t="s">
        <v>44</v>
      </c>
      <c r="C4799" s="3">
        <v>-1</v>
      </c>
      <c r="D4799">
        <v>1</v>
      </c>
      <c r="E4799">
        <v>1</v>
      </c>
      <c r="F4799">
        <v>1</v>
      </c>
    </row>
    <row r="4800" spans="1:6">
      <c r="A4800" t="s">
        <v>372</v>
      </c>
      <c r="B4800" t="s">
        <v>45</v>
      </c>
      <c r="C4800" s="3">
        <v>0.0999999999999943</v>
      </c>
      <c r="D4800">
        <v>1</v>
      </c>
      <c r="E4800">
        <v>1</v>
      </c>
      <c r="F4800">
        <v>1</v>
      </c>
    </row>
    <row r="4801" spans="1:6">
      <c r="A4801" t="s">
        <v>372</v>
      </c>
      <c r="B4801" t="s">
        <v>396</v>
      </c>
      <c r="C4801" s="3">
        <v>-1.54050592992745</v>
      </c>
      <c r="D4801">
        <v>1</v>
      </c>
      <c r="E4801">
        <v>1</v>
      </c>
      <c r="F4801">
        <v>1</v>
      </c>
    </row>
    <row r="4802" spans="1:6">
      <c r="A4802" t="s">
        <v>373</v>
      </c>
      <c r="B4802" t="s">
        <v>34</v>
      </c>
      <c r="C4802" s="3">
        <v>74.02</v>
      </c>
      <c r="D4802">
        <v>1</v>
      </c>
      <c r="E4802">
        <v>1</v>
      </c>
      <c r="F4802">
        <v>1</v>
      </c>
    </row>
    <row r="4803" spans="1:6">
      <c r="A4803" t="s">
        <v>373</v>
      </c>
      <c r="B4803" t="s">
        <v>35</v>
      </c>
      <c r="C4803" s="3">
        <v>7.076</v>
      </c>
      <c r="D4803">
        <v>1</v>
      </c>
      <c r="E4803">
        <v>1</v>
      </c>
      <c r="F4803">
        <v>1</v>
      </c>
    </row>
    <row r="4804" spans="1:6">
      <c r="A4804" t="s">
        <v>373</v>
      </c>
      <c r="B4804" t="s">
        <v>36</v>
      </c>
      <c r="C4804" s="3">
        <v>523.76552</v>
      </c>
      <c r="D4804">
        <v>1</v>
      </c>
      <c r="E4804">
        <v>1</v>
      </c>
      <c r="F4804">
        <v>1</v>
      </c>
    </row>
    <row r="4805" spans="1:6">
      <c r="A4805" t="s">
        <v>373</v>
      </c>
      <c r="B4805" t="s">
        <v>40</v>
      </c>
      <c r="C4805" s="3">
        <v>95.9</v>
      </c>
      <c r="D4805">
        <v>1</v>
      </c>
      <c r="E4805">
        <v>1</v>
      </c>
      <c r="F4805">
        <v>1</v>
      </c>
    </row>
    <row r="4806" spans="1:6">
      <c r="A4806" t="s">
        <v>373</v>
      </c>
      <c r="B4806" t="s">
        <v>41</v>
      </c>
      <c r="C4806" s="3">
        <v>97.2</v>
      </c>
      <c r="D4806">
        <v>1</v>
      </c>
      <c r="E4806">
        <v>1</v>
      </c>
      <c r="F4806">
        <v>1</v>
      </c>
    </row>
    <row r="4807" spans="1:6">
      <c r="A4807" t="s">
        <v>373</v>
      </c>
      <c r="B4807" t="s">
        <v>42</v>
      </c>
      <c r="C4807" s="3">
        <v>100.4</v>
      </c>
      <c r="D4807">
        <v>1</v>
      </c>
      <c r="E4807">
        <v>1</v>
      </c>
      <c r="F4807">
        <v>1</v>
      </c>
    </row>
    <row r="4808" spans="1:6">
      <c r="A4808" t="s">
        <v>373</v>
      </c>
      <c r="B4808" t="s">
        <v>46</v>
      </c>
      <c r="C4808" s="3">
        <v>97.8</v>
      </c>
      <c r="D4808">
        <v>1</v>
      </c>
      <c r="E4808">
        <v>1</v>
      </c>
      <c r="F4808">
        <v>1</v>
      </c>
    </row>
    <row r="4809" spans="1:6">
      <c r="A4809" t="s">
        <v>373</v>
      </c>
      <c r="B4809" t="s">
        <v>392</v>
      </c>
      <c r="C4809" s="3">
        <v>45479193521</v>
      </c>
      <c r="D4809">
        <v>1</v>
      </c>
      <c r="E4809">
        <v>1</v>
      </c>
      <c r="F4809">
        <v>1</v>
      </c>
    </row>
    <row r="4810" spans="1:6">
      <c r="A4810" t="s">
        <v>373</v>
      </c>
      <c r="B4810" t="s">
        <v>393</v>
      </c>
      <c r="C4810" s="3">
        <v>183631078072</v>
      </c>
      <c r="D4810">
        <v>1</v>
      </c>
      <c r="E4810">
        <v>1</v>
      </c>
      <c r="F4810">
        <v>1</v>
      </c>
    </row>
    <row r="4811" spans="1:6">
      <c r="A4811" t="s">
        <v>373</v>
      </c>
      <c r="B4811" t="s">
        <v>394</v>
      </c>
      <c r="C4811" s="3">
        <v>4.03769424774888</v>
      </c>
      <c r="D4811">
        <v>1</v>
      </c>
      <c r="E4811">
        <v>1</v>
      </c>
      <c r="F4811">
        <v>1</v>
      </c>
    </row>
    <row r="4812" spans="1:6">
      <c r="A4812" t="s">
        <v>373</v>
      </c>
      <c r="B4812" t="s">
        <v>39</v>
      </c>
      <c r="C4812" s="3">
        <v>-9.22350819055149</v>
      </c>
      <c r="D4812">
        <v>1</v>
      </c>
      <c r="E4812">
        <v>1</v>
      </c>
      <c r="F4812">
        <v>1</v>
      </c>
    </row>
    <row r="4813" spans="1:6">
      <c r="A4813" t="s">
        <v>373</v>
      </c>
      <c r="B4813" t="s">
        <v>43</v>
      </c>
      <c r="C4813" s="3">
        <v>-3.09999999999999</v>
      </c>
      <c r="D4813">
        <v>1</v>
      </c>
      <c r="E4813">
        <v>1</v>
      </c>
      <c r="F4813">
        <v>1</v>
      </c>
    </row>
    <row r="4814" spans="1:6">
      <c r="A4814" t="s">
        <v>373</v>
      </c>
      <c r="B4814" t="s">
        <v>44</v>
      </c>
      <c r="C4814" s="3">
        <v>-1</v>
      </c>
      <c r="D4814">
        <v>1</v>
      </c>
      <c r="E4814">
        <v>1</v>
      </c>
      <c r="F4814">
        <v>1</v>
      </c>
    </row>
    <row r="4815" spans="1:6">
      <c r="A4815" t="s">
        <v>373</v>
      </c>
      <c r="B4815" t="s">
        <v>45</v>
      </c>
      <c r="C4815" s="3">
        <v>-0.199999999999989</v>
      </c>
      <c r="D4815">
        <v>1</v>
      </c>
      <c r="E4815">
        <v>1</v>
      </c>
      <c r="F4815">
        <v>1</v>
      </c>
    </row>
    <row r="4816" spans="1:6">
      <c r="A4816" t="s">
        <v>373</v>
      </c>
      <c r="B4816" t="s">
        <v>396</v>
      </c>
      <c r="C4816" s="3">
        <v>-5.50913087399591</v>
      </c>
      <c r="D4816">
        <v>1</v>
      </c>
      <c r="E4816">
        <v>1</v>
      </c>
      <c r="F4816">
        <v>1</v>
      </c>
    </row>
    <row r="4817" spans="1:6">
      <c r="A4817" t="s">
        <v>374</v>
      </c>
      <c r="B4817" t="s">
        <v>34</v>
      </c>
      <c r="C4817" s="3">
        <v>75.63</v>
      </c>
      <c r="D4817">
        <v>1</v>
      </c>
      <c r="E4817">
        <v>1</v>
      </c>
      <c r="F4817">
        <v>1</v>
      </c>
    </row>
    <row r="4818" spans="1:6">
      <c r="A4818" t="s">
        <v>374</v>
      </c>
      <c r="B4818" t="s">
        <v>35</v>
      </c>
      <c r="C4818" s="3">
        <v>7.0881</v>
      </c>
      <c r="D4818">
        <v>1</v>
      </c>
      <c r="E4818">
        <v>1</v>
      </c>
      <c r="F4818">
        <v>1</v>
      </c>
    </row>
    <row r="4819" spans="1:6">
      <c r="A4819" t="s">
        <v>374</v>
      </c>
      <c r="B4819" t="s">
        <v>36</v>
      </c>
      <c r="C4819" s="3">
        <v>536.073003</v>
      </c>
      <c r="D4819">
        <v>1</v>
      </c>
      <c r="E4819">
        <v>1</v>
      </c>
      <c r="F4819">
        <v>1</v>
      </c>
    </row>
    <row r="4820" spans="1:6">
      <c r="A4820" t="s">
        <v>374</v>
      </c>
      <c r="B4820" t="s">
        <v>40</v>
      </c>
      <c r="C4820" s="3">
        <v>93.8</v>
      </c>
      <c r="D4820">
        <v>1</v>
      </c>
      <c r="E4820">
        <v>1</v>
      </c>
      <c r="F4820">
        <v>1</v>
      </c>
    </row>
    <row r="4821" spans="1:6">
      <c r="A4821" t="s">
        <v>374</v>
      </c>
      <c r="B4821" t="s">
        <v>41</v>
      </c>
      <c r="C4821" s="3">
        <v>97.1</v>
      </c>
      <c r="D4821">
        <v>1</v>
      </c>
      <c r="E4821">
        <v>1</v>
      </c>
      <c r="F4821">
        <v>1</v>
      </c>
    </row>
    <row r="4822" spans="1:6">
      <c r="A4822" t="s">
        <v>374</v>
      </c>
      <c r="B4822" t="s">
        <v>42</v>
      </c>
      <c r="C4822" s="3">
        <v>100.3</v>
      </c>
      <c r="D4822">
        <v>1</v>
      </c>
      <c r="E4822">
        <v>1</v>
      </c>
      <c r="F4822">
        <v>1</v>
      </c>
    </row>
    <row r="4823" spans="1:6">
      <c r="A4823" t="s">
        <v>374</v>
      </c>
      <c r="B4823" t="s">
        <v>46</v>
      </c>
      <c r="C4823" s="3">
        <v>97.3</v>
      </c>
      <c r="D4823">
        <v>1</v>
      </c>
      <c r="E4823">
        <v>1</v>
      </c>
      <c r="F4823">
        <v>1</v>
      </c>
    </row>
    <row r="4824" spans="1:6">
      <c r="A4824" t="s">
        <v>374</v>
      </c>
      <c r="B4824" t="s">
        <v>392</v>
      </c>
      <c r="C4824" s="3">
        <v>44686281948</v>
      </c>
      <c r="D4824">
        <v>1</v>
      </c>
      <c r="E4824">
        <v>1</v>
      </c>
      <c r="F4824">
        <v>1</v>
      </c>
    </row>
    <row r="4825" spans="1:6">
      <c r="A4825" t="s">
        <v>374</v>
      </c>
      <c r="B4825" t="s">
        <v>393</v>
      </c>
      <c r="C4825" s="3">
        <v>172381831087</v>
      </c>
      <c r="D4825">
        <v>1</v>
      </c>
      <c r="E4825">
        <v>1</v>
      </c>
      <c r="F4825">
        <v>1</v>
      </c>
    </row>
    <row r="4826" spans="1:6">
      <c r="A4826" t="s">
        <v>374</v>
      </c>
      <c r="B4826" t="s">
        <v>394</v>
      </c>
      <c r="C4826" s="3">
        <v>3.85760066786481</v>
      </c>
      <c r="D4826">
        <v>1</v>
      </c>
      <c r="E4826">
        <v>1</v>
      </c>
      <c r="F4826">
        <v>1</v>
      </c>
    </row>
    <row r="4827" spans="1:6">
      <c r="A4827" t="s">
        <v>374</v>
      </c>
      <c r="B4827" t="s">
        <v>39</v>
      </c>
      <c r="C4827" s="3">
        <v>2.32262481677918</v>
      </c>
      <c r="D4827">
        <v>1</v>
      </c>
      <c r="E4827">
        <v>1</v>
      </c>
      <c r="F4827">
        <v>1</v>
      </c>
    </row>
    <row r="4828" spans="1:6">
      <c r="A4828" t="s">
        <v>374</v>
      </c>
      <c r="B4828" t="s">
        <v>43</v>
      </c>
      <c r="C4828" s="3">
        <v>-2.10000000000001</v>
      </c>
      <c r="D4828">
        <v>1</v>
      </c>
      <c r="E4828">
        <v>1</v>
      </c>
      <c r="F4828">
        <v>1</v>
      </c>
    </row>
    <row r="4829" spans="1:6">
      <c r="A4829" t="s">
        <v>374</v>
      </c>
      <c r="B4829" t="s">
        <v>44</v>
      </c>
      <c r="C4829" s="3">
        <v>-0.100000000000009</v>
      </c>
      <c r="D4829">
        <v>1</v>
      </c>
      <c r="E4829">
        <v>1</v>
      </c>
      <c r="F4829">
        <v>1</v>
      </c>
    </row>
    <row r="4830" spans="1:6">
      <c r="A4830" t="s">
        <v>374</v>
      </c>
      <c r="B4830" t="s">
        <v>45</v>
      </c>
      <c r="C4830" s="3">
        <v>-0.100000000000009</v>
      </c>
      <c r="D4830">
        <v>1</v>
      </c>
      <c r="E4830">
        <v>1</v>
      </c>
      <c r="F4830">
        <v>1</v>
      </c>
    </row>
    <row r="4831" spans="1:6">
      <c r="A4831" t="s">
        <v>374</v>
      </c>
      <c r="B4831" t="s">
        <v>396</v>
      </c>
      <c r="C4831" s="3">
        <v>-4.56283967146678</v>
      </c>
      <c r="D4831">
        <v>1</v>
      </c>
      <c r="E4831">
        <v>1</v>
      </c>
      <c r="F4831">
        <v>1</v>
      </c>
    </row>
    <row r="4832" spans="1:6">
      <c r="A4832" t="s">
        <v>375</v>
      </c>
      <c r="B4832" t="s">
        <v>34</v>
      </c>
      <c r="C4832" s="3">
        <v>74.35</v>
      </c>
      <c r="D4832">
        <v>1</v>
      </c>
      <c r="E4832">
        <v>1</v>
      </c>
      <c r="F4832">
        <v>1</v>
      </c>
    </row>
    <row r="4833" spans="1:6">
      <c r="A4833" t="s">
        <v>375</v>
      </c>
      <c r="B4833" t="s">
        <v>35</v>
      </c>
      <c r="C4833" s="3">
        <v>7.2063</v>
      </c>
      <c r="D4833">
        <v>1</v>
      </c>
      <c r="E4833">
        <v>1</v>
      </c>
      <c r="F4833">
        <v>1</v>
      </c>
    </row>
    <row r="4834" spans="1:6">
      <c r="A4834" t="s">
        <v>375</v>
      </c>
      <c r="B4834" t="s">
        <v>36</v>
      </c>
      <c r="C4834" s="3">
        <v>535.788405</v>
      </c>
      <c r="D4834">
        <v>1</v>
      </c>
      <c r="E4834">
        <v>1</v>
      </c>
      <c r="F4834">
        <v>1</v>
      </c>
    </row>
    <row r="4835" spans="1:6">
      <c r="A4835" t="s">
        <v>375</v>
      </c>
      <c r="B4835" t="s">
        <v>40</v>
      </c>
      <c r="C4835" s="3">
        <v>93.5</v>
      </c>
      <c r="D4835">
        <v>1</v>
      </c>
      <c r="E4835">
        <v>1</v>
      </c>
      <c r="F4835">
        <v>1</v>
      </c>
    </row>
    <row r="4836" spans="1:6">
      <c r="A4836" t="s">
        <v>375</v>
      </c>
      <c r="B4836" t="s">
        <v>41</v>
      </c>
      <c r="C4836" s="3">
        <v>97.5</v>
      </c>
      <c r="D4836">
        <v>1</v>
      </c>
      <c r="E4836">
        <v>1</v>
      </c>
      <c r="F4836">
        <v>1</v>
      </c>
    </row>
    <row r="4837" spans="1:6">
      <c r="A4837" t="s">
        <v>375</v>
      </c>
      <c r="B4837" t="s">
        <v>42</v>
      </c>
      <c r="C4837" s="3">
        <v>100.2</v>
      </c>
      <c r="D4837">
        <v>1</v>
      </c>
      <c r="E4837">
        <v>1</v>
      </c>
      <c r="F4837">
        <v>1</v>
      </c>
    </row>
    <row r="4838" spans="1:6">
      <c r="A4838" t="s">
        <v>375</v>
      </c>
      <c r="B4838" t="s">
        <v>46</v>
      </c>
      <c r="C4838" s="3">
        <v>97.5</v>
      </c>
      <c r="D4838">
        <v>1</v>
      </c>
      <c r="E4838">
        <v>1</v>
      </c>
      <c r="F4838">
        <v>1</v>
      </c>
    </row>
    <row r="4839" spans="1:6">
      <c r="A4839" t="s">
        <v>375</v>
      </c>
      <c r="B4839" t="s">
        <v>392</v>
      </c>
      <c r="C4839" s="3">
        <v>48504273602</v>
      </c>
      <c r="D4839">
        <v>1</v>
      </c>
      <c r="E4839">
        <v>1</v>
      </c>
      <c r="F4839">
        <v>1</v>
      </c>
    </row>
    <row r="4840" spans="1:6">
      <c r="A4840" t="s">
        <v>375</v>
      </c>
      <c r="B4840" t="s">
        <v>393</v>
      </c>
      <c r="C4840" s="3">
        <v>187875404839</v>
      </c>
      <c r="D4840">
        <v>1</v>
      </c>
      <c r="E4840">
        <v>1</v>
      </c>
      <c r="F4840">
        <v>1</v>
      </c>
    </row>
    <row r="4841" spans="1:6">
      <c r="A4841" t="s">
        <v>375</v>
      </c>
      <c r="B4841" t="s">
        <v>394</v>
      </c>
      <c r="C4841" s="3">
        <v>3.87337838270921</v>
      </c>
      <c r="D4841">
        <v>1</v>
      </c>
      <c r="E4841">
        <v>1</v>
      </c>
      <c r="F4841">
        <v>1</v>
      </c>
    </row>
    <row r="4842" spans="1:6">
      <c r="A4842" t="s">
        <v>375</v>
      </c>
      <c r="B4842" t="s">
        <v>39</v>
      </c>
      <c r="C4842" s="3">
        <v>-0.053103508450611</v>
      </c>
      <c r="D4842">
        <v>1</v>
      </c>
      <c r="E4842">
        <v>1</v>
      </c>
      <c r="F4842">
        <v>1</v>
      </c>
    </row>
    <row r="4843" spans="1:6">
      <c r="A4843" t="s">
        <v>375</v>
      </c>
      <c r="B4843" t="s">
        <v>43</v>
      </c>
      <c r="C4843" s="3">
        <v>-0.299999999999997</v>
      </c>
      <c r="D4843">
        <v>1</v>
      </c>
      <c r="E4843">
        <v>1</v>
      </c>
      <c r="F4843">
        <v>1</v>
      </c>
    </row>
    <row r="4844" spans="1:6">
      <c r="A4844" t="s">
        <v>375</v>
      </c>
      <c r="B4844" t="s">
        <v>44</v>
      </c>
      <c r="C4844" s="3">
        <v>0.400000000000006</v>
      </c>
      <c r="D4844">
        <v>1</v>
      </c>
      <c r="E4844">
        <v>1</v>
      </c>
      <c r="F4844">
        <v>1</v>
      </c>
    </row>
    <row r="4845" spans="1:6">
      <c r="A4845" t="s">
        <v>375</v>
      </c>
      <c r="B4845" t="s">
        <v>45</v>
      </c>
      <c r="C4845" s="3">
        <v>-0.0999999999999943</v>
      </c>
      <c r="D4845">
        <v>1</v>
      </c>
      <c r="E4845">
        <v>1</v>
      </c>
      <c r="F4845">
        <v>1</v>
      </c>
    </row>
    <row r="4846" spans="1:6">
      <c r="A4846" t="s">
        <v>375</v>
      </c>
      <c r="B4846" t="s">
        <v>396</v>
      </c>
      <c r="C4846" s="3">
        <v>0.408169176146654</v>
      </c>
      <c r="D4846">
        <v>1</v>
      </c>
      <c r="E4846">
        <v>1</v>
      </c>
      <c r="F4846">
        <v>1</v>
      </c>
    </row>
    <row r="4847" spans="1:6">
      <c r="A4847" t="s">
        <v>376</v>
      </c>
      <c r="B4847" t="s">
        <v>34</v>
      </c>
      <c r="C4847" s="3">
        <v>73.86</v>
      </c>
      <c r="D4847">
        <v>1</v>
      </c>
      <c r="E4847">
        <v>1</v>
      </c>
      <c r="F4847">
        <v>1</v>
      </c>
    </row>
    <row r="4848" spans="1:6">
      <c r="A4848" t="s">
        <v>376</v>
      </c>
      <c r="B4848" t="s">
        <v>35</v>
      </c>
      <c r="C4848" s="3">
        <v>7.2807</v>
      </c>
      <c r="D4848">
        <v>1</v>
      </c>
      <c r="E4848">
        <v>1</v>
      </c>
      <c r="F4848">
        <v>1</v>
      </c>
    </row>
    <row r="4849" spans="1:6">
      <c r="A4849" t="s">
        <v>376</v>
      </c>
      <c r="B4849" t="s">
        <v>36</v>
      </c>
      <c r="C4849" s="3">
        <v>537.752502</v>
      </c>
      <c r="D4849">
        <v>1</v>
      </c>
      <c r="E4849">
        <v>1</v>
      </c>
      <c r="F4849">
        <v>1</v>
      </c>
    </row>
    <row r="4850" spans="1:6">
      <c r="A4850" t="s">
        <v>376</v>
      </c>
      <c r="B4850" t="s">
        <v>40</v>
      </c>
      <c r="C4850" s="3">
        <v>94.1</v>
      </c>
      <c r="D4850">
        <v>1</v>
      </c>
      <c r="E4850">
        <v>1</v>
      </c>
      <c r="F4850">
        <v>1</v>
      </c>
    </row>
    <row r="4851" spans="1:6">
      <c r="A4851" t="s">
        <v>376</v>
      </c>
      <c r="B4851" t="s">
        <v>41</v>
      </c>
      <c r="C4851" s="3">
        <v>97.7</v>
      </c>
      <c r="D4851">
        <v>1</v>
      </c>
      <c r="E4851">
        <v>1</v>
      </c>
      <c r="F4851">
        <v>1</v>
      </c>
    </row>
    <row r="4852" spans="1:6">
      <c r="A4852" t="s">
        <v>376</v>
      </c>
      <c r="B4852" t="s">
        <v>42</v>
      </c>
      <c r="C4852" s="3">
        <v>100.1</v>
      </c>
      <c r="D4852">
        <v>1</v>
      </c>
      <c r="E4852">
        <v>1</v>
      </c>
      <c r="F4852">
        <v>1</v>
      </c>
    </row>
    <row r="4853" spans="1:6">
      <c r="A4853" t="s">
        <v>376</v>
      </c>
      <c r="B4853" t="s">
        <v>46</v>
      </c>
      <c r="C4853" s="3">
        <v>97.7</v>
      </c>
      <c r="D4853">
        <v>1</v>
      </c>
      <c r="E4853">
        <v>1</v>
      </c>
      <c r="F4853">
        <v>1</v>
      </c>
    </row>
    <row r="4854" spans="1:6">
      <c r="A4854" t="s">
        <v>376</v>
      </c>
      <c r="B4854" t="s">
        <v>392</v>
      </c>
      <c r="C4854" s="3">
        <v>47682537757</v>
      </c>
      <c r="D4854">
        <v>1</v>
      </c>
      <c r="E4854">
        <v>1</v>
      </c>
      <c r="F4854">
        <v>1</v>
      </c>
    </row>
    <row r="4855" spans="1:6">
      <c r="A4855" t="s">
        <v>376</v>
      </c>
      <c r="B4855" t="s">
        <v>393</v>
      </c>
      <c r="C4855" s="3">
        <v>184516375347</v>
      </c>
      <c r="D4855">
        <v>1</v>
      </c>
      <c r="E4855">
        <v>1</v>
      </c>
      <c r="F4855">
        <v>1</v>
      </c>
    </row>
    <row r="4856" spans="1:6">
      <c r="A4856" t="s">
        <v>376</v>
      </c>
      <c r="B4856" t="s">
        <v>394</v>
      </c>
      <c r="C4856" s="3">
        <v>3.86968445948354</v>
      </c>
      <c r="D4856">
        <v>1</v>
      </c>
      <c r="E4856">
        <v>1</v>
      </c>
      <c r="F4856">
        <v>1</v>
      </c>
    </row>
    <row r="4857" spans="1:6">
      <c r="A4857" t="s">
        <v>376</v>
      </c>
      <c r="B4857" t="s">
        <v>39</v>
      </c>
      <c r="C4857" s="3">
        <v>0.365910451784647</v>
      </c>
      <c r="D4857">
        <v>1</v>
      </c>
      <c r="E4857">
        <v>1</v>
      </c>
      <c r="F4857">
        <v>1</v>
      </c>
    </row>
    <row r="4858" spans="1:6">
      <c r="A4858" t="s">
        <v>376</v>
      </c>
      <c r="B4858" t="s">
        <v>43</v>
      </c>
      <c r="C4858" s="3">
        <v>0.599999999999994</v>
      </c>
      <c r="D4858">
        <v>1</v>
      </c>
      <c r="E4858">
        <v>1</v>
      </c>
      <c r="F4858">
        <v>1</v>
      </c>
    </row>
    <row r="4859" spans="1:6">
      <c r="A4859" t="s">
        <v>376</v>
      </c>
      <c r="B4859" t="s">
        <v>44</v>
      </c>
      <c r="C4859" s="3">
        <v>0.200000000000003</v>
      </c>
      <c r="D4859">
        <v>1</v>
      </c>
      <c r="E4859">
        <v>1</v>
      </c>
      <c r="F4859">
        <v>1</v>
      </c>
    </row>
    <row r="4860" spans="1:6">
      <c r="A4860" t="s">
        <v>376</v>
      </c>
      <c r="B4860" t="s">
        <v>45</v>
      </c>
      <c r="C4860" s="3">
        <v>-0.100000000000009</v>
      </c>
      <c r="D4860">
        <v>1</v>
      </c>
      <c r="E4860">
        <v>1</v>
      </c>
      <c r="F4860">
        <v>1</v>
      </c>
    </row>
    <row r="4861" spans="1:6">
      <c r="A4861" t="s">
        <v>376</v>
      </c>
      <c r="B4861" t="s">
        <v>396</v>
      </c>
      <c r="C4861" s="3">
        <v>-0.0954124635480938</v>
      </c>
      <c r="D4861">
        <v>1</v>
      </c>
      <c r="E4861">
        <v>1</v>
      </c>
      <c r="F4861">
        <v>1</v>
      </c>
    </row>
    <row r="4862" spans="1:6">
      <c r="A4862" t="s">
        <v>377</v>
      </c>
      <c r="B4862" t="s">
        <v>34</v>
      </c>
      <c r="C4862" s="3">
        <v>79.27</v>
      </c>
      <c r="D4862">
        <v>1</v>
      </c>
      <c r="E4862">
        <v>1</v>
      </c>
      <c r="F4862">
        <v>1</v>
      </c>
    </row>
    <row r="4863" spans="1:6">
      <c r="A4863" t="s">
        <v>377</v>
      </c>
      <c r="B4863" t="s">
        <v>35</v>
      </c>
      <c r="C4863" s="3">
        <v>7.2957</v>
      </c>
      <c r="D4863">
        <v>1</v>
      </c>
      <c r="E4863">
        <v>1</v>
      </c>
      <c r="F4863">
        <v>1</v>
      </c>
    </row>
    <row r="4864" spans="1:6">
      <c r="A4864" t="s">
        <v>377</v>
      </c>
      <c r="B4864" t="s">
        <v>36</v>
      </c>
      <c r="C4864" s="3">
        <v>578.330139</v>
      </c>
      <c r="D4864">
        <v>1</v>
      </c>
      <c r="E4864">
        <v>1</v>
      </c>
      <c r="F4864">
        <v>1</v>
      </c>
    </row>
    <row r="4865" spans="1:6">
      <c r="A4865" t="s">
        <v>377</v>
      </c>
      <c r="B4865" t="s">
        <v>40</v>
      </c>
      <c r="C4865" s="3">
        <v>94.8</v>
      </c>
      <c r="D4865">
        <v>1</v>
      </c>
      <c r="E4865">
        <v>1</v>
      </c>
      <c r="F4865">
        <v>1</v>
      </c>
    </row>
    <row r="4866" spans="1:6">
      <c r="A4866" t="s">
        <v>377</v>
      </c>
      <c r="B4866" t="s">
        <v>41</v>
      </c>
      <c r="C4866" s="3">
        <v>97.7</v>
      </c>
      <c r="D4866">
        <v>1</v>
      </c>
      <c r="E4866">
        <v>1</v>
      </c>
      <c r="F4866">
        <v>1</v>
      </c>
    </row>
    <row r="4867" spans="1:6">
      <c r="A4867" t="s">
        <v>377</v>
      </c>
      <c r="B4867" t="s">
        <v>42</v>
      </c>
      <c r="C4867" s="3">
        <v>100.5</v>
      </c>
      <c r="D4867">
        <v>1</v>
      </c>
      <c r="E4867">
        <v>1</v>
      </c>
      <c r="F4867">
        <v>1</v>
      </c>
    </row>
    <row r="4868" spans="1:6">
      <c r="A4868" t="s">
        <v>377</v>
      </c>
      <c r="B4868" t="s">
        <v>46</v>
      </c>
      <c r="C4868" s="3">
        <v>97.7</v>
      </c>
      <c r="D4868">
        <v>1</v>
      </c>
      <c r="E4868">
        <v>1</v>
      </c>
      <c r="F4868">
        <v>1</v>
      </c>
    </row>
    <row r="4869" spans="1:6">
      <c r="A4869" t="s">
        <v>377</v>
      </c>
      <c r="B4869" t="s">
        <v>392</v>
      </c>
      <c r="C4869" s="3">
        <v>41064542863</v>
      </c>
      <c r="D4869">
        <v>1</v>
      </c>
      <c r="E4869">
        <v>1</v>
      </c>
      <c r="F4869">
        <v>1</v>
      </c>
    </row>
    <row r="4870" spans="1:6">
      <c r="A4870" t="s">
        <v>377</v>
      </c>
      <c r="B4870" t="s">
        <v>393</v>
      </c>
      <c r="C4870" s="3">
        <v>162235447000</v>
      </c>
      <c r="D4870">
        <v>1</v>
      </c>
      <c r="E4870">
        <v>1</v>
      </c>
      <c r="F4870">
        <v>1</v>
      </c>
    </row>
    <row r="4871" spans="1:6">
      <c r="A4871" t="s">
        <v>377</v>
      </c>
      <c r="B4871" t="s">
        <v>394</v>
      </c>
      <c r="C4871" s="3">
        <v>3.95074279875102</v>
      </c>
      <c r="D4871">
        <v>1</v>
      </c>
      <c r="E4871">
        <v>1</v>
      </c>
      <c r="F4871">
        <v>1</v>
      </c>
    </row>
    <row r="4872" spans="1:6">
      <c r="A4872" t="s">
        <v>377</v>
      </c>
      <c r="B4872" t="s">
        <v>39</v>
      </c>
      <c r="C4872" s="3">
        <v>7.27464594979759</v>
      </c>
      <c r="D4872">
        <v>1</v>
      </c>
      <c r="E4872">
        <v>1</v>
      </c>
      <c r="F4872">
        <v>1</v>
      </c>
    </row>
    <row r="4873" spans="1:6">
      <c r="A4873" t="s">
        <v>377</v>
      </c>
      <c r="B4873" t="s">
        <v>43</v>
      </c>
      <c r="C4873" s="3">
        <v>0.700000000000003</v>
      </c>
      <c r="D4873">
        <v>1</v>
      </c>
      <c r="E4873">
        <v>1</v>
      </c>
      <c r="F4873">
        <v>1</v>
      </c>
    </row>
    <row r="4874" spans="1:6">
      <c r="A4874" t="s">
        <v>377</v>
      </c>
      <c r="B4874" t="s">
        <v>44</v>
      </c>
      <c r="C4874" s="3">
        <v>0</v>
      </c>
      <c r="D4874">
        <v>1</v>
      </c>
      <c r="E4874">
        <v>1</v>
      </c>
      <c r="F4874">
        <v>1</v>
      </c>
    </row>
    <row r="4875" spans="1:6">
      <c r="A4875" t="s">
        <v>377</v>
      </c>
      <c r="B4875" t="s">
        <v>45</v>
      </c>
      <c r="C4875" s="3">
        <v>0.400000000000006</v>
      </c>
      <c r="D4875">
        <v>1</v>
      </c>
      <c r="E4875">
        <v>1</v>
      </c>
      <c r="F4875">
        <v>1</v>
      </c>
    </row>
    <row r="4876" spans="1:6">
      <c r="A4876" t="s">
        <v>377</v>
      </c>
      <c r="B4876" t="s">
        <v>396</v>
      </c>
      <c r="C4876" s="3">
        <v>2.07306428501441</v>
      </c>
      <c r="D4876">
        <v>1</v>
      </c>
      <c r="E4876">
        <v>1</v>
      </c>
      <c r="F4876">
        <v>1</v>
      </c>
    </row>
    <row r="4877" spans="1:6">
      <c r="A4877" t="s">
        <v>378</v>
      </c>
      <c r="B4877" t="s">
        <v>34</v>
      </c>
      <c r="C4877" s="3">
        <v>75.44</v>
      </c>
      <c r="D4877">
        <v>1</v>
      </c>
      <c r="E4877">
        <v>1</v>
      </c>
      <c r="F4877">
        <v>1</v>
      </c>
    </row>
    <row r="4878" spans="1:6">
      <c r="A4878" t="s">
        <v>378</v>
      </c>
      <c r="B4878" t="s">
        <v>35</v>
      </c>
      <c r="C4878" s="3">
        <v>7.2734</v>
      </c>
      <c r="D4878">
        <v>1</v>
      </c>
      <c r="E4878">
        <v>1</v>
      </c>
      <c r="F4878">
        <v>1</v>
      </c>
    </row>
    <row r="4879" spans="1:6">
      <c r="A4879" t="s">
        <v>378</v>
      </c>
      <c r="B4879" t="s">
        <v>36</v>
      </c>
      <c r="C4879" s="3">
        <v>548.705296</v>
      </c>
      <c r="D4879">
        <v>1</v>
      </c>
      <c r="E4879">
        <v>1</v>
      </c>
      <c r="F4879">
        <v>1</v>
      </c>
    </row>
    <row r="4880" spans="1:6">
      <c r="A4880" t="s">
        <v>378</v>
      </c>
      <c r="B4880" t="s">
        <v>40</v>
      </c>
      <c r="C4880" s="3">
        <v>95</v>
      </c>
      <c r="D4880">
        <v>1</v>
      </c>
      <c r="E4880">
        <v>1</v>
      </c>
      <c r="F4880">
        <v>1</v>
      </c>
    </row>
    <row r="4881" spans="1:6">
      <c r="A4881" t="s">
        <v>378</v>
      </c>
      <c r="B4881" t="s">
        <v>41</v>
      </c>
      <c r="C4881" s="3">
        <v>97.8</v>
      </c>
      <c r="D4881">
        <v>1</v>
      </c>
      <c r="E4881">
        <v>1</v>
      </c>
      <c r="F4881">
        <v>1</v>
      </c>
    </row>
    <row r="4882" spans="1:6">
      <c r="A4882" t="s">
        <v>378</v>
      </c>
      <c r="B4882" t="s">
        <v>42</v>
      </c>
      <c r="C4882" s="3">
        <v>99.3</v>
      </c>
      <c r="D4882">
        <v>1</v>
      </c>
      <c r="E4882">
        <v>1</v>
      </c>
      <c r="F4882">
        <v>1</v>
      </c>
    </row>
    <row r="4883" spans="1:6">
      <c r="A4883" t="s">
        <v>378</v>
      </c>
      <c r="B4883" t="s">
        <v>46</v>
      </c>
      <c r="C4883" s="3">
        <v>97.7</v>
      </c>
      <c r="D4883">
        <v>1</v>
      </c>
      <c r="E4883">
        <v>1</v>
      </c>
      <c r="F4883">
        <v>1</v>
      </c>
    </row>
    <row r="4884" spans="1:6">
      <c r="A4884" t="s">
        <v>378</v>
      </c>
      <c r="B4884" t="s">
        <v>392</v>
      </c>
      <c r="C4884" s="3">
        <v>42660580684</v>
      </c>
      <c r="D4884">
        <v>1</v>
      </c>
      <c r="E4884">
        <v>1</v>
      </c>
      <c r="F4884">
        <v>1</v>
      </c>
    </row>
    <row r="4885" spans="1:6">
      <c r="A4885" t="s">
        <v>378</v>
      </c>
      <c r="B4885" t="s">
        <v>393</v>
      </c>
      <c r="C4885" s="3">
        <v>173716252648</v>
      </c>
      <c r="D4885">
        <v>1</v>
      </c>
      <c r="E4885">
        <v>1</v>
      </c>
      <c r="F4885">
        <v>1</v>
      </c>
    </row>
    <row r="4886" spans="1:6">
      <c r="A4886" t="s">
        <v>378</v>
      </c>
      <c r="B4886" t="s">
        <v>394</v>
      </c>
      <c r="C4886" s="3">
        <v>4.07205551032625</v>
      </c>
      <c r="D4886">
        <v>1</v>
      </c>
      <c r="E4886">
        <v>1</v>
      </c>
      <c r="F4886">
        <v>1</v>
      </c>
    </row>
    <row r="4887" spans="1:6">
      <c r="A4887" t="s">
        <v>378</v>
      </c>
      <c r="B4887" t="s">
        <v>39</v>
      </c>
      <c r="C4887" s="3">
        <v>-5.25833844318049</v>
      </c>
      <c r="D4887">
        <v>1</v>
      </c>
      <c r="E4887">
        <v>1</v>
      </c>
      <c r="F4887">
        <v>1</v>
      </c>
    </row>
    <row r="4888" spans="1:6">
      <c r="A4888" t="s">
        <v>378</v>
      </c>
      <c r="B4888" t="s">
        <v>43</v>
      </c>
      <c r="C4888" s="3">
        <v>0.200000000000003</v>
      </c>
      <c r="D4888">
        <v>1</v>
      </c>
      <c r="E4888">
        <v>1</v>
      </c>
      <c r="F4888">
        <v>1</v>
      </c>
    </row>
    <row r="4889" spans="1:6">
      <c r="A4889" t="s">
        <v>378</v>
      </c>
      <c r="B4889" t="s">
        <v>44</v>
      </c>
      <c r="C4889" s="3">
        <v>0.0999999999999943</v>
      </c>
      <c r="D4889">
        <v>1</v>
      </c>
      <c r="E4889">
        <v>1</v>
      </c>
      <c r="F4889">
        <v>1</v>
      </c>
    </row>
    <row r="4890" spans="1:6">
      <c r="A4890" t="s">
        <v>378</v>
      </c>
      <c r="B4890" t="s">
        <v>45</v>
      </c>
      <c r="C4890" s="3">
        <v>-1.2</v>
      </c>
      <c r="D4890">
        <v>1</v>
      </c>
      <c r="E4890">
        <v>1</v>
      </c>
      <c r="F4890">
        <v>1</v>
      </c>
    </row>
    <row r="4891" spans="1:6">
      <c r="A4891" t="s">
        <v>378</v>
      </c>
      <c r="B4891" t="s">
        <v>396</v>
      </c>
      <c r="C4891" s="3">
        <v>3.02442998067319</v>
      </c>
      <c r="D4891">
        <v>1</v>
      </c>
      <c r="E4891">
        <v>1</v>
      </c>
      <c r="F4891">
        <v>1</v>
      </c>
    </row>
    <row r="4892" spans="1:6">
      <c r="A4892" t="s">
        <v>379</v>
      </c>
      <c r="B4892" t="s">
        <v>34</v>
      </c>
      <c r="C4892" s="3">
        <v>72.73</v>
      </c>
      <c r="D4892">
        <v>1</v>
      </c>
      <c r="E4892">
        <v>1</v>
      </c>
      <c r="F4892">
        <v>0</v>
      </c>
    </row>
    <row r="4893" spans="1:6">
      <c r="A4893" t="s">
        <v>379</v>
      </c>
      <c r="B4893" t="s">
        <v>35</v>
      </c>
      <c r="C4893" s="3">
        <v>7.2493</v>
      </c>
      <c r="D4893">
        <v>1</v>
      </c>
      <c r="E4893">
        <v>1</v>
      </c>
      <c r="F4893">
        <v>0</v>
      </c>
    </row>
    <row r="4894" spans="1:6">
      <c r="A4894" t="s">
        <v>379</v>
      </c>
      <c r="B4894" t="s">
        <v>36</v>
      </c>
      <c r="C4894" s="3">
        <v>527.241589</v>
      </c>
      <c r="D4894">
        <v>1</v>
      </c>
      <c r="E4894">
        <v>1</v>
      </c>
      <c r="F4894">
        <v>0</v>
      </c>
    </row>
    <row r="4895" spans="1:6">
      <c r="A4895" t="s">
        <v>379</v>
      </c>
      <c r="B4895" t="s">
        <v>40</v>
      </c>
      <c r="C4895" s="3">
        <v>93.2</v>
      </c>
      <c r="D4895">
        <v>1</v>
      </c>
      <c r="E4895">
        <v>1</v>
      </c>
      <c r="F4895">
        <v>0</v>
      </c>
    </row>
    <row r="4896" spans="1:6">
      <c r="A4896" t="s">
        <v>379</v>
      </c>
      <c r="B4896" t="s">
        <v>41</v>
      </c>
      <c r="C4896" s="3">
        <v>97.5</v>
      </c>
      <c r="D4896">
        <v>1</v>
      </c>
      <c r="E4896">
        <v>1</v>
      </c>
      <c r="F4896">
        <v>0</v>
      </c>
    </row>
    <row r="4897" spans="1:6">
      <c r="A4897" t="s">
        <v>379</v>
      </c>
      <c r="B4897" t="s">
        <v>42</v>
      </c>
      <c r="C4897" s="3">
        <v>99.9</v>
      </c>
      <c r="D4897">
        <v>1</v>
      </c>
      <c r="E4897">
        <v>1</v>
      </c>
      <c r="F4897">
        <v>0</v>
      </c>
    </row>
    <row r="4898" spans="1:6">
      <c r="A4898" t="s">
        <v>379</v>
      </c>
      <c r="B4898" t="s">
        <v>46</v>
      </c>
      <c r="C4898" s="3">
        <v>97.6</v>
      </c>
      <c r="D4898">
        <v>1</v>
      </c>
      <c r="E4898">
        <v>1</v>
      </c>
      <c r="F4898">
        <v>0</v>
      </c>
    </row>
    <row r="4899" spans="1:6">
      <c r="A4899" t="s">
        <v>379</v>
      </c>
      <c r="B4899" t="s">
        <v>392</v>
      </c>
      <c r="C4899" s="3">
        <v>51126918527</v>
      </c>
      <c r="D4899">
        <v>1</v>
      </c>
      <c r="E4899">
        <v>1</v>
      </c>
      <c r="F4899">
        <v>0</v>
      </c>
    </row>
    <row r="4900" spans="1:6">
      <c r="A4900" t="s">
        <v>379</v>
      </c>
      <c r="B4900" t="s">
        <v>393</v>
      </c>
      <c r="C4900" s="3">
        <v>203225397326</v>
      </c>
      <c r="D4900">
        <v>1</v>
      </c>
      <c r="E4900">
        <v>1</v>
      </c>
      <c r="F4900">
        <v>0</v>
      </c>
    </row>
    <row r="4901" spans="1:6">
      <c r="A4901" t="s">
        <v>379</v>
      </c>
      <c r="B4901" t="s">
        <v>394</v>
      </c>
      <c r="C4901" s="3">
        <v>3.97491973271726</v>
      </c>
      <c r="D4901">
        <v>1</v>
      </c>
      <c r="E4901">
        <v>1</v>
      </c>
      <c r="F4901">
        <v>0</v>
      </c>
    </row>
    <row r="4902" spans="1:6">
      <c r="A4902" t="s">
        <v>379</v>
      </c>
      <c r="B4902" t="s">
        <v>39</v>
      </c>
      <c r="C4902" s="3">
        <v>-3.99026292753748</v>
      </c>
      <c r="D4902">
        <v>1</v>
      </c>
      <c r="E4902">
        <v>1</v>
      </c>
      <c r="F4902">
        <v>0</v>
      </c>
    </row>
    <row r="4903" spans="1:6">
      <c r="A4903" t="s">
        <v>379</v>
      </c>
      <c r="B4903" t="s">
        <v>43</v>
      </c>
      <c r="C4903" s="3">
        <v>-1.8</v>
      </c>
      <c r="D4903">
        <v>1</v>
      </c>
      <c r="E4903">
        <v>1</v>
      </c>
      <c r="F4903">
        <v>0</v>
      </c>
    </row>
    <row r="4904" spans="1:6">
      <c r="A4904" t="s">
        <v>379</v>
      </c>
      <c r="B4904" t="s">
        <v>44</v>
      </c>
      <c r="C4904" s="3">
        <v>-0.299999999999997</v>
      </c>
      <c r="D4904">
        <v>1</v>
      </c>
      <c r="E4904">
        <v>1</v>
      </c>
      <c r="F4904">
        <v>0</v>
      </c>
    </row>
    <row r="4905" spans="1:6">
      <c r="A4905" t="s">
        <v>379</v>
      </c>
      <c r="B4905" t="s">
        <v>45</v>
      </c>
      <c r="C4905" s="3">
        <v>0.600000000000009</v>
      </c>
      <c r="D4905">
        <v>1</v>
      </c>
      <c r="E4905">
        <v>1</v>
      </c>
      <c r="F4905">
        <v>0</v>
      </c>
    </row>
    <row r="4906" spans="1:6">
      <c r="A4906" t="s">
        <v>379</v>
      </c>
      <c r="B4906" t="s">
        <v>396</v>
      </c>
      <c r="C4906" s="3">
        <v>-2.41433564819239</v>
      </c>
      <c r="D4906">
        <v>1</v>
      </c>
      <c r="E4906">
        <v>1</v>
      </c>
      <c r="F4906">
        <v>0</v>
      </c>
    </row>
    <row r="4907" spans="1:6">
      <c r="A4907" t="s">
        <v>380</v>
      </c>
      <c r="B4907" t="s">
        <v>34</v>
      </c>
      <c r="C4907" s="3">
        <v>68.13</v>
      </c>
      <c r="D4907">
        <v>1</v>
      </c>
      <c r="E4907">
        <v>1</v>
      </c>
      <c r="F4907">
        <v>0</v>
      </c>
    </row>
    <row r="4908" spans="1:6">
      <c r="A4908" t="s">
        <v>380</v>
      </c>
      <c r="B4908" t="s">
        <v>35</v>
      </c>
      <c r="C4908" s="3">
        <v>7.2968</v>
      </c>
      <c r="D4908">
        <v>1</v>
      </c>
      <c r="E4908">
        <v>1</v>
      </c>
      <c r="F4908">
        <v>0</v>
      </c>
    </row>
    <row r="4909" spans="1:6">
      <c r="A4909" t="s">
        <v>380</v>
      </c>
      <c r="B4909" t="s">
        <v>36</v>
      </c>
      <c r="C4909" s="3">
        <v>497.130984</v>
      </c>
      <c r="D4909">
        <v>1</v>
      </c>
      <c r="E4909">
        <v>1</v>
      </c>
      <c r="F4909">
        <v>0</v>
      </c>
    </row>
    <row r="4910" spans="1:6">
      <c r="A4910" t="s">
        <v>380</v>
      </c>
      <c r="B4910" t="s">
        <v>40</v>
      </c>
      <c r="C4910" s="3">
        <v>92.3</v>
      </c>
      <c r="D4910">
        <v>1</v>
      </c>
      <c r="E4910">
        <v>1</v>
      </c>
      <c r="F4910">
        <v>0</v>
      </c>
    </row>
    <row r="4911" spans="1:6">
      <c r="A4911" t="s">
        <v>380</v>
      </c>
      <c r="B4911" t="s">
        <v>41</v>
      </c>
      <c r="C4911" s="3">
        <v>97.3</v>
      </c>
      <c r="D4911">
        <v>1</v>
      </c>
      <c r="E4911">
        <v>1</v>
      </c>
      <c r="F4911">
        <v>0</v>
      </c>
    </row>
    <row r="4912" spans="1:6">
      <c r="A4912" t="s">
        <v>380</v>
      </c>
      <c r="B4912" t="s">
        <v>42</v>
      </c>
      <c r="C4912" s="3">
        <v>99.9</v>
      </c>
      <c r="D4912">
        <v>1</v>
      </c>
      <c r="E4912">
        <v>1</v>
      </c>
      <c r="F4912">
        <v>0</v>
      </c>
    </row>
    <row r="4913" spans="1:6">
      <c r="A4913" t="s">
        <v>380</v>
      </c>
      <c r="B4913" t="s">
        <v>46</v>
      </c>
      <c r="C4913" s="3">
        <v>97.3</v>
      </c>
      <c r="D4913">
        <v>1</v>
      </c>
      <c r="E4913">
        <v>1</v>
      </c>
      <c r="F4913">
        <v>0</v>
      </c>
    </row>
    <row r="4914" spans="1:6">
      <c r="A4914" t="s">
        <v>380</v>
      </c>
      <c r="B4914" t="s">
        <v>392</v>
      </c>
      <c r="C4914" s="3">
        <v>48042002847</v>
      </c>
      <c r="D4914">
        <v>1</v>
      </c>
      <c r="E4914">
        <v>1</v>
      </c>
      <c r="F4914">
        <v>0</v>
      </c>
    </row>
    <row r="4915" spans="1:6">
      <c r="A4915" t="s">
        <v>380</v>
      </c>
      <c r="B4915" t="s">
        <v>393</v>
      </c>
      <c r="C4915" s="3">
        <v>182140377124</v>
      </c>
      <c r="D4915">
        <v>1</v>
      </c>
      <c r="E4915">
        <v>1</v>
      </c>
      <c r="F4915">
        <v>0</v>
      </c>
    </row>
    <row r="4916" spans="1:6">
      <c r="A4916" t="s">
        <v>380</v>
      </c>
      <c r="B4916" t="s">
        <v>394</v>
      </c>
      <c r="C4916" s="3">
        <v>3.79127360081271</v>
      </c>
      <c r="D4916">
        <v>1</v>
      </c>
      <c r="E4916">
        <v>1</v>
      </c>
      <c r="F4916">
        <v>0</v>
      </c>
    </row>
    <row r="4917" spans="1:6">
      <c r="A4917" t="s">
        <v>380</v>
      </c>
      <c r="B4917" t="s">
        <v>39</v>
      </c>
      <c r="C4917" s="3">
        <v>-5.88053259780887</v>
      </c>
      <c r="D4917">
        <v>1</v>
      </c>
      <c r="E4917">
        <v>1</v>
      </c>
      <c r="F4917">
        <v>0</v>
      </c>
    </row>
    <row r="4918" spans="1:6">
      <c r="A4918" t="s">
        <v>380</v>
      </c>
      <c r="B4918" t="s">
        <v>43</v>
      </c>
      <c r="C4918" s="3">
        <v>-0.900000000000006</v>
      </c>
      <c r="D4918">
        <v>1</v>
      </c>
      <c r="E4918">
        <v>1</v>
      </c>
      <c r="F4918">
        <v>0</v>
      </c>
    </row>
    <row r="4919" spans="1:6">
      <c r="A4919" t="s">
        <v>380</v>
      </c>
      <c r="B4919" t="s">
        <v>44</v>
      </c>
      <c r="C4919" s="3">
        <v>-0.200000000000003</v>
      </c>
      <c r="D4919">
        <v>1</v>
      </c>
      <c r="E4919">
        <v>1</v>
      </c>
      <c r="F4919">
        <v>0</v>
      </c>
    </row>
    <row r="4920" spans="1:6">
      <c r="A4920" t="s">
        <v>380</v>
      </c>
      <c r="B4920" t="s">
        <v>45</v>
      </c>
      <c r="C4920" s="3">
        <v>0</v>
      </c>
      <c r="D4920">
        <v>1</v>
      </c>
      <c r="E4920">
        <v>1</v>
      </c>
      <c r="F4920">
        <v>0</v>
      </c>
    </row>
    <row r="4921" spans="1:6">
      <c r="A4921" t="s">
        <v>380</v>
      </c>
      <c r="B4921" t="s">
        <v>396</v>
      </c>
      <c r="C4921" s="3">
        <v>-4.73025497997925</v>
      </c>
      <c r="D4921">
        <v>1</v>
      </c>
      <c r="E4921">
        <v>1</v>
      </c>
      <c r="F4921">
        <v>0</v>
      </c>
    </row>
    <row r="4922" spans="1:6">
      <c r="A4922" t="s">
        <v>381</v>
      </c>
      <c r="B4922" t="s">
        <v>34</v>
      </c>
      <c r="C4922" s="3">
        <v>64.45</v>
      </c>
      <c r="D4922">
        <v>1</v>
      </c>
      <c r="E4922">
        <v>1</v>
      </c>
      <c r="F4922">
        <v>0</v>
      </c>
    </row>
    <row r="4923" spans="1:6">
      <c r="A4923" t="s">
        <v>381</v>
      </c>
      <c r="B4923" t="s">
        <v>35</v>
      </c>
      <c r="C4923" s="3">
        <v>7.2166</v>
      </c>
      <c r="D4923">
        <v>1</v>
      </c>
      <c r="E4923">
        <v>1</v>
      </c>
      <c r="F4923">
        <v>0</v>
      </c>
    </row>
    <row r="4924" spans="1:6">
      <c r="A4924" t="s">
        <v>381</v>
      </c>
      <c r="B4924" t="s">
        <v>36</v>
      </c>
      <c r="C4924" s="3">
        <v>465.10987</v>
      </c>
      <c r="D4924">
        <v>1</v>
      </c>
      <c r="E4924">
        <v>1</v>
      </c>
      <c r="F4924">
        <v>0</v>
      </c>
    </row>
    <row r="4925" spans="1:6">
      <c r="A4925" t="s">
        <v>381</v>
      </c>
      <c r="B4925" t="s">
        <v>40</v>
      </c>
      <c r="C4925" s="3">
        <v>90.2</v>
      </c>
      <c r="D4925">
        <v>1</v>
      </c>
      <c r="E4925">
        <v>1</v>
      </c>
      <c r="F4925">
        <v>0</v>
      </c>
    </row>
    <row r="4926" spans="1:6">
      <c r="A4926" t="s">
        <v>381</v>
      </c>
      <c r="B4926" t="s">
        <v>41</v>
      </c>
      <c r="C4926" s="3">
        <v>96.7</v>
      </c>
      <c r="D4926">
        <v>1</v>
      </c>
      <c r="E4926">
        <v>1</v>
      </c>
      <c r="F4926">
        <v>0</v>
      </c>
    </row>
    <row r="4927" spans="1:6">
      <c r="A4927" t="s">
        <v>381</v>
      </c>
      <c r="B4927" t="s">
        <v>42</v>
      </c>
      <c r="C4927" s="3">
        <v>99.9</v>
      </c>
      <c r="D4927">
        <v>1</v>
      </c>
      <c r="E4927">
        <v>1</v>
      </c>
      <c r="F4927">
        <v>0</v>
      </c>
    </row>
    <row r="4928" spans="1:6">
      <c r="A4928" t="s">
        <v>381</v>
      </c>
      <c r="B4928" t="s">
        <v>46</v>
      </c>
      <c r="C4928" s="3">
        <v>96.4</v>
      </c>
      <c r="D4928">
        <v>1</v>
      </c>
      <c r="E4928">
        <v>1</v>
      </c>
      <c r="F4928">
        <v>0</v>
      </c>
    </row>
    <row r="4929" spans="1:6">
      <c r="A4929" t="s">
        <v>381</v>
      </c>
      <c r="B4929" t="s">
        <v>392</v>
      </c>
      <c r="C4929" s="3">
        <v>46571654246</v>
      </c>
      <c r="D4929">
        <v>1</v>
      </c>
      <c r="E4929">
        <v>1</v>
      </c>
      <c r="F4929">
        <v>0</v>
      </c>
    </row>
    <row r="4930" spans="1:6">
      <c r="A4930" t="s">
        <v>381</v>
      </c>
      <c r="B4930" t="s">
        <v>393</v>
      </c>
      <c r="C4930" s="3">
        <v>167926922607</v>
      </c>
      <c r="D4930">
        <v>1</v>
      </c>
      <c r="E4930">
        <v>1</v>
      </c>
      <c r="F4930">
        <v>0</v>
      </c>
    </row>
    <row r="4931" spans="1:6">
      <c r="A4931" t="s">
        <v>381</v>
      </c>
      <c r="B4931" t="s">
        <v>394</v>
      </c>
      <c r="C4931" s="3">
        <v>3.6057753439459</v>
      </c>
      <c r="D4931">
        <v>1</v>
      </c>
      <c r="E4931">
        <v>1</v>
      </c>
      <c r="F4931">
        <v>0</v>
      </c>
    </row>
    <row r="4932" spans="1:6">
      <c r="A4932" t="s">
        <v>381</v>
      </c>
      <c r="B4932" t="s">
        <v>39</v>
      </c>
      <c r="C4932" s="3">
        <v>-6.65798834217609</v>
      </c>
      <c r="D4932">
        <v>1</v>
      </c>
      <c r="E4932">
        <v>1</v>
      </c>
      <c r="F4932">
        <v>0</v>
      </c>
    </row>
    <row r="4933" spans="1:6">
      <c r="A4933" t="s">
        <v>381</v>
      </c>
      <c r="B4933" t="s">
        <v>43</v>
      </c>
      <c r="C4933" s="3">
        <v>-2.09999999999999</v>
      </c>
      <c r="D4933">
        <v>1</v>
      </c>
      <c r="E4933">
        <v>1</v>
      </c>
      <c r="F4933">
        <v>0</v>
      </c>
    </row>
    <row r="4934" spans="1:6">
      <c r="A4934" t="s">
        <v>381</v>
      </c>
      <c r="B4934" t="s">
        <v>44</v>
      </c>
      <c r="C4934" s="3">
        <v>-0.599999999999994</v>
      </c>
      <c r="D4934">
        <v>1</v>
      </c>
      <c r="E4934">
        <v>1</v>
      </c>
      <c r="F4934">
        <v>0</v>
      </c>
    </row>
    <row r="4935" spans="1:6">
      <c r="A4935" t="s">
        <v>381</v>
      </c>
      <c r="B4935" t="s">
        <v>45</v>
      </c>
      <c r="C4935" s="3">
        <v>0</v>
      </c>
      <c r="D4935">
        <v>1</v>
      </c>
      <c r="E4935">
        <v>1</v>
      </c>
      <c r="F4935">
        <v>0</v>
      </c>
    </row>
    <row r="4936" spans="1:6">
      <c r="A4936" t="s">
        <v>381</v>
      </c>
      <c r="B4936" t="s">
        <v>396</v>
      </c>
      <c r="C4936" s="3">
        <v>-5.01651828602538</v>
      </c>
      <c r="D4936">
        <v>1</v>
      </c>
      <c r="E4936">
        <v>1</v>
      </c>
      <c r="F4936">
        <v>0</v>
      </c>
    </row>
    <row r="4937" spans="1:6">
      <c r="A4937" t="s">
        <v>382</v>
      </c>
      <c r="B4937" t="s">
        <v>34</v>
      </c>
      <c r="C4937" s="3">
        <v>71.44</v>
      </c>
      <c r="D4937">
        <v>1</v>
      </c>
      <c r="E4937">
        <v>1</v>
      </c>
      <c r="F4937">
        <v>0</v>
      </c>
    </row>
    <row r="4938" spans="1:6">
      <c r="A4938" t="s">
        <v>382</v>
      </c>
      <c r="B4938" t="s">
        <v>35</v>
      </c>
      <c r="C4938" s="3">
        <v>7.1804</v>
      </c>
      <c r="D4938">
        <v>1</v>
      </c>
      <c r="E4938">
        <v>1</v>
      </c>
      <c r="F4938">
        <v>0</v>
      </c>
    </row>
    <row r="4939" spans="1:6">
      <c r="A4939" t="s">
        <v>382</v>
      </c>
      <c r="B4939" t="s">
        <v>36</v>
      </c>
      <c r="C4939" s="3">
        <v>512.967776</v>
      </c>
      <c r="D4939">
        <v>1</v>
      </c>
      <c r="E4939">
        <v>1</v>
      </c>
      <c r="F4939">
        <v>0</v>
      </c>
    </row>
    <row r="4940" spans="1:6">
      <c r="A4940" t="s">
        <v>382</v>
      </c>
      <c r="B4940" t="s">
        <v>40</v>
      </c>
      <c r="C4940" s="3">
        <v>89.6</v>
      </c>
      <c r="D4940">
        <v>1</v>
      </c>
      <c r="E4940">
        <v>1</v>
      </c>
      <c r="F4940">
        <v>0</v>
      </c>
    </row>
    <row r="4941" spans="1:6">
      <c r="A4941" t="s">
        <v>382</v>
      </c>
      <c r="B4941" t="s">
        <v>41</v>
      </c>
      <c r="C4941" s="3">
        <v>96.4</v>
      </c>
      <c r="D4941">
        <v>1</v>
      </c>
      <c r="E4941">
        <v>1</v>
      </c>
      <c r="F4941">
        <v>0</v>
      </c>
    </row>
    <row r="4942" spans="1:6">
      <c r="A4942" t="s">
        <v>382</v>
      </c>
      <c r="B4942" t="s">
        <v>42</v>
      </c>
      <c r="C4942" s="3">
        <v>100.1</v>
      </c>
      <c r="D4942">
        <v>1</v>
      </c>
      <c r="E4942">
        <v>1</v>
      </c>
      <c r="F4942">
        <v>0</v>
      </c>
    </row>
    <row r="4943" spans="1:6">
      <c r="A4943" t="s">
        <v>382</v>
      </c>
      <c r="B4943" t="s">
        <v>46</v>
      </c>
      <c r="C4943" s="3">
        <v>95.7</v>
      </c>
      <c r="D4943">
        <v>1</v>
      </c>
      <c r="E4943">
        <v>1</v>
      </c>
      <c r="F4943">
        <v>0</v>
      </c>
    </row>
    <row r="4944" spans="1:6">
      <c r="A4944" t="s">
        <v>382</v>
      </c>
      <c r="B4944" t="s">
        <v>392</v>
      </c>
      <c r="C4944" s="3">
        <v>49878192003</v>
      </c>
      <c r="D4944">
        <v>1</v>
      </c>
      <c r="E4944">
        <v>1</v>
      </c>
      <c r="F4944">
        <v>0</v>
      </c>
    </row>
    <row r="4945" spans="1:6">
      <c r="A4945" t="s">
        <v>382</v>
      </c>
      <c r="B4945" t="s">
        <v>393</v>
      </c>
      <c r="C4945" s="3">
        <v>176514837690</v>
      </c>
      <c r="D4945">
        <v>1</v>
      </c>
      <c r="E4945">
        <v>1</v>
      </c>
      <c r="F4945">
        <v>0</v>
      </c>
    </row>
    <row r="4946" spans="1:6">
      <c r="A4946" t="s">
        <v>382</v>
      </c>
      <c r="B4946" t="s">
        <v>394</v>
      </c>
      <c r="C4946" s="3">
        <v>3.53891812436552</v>
      </c>
      <c r="D4946">
        <v>1</v>
      </c>
      <c r="E4946">
        <v>1</v>
      </c>
      <c r="F4946">
        <v>0</v>
      </c>
    </row>
    <row r="4947" spans="1:6">
      <c r="A4947" t="s">
        <v>382</v>
      </c>
      <c r="B4947" t="s">
        <v>39</v>
      </c>
      <c r="C4947" s="3">
        <v>9.79393711353941</v>
      </c>
      <c r="D4947">
        <v>1</v>
      </c>
      <c r="E4947">
        <v>1</v>
      </c>
      <c r="F4947">
        <v>0</v>
      </c>
    </row>
    <row r="4948" spans="1:6">
      <c r="A4948" t="s">
        <v>382</v>
      </c>
      <c r="B4948" t="s">
        <v>43</v>
      </c>
      <c r="C4948" s="3">
        <v>-0.600000000000009</v>
      </c>
      <c r="D4948">
        <v>1</v>
      </c>
      <c r="E4948">
        <v>1</v>
      </c>
      <c r="F4948">
        <v>0</v>
      </c>
    </row>
    <row r="4949" spans="1:6">
      <c r="A4949" t="s">
        <v>382</v>
      </c>
      <c r="B4949" t="s">
        <v>44</v>
      </c>
      <c r="C4949" s="3">
        <v>-0.299999999999997</v>
      </c>
      <c r="D4949">
        <v>1</v>
      </c>
      <c r="E4949">
        <v>1</v>
      </c>
      <c r="F4949">
        <v>0</v>
      </c>
    </row>
    <row r="4950" spans="1:6">
      <c r="A4950" t="s">
        <v>382</v>
      </c>
      <c r="B4950" t="s">
        <v>45</v>
      </c>
      <c r="C4950" s="3">
        <v>0.199999999999989</v>
      </c>
      <c r="D4950">
        <v>1</v>
      </c>
      <c r="E4950">
        <v>1</v>
      </c>
      <c r="F4950">
        <v>0</v>
      </c>
    </row>
    <row r="4951" spans="1:6">
      <c r="A4951" t="s">
        <v>382</v>
      </c>
      <c r="B4951" t="s">
        <v>396</v>
      </c>
      <c r="C4951" s="3">
        <v>-1.87157563652459</v>
      </c>
      <c r="D4951">
        <v>1</v>
      </c>
      <c r="E4951">
        <v>1</v>
      </c>
      <c r="F4951">
        <v>0</v>
      </c>
    </row>
    <row r="4952" spans="1:6">
      <c r="A4952" t="s">
        <v>383</v>
      </c>
      <c r="B4952" t="s">
        <v>34</v>
      </c>
      <c r="C4952" s="3">
        <v>71.04</v>
      </c>
      <c r="D4952">
        <v>1</v>
      </c>
      <c r="E4952">
        <v>1</v>
      </c>
      <c r="F4952">
        <v>0</v>
      </c>
    </row>
    <row r="4953" spans="1:6">
      <c r="A4953" t="s">
        <v>383</v>
      </c>
      <c r="B4953" t="s">
        <v>35</v>
      </c>
      <c r="C4953" s="3">
        <v>7.1741</v>
      </c>
      <c r="D4953">
        <v>1</v>
      </c>
      <c r="E4953">
        <v>1</v>
      </c>
      <c r="F4953">
        <v>0</v>
      </c>
    </row>
    <row r="4954" spans="1:6">
      <c r="A4954" t="s">
        <v>383</v>
      </c>
      <c r="B4954" t="s">
        <v>36</v>
      </c>
      <c r="C4954" s="3">
        <v>509.648064</v>
      </c>
      <c r="D4954">
        <v>1</v>
      </c>
      <c r="E4954">
        <v>1</v>
      </c>
      <c r="F4954">
        <v>0</v>
      </c>
    </row>
    <row r="4955" spans="1:6">
      <c r="A4955" t="s">
        <v>383</v>
      </c>
      <c r="B4955" t="s">
        <v>40</v>
      </c>
      <c r="C4955" s="3">
        <v>89.2</v>
      </c>
      <c r="D4955">
        <v>1</v>
      </c>
      <c r="E4955">
        <v>1</v>
      </c>
      <c r="F4955">
        <v>0</v>
      </c>
    </row>
    <row r="4956" spans="1:6">
      <c r="A4956" t="s">
        <v>383</v>
      </c>
      <c r="B4956" t="s">
        <v>41</v>
      </c>
      <c r="C4956" s="3">
        <v>96.4</v>
      </c>
      <c r="D4956">
        <v>1</v>
      </c>
      <c r="E4956">
        <v>1</v>
      </c>
      <c r="F4956">
        <v>0</v>
      </c>
    </row>
    <row r="4957" spans="1:6">
      <c r="A4957" t="s">
        <v>383</v>
      </c>
      <c r="B4957" t="s">
        <v>42</v>
      </c>
      <c r="C4957" s="3">
        <v>100</v>
      </c>
      <c r="D4957">
        <v>1</v>
      </c>
      <c r="E4957">
        <v>1</v>
      </c>
      <c r="F4957">
        <v>0</v>
      </c>
    </row>
    <row r="4958" spans="1:6">
      <c r="A4958" t="s">
        <v>383</v>
      </c>
      <c r="B4958" t="s">
        <v>46</v>
      </c>
      <c r="C4958" s="3">
        <v>95.5</v>
      </c>
      <c r="D4958">
        <v>1</v>
      </c>
      <c r="E4958">
        <v>1</v>
      </c>
      <c r="F4958">
        <v>0</v>
      </c>
    </row>
    <row r="4959" spans="1:6">
      <c r="A4959" t="s">
        <v>383</v>
      </c>
      <c r="B4959" t="s">
        <v>392</v>
      </c>
      <c r="C4959" s="3">
        <v>47190247145</v>
      </c>
      <c r="D4959">
        <v>1</v>
      </c>
      <c r="E4959">
        <v>1</v>
      </c>
      <c r="F4959">
        <v>0</v>
      </c>
    </row>
    <row r="4960" spans="1:6">
      <c r="A4960" t="s">
        <v>383</v>
      </c>
      <c r="B4960" t="s">
        <v>393</v>
      </c>
      <c r="C4960" s="3">
        <v>172351412607</v>
      </c>
      <c r="D4960">
        <v>1</v>
      </c>
      <c r="E4960">
        <v>1</v>
      </c>
      <c r="F4960">
        <v>0</v>
      </c>
    </row>
    <row r="4961" spans="1:6">
      <c r="A4961" t="s">
        <v>383</v>
      </c>
      <c r="B4961" t="s">
        <v>394</v>
      </c>
      <c r="C4961" s="3">
        <v>3.65226764075681</v>
      </c>
      <c r="D4961">
        <v>1</v>
      </c>
      <c r="E4961">
        <v>1</v>
      </c>
      <c r="F4961">
        <v>0</v>
      </c>
    </row>
    <row r="4962" spans="1:6">
      <c r="A4962" t="s">
        <v>383</v>
      </c>
      <c r="B4962" t="s">
        <v>39</v>
      </c>
      <c r="C4962" s="3">
        <v>-0.649261146118697</v>
      </c>
      <c r="D4962">
        <v>1</v>
      </c>
      <c r="E4962">
        <v>1</v>
      </c>
      <c r="F4962">
        <v>0</v>
      </c>
    </row>
    <row r="4963" spans="1:6">
      <c r="A4963" t="s">
        <v>383</v>
      </c>
      <c r="B4963" t="s">
        <v>43</v>
      </c>
      <c r="C4963" s="3">
        <v>-0.399999999999991</v>
      </c>
      <c r="D4963">
        <v>1</v>
      </c>
      <c r="E4963">
        <v>1</v>
      </c>
      <c r="F4963">
        <v>0</v>
      </c>
    </row>
    <row r="4964" spans="1:6">
      <c r="A4964" t="s">
        <v>383</v>
      </c>
      <c r="B4964" t="s">
        <v>44</v>
      </c>
      <c r="C4964" s="3">
        <v>0</v>
      </c>
      <c r="D4964">
        <v>1</v>
      </c>
      <c r="E4964">
        <v>1</v>
      </c>
      <c r="F4964">
        <v>0</v>
      </c>
    </row>
    <row r="4965" spans="1:6">
      <c r="A4965" t="s">
        <v>383</v>
      </c>
      <c r="B4965" t="s">
        <v>45</v>
      </c>
      <c r="C4965" s="3">
        <v>-0.0999999999999943</v>
      </c>
      <c r="D4965">
        <v>1</v>
      </c>
      <c r="E4965">
        <v>1</v>
      </c>
      <c r="F4965">
        <v>0</v>
      </c>
    </row>
    <row r="4966" spans="1:6">
      <c r="A4966" t="s">
        <v>383</v>
      </c>
      <c r="B4966" t="s">
        <v>396</v>
      </c>
      <c r="C4966" s="3">
        <v>3.15271802753996</v>
      </c>
      <c r="D4966">
        <v>1</v>
      </c>
      <c r="E4966">
        <v>1</v>
      </c>
      <c r="F4966">
        <v>0</v>
      </c>
    </row>
    <row r="4967" spans="1:6">
      <c r="A4967" t="s">
        <v>384</v>
      </c>
      <c r="B4967" t="s">
        <v>34</v>
      </c>
      <c r="C4967" s="3">
        <v>67.87</v>
      </c>
      <c r="D4967">
        <v>1</v>
      </c>
      <c r="E4967">
        <v>1</v>
      </c>
      <c r="F4967">
        <v>0</v>
      </c>
    </row>
    <row r="4968" spans="1:6">
      <c r="A4968" t="s">
        <v>384</v>
      </c>
      <c r="B4968" t="s">
        <v>35</v>
      </c>
      <c r="C4968" s="3">
        <v>7.1727</v>
      </c>
      <c r="D4968">
        <v>1</v>
      </c>
      <c r="E4968">
        <v>1</v>
      </c>
      <c r="F4968">
        <v>0</v>
      </c>
    </row>
    <row r="4969" spans="1:6">
      <c r="A4969" t="s">
        <v>384</v>
      </c>
      <c r="B4969" t="s">
        <v>36</v>
      </c>
      <c r="C4969" s="3">
        <v>486.811149</v>
      </c>
      <c r="D4969">
        <v>1</v>
      </c>
      <c r="E4969">
        <v>1</v>
      </c>
      <c r="F4969">
        <v>0</v>
      </c>
    </row>
    <row r="4970" spans="1:6">
      <c r="A4970" t="s">
        <v>384</v>
      </c>
      <c r="B4970" t="s">
        <v>40</v>
      </c>
      <c r="C4970" s="3">
        <v>90.3</v>
      </c>
      <c r="D4970">
        <v>1</v>
      </c>
      <c r="E4970">
        <v>1</v>
      </c>
      <c r="F4970">
        <v>0</v>
      </c>
    </row>
    <row r="4971" spans="1:6">
      <c r="A4971" t="s">
        <v>384</v>
      </c>
      <c r="B4971" t="s">
        <v>41</v>
      </c>
      <c r="C4971" s="3">
        <v>97.1</v>
      </c>
      <c r="D4971">
        <v>1</v>
      </c>
      <c r="E4971">
        <v>1</v>
      </c>
      <c r="F4971">
        <v>0</v>
      </c>
    </row>
    <row r="4972" spans="1:6">
      <c r="A4972" t="s">
        <v>384</v>
      </c>
      <c r="B4972" t="s">
        <v>42</v>
      </c>
      <c r="C4972" s="3">
        <v>99.6</v>
      </c>
      <c r="D4972">
        <v>1</v>
      </c>
      <c r="E4972">
        <v>1</v>
      </c>
      <c r="F4972">
        <v>0</v>
      </c>
    </row>
    <row r="4973" spans="1:6">
      <c r="A4973" t="s">
        <v>384</v>
      </c>
      <c r="B4973" t="s">
        <v>46</v>
      </c>
      <c r="C4973" s="3">
        <v>96</v>
      </c>
      <c r="D4973">
        <v>1</v>
      </c>
      <c r="E4973">
        <v>1</v>
      </c>
      <c r="F4973">
        <v>0</v>
      </c>
    </row>
    <row r="4974" spans="1:6">
      <c r="A4974" t="s">
        <v>384</v>
      </c>
      <c r="B4974" t="s">
        <v>392</v>
      </c>
      <c r="C4974" s="3">
        <v>49186223325</v>
      </c>
      <c r="D4974">
        <v>1</v>
      </c>
      <c r="E4974">
        <v>1</v>
      </c>
      <c r="F4974">
        <v>0</v>
      </c>
    </row>
    <row r="4975" spans="1:6">
      <c r="A4975" t="s">
        <v>384</v>
      </c>
      <c r="B4975" t="s">
        <v>393</v>
      </c>
      <c r="C4975" s="3">
        <v>179055613166</v>
      </c>
      <c r="D4975">
        <v>1</v>
      </c>
      <c r="E4975">
        <v>1</v>
      </c>
      <c r="F4975">
        <v>0</v>
      </c>
    </row>
    <row r="4976" spans="1:6">
      <c r="A4976" t="s">
        <v>384</v>
      </c>
      <c r="B4976" t="s">
        <v>394</v>
      </c>
      <c r="C4976" s="3">
        <v>3.64036108206322</v>
      </c>
      <c r="D4976">
        <v>1</v>
      </c>
      <c r="E4976">
        <v>1</v>
      </c>
      <c r="F4976">
        <v>0</v>
      </c>
    </row>
    <row r="4977" spans="1:6">
      <c r="A4977" t="s">
        <v>384</v>
      </c>
      <c r="B4977" t="s">
        <v>39</v>
      </c>
      <c r="C4977" s="3">
        <v>-4.5844153441307</v>
      </c>
      <c r="D4977">
        <v>1</v>
      </c>
      <c r="E4977">
        <v>1</v>
      </c>
      <c r="F4977">
        <v>0</v>
      </c>
    </row>
    <row r="4978" spans="1:6">
      <c r="A4978" t="s">
        <v>384</v>
      </c>
      <c r="B4978" t="s">
        <v>43</v>
      </c>
      <c r="C4978" s="3">
        <v>1.09999999999999</v>
      </c>
      <c r="D4978">
        <v>1</v>
      </c>
      <c r="E4978">
        <v>1</v>
      </c>
      <c r="F4978">
        <v>0</v>
      </c>
    </row>
    <row r="4979" spans="1:6">
      <c r="A4979" t="s">
        <v>384</v>
      </c>
      <c r="B4979" t="s">
        <v>44</v>
      </c>
      <c r="C4979" s="3">
        <v>0.699999999999989</v>
      </c>
      <c r="D4979">
        <v>1</v>
      </c>
      <c r="E4979">
        <v>1</v>
      </c>
      <c r="F4979">
        <v>0</v>
      </c>
    </row>
    <row r="4980" spans="1:6">
      <c r="A4980" t="s">
        <v>384</v>
      </c>
      <c r="B4980" t="s">
        <v>45</v>
      </c>
      <c r="C4980" s="3">
        <v>-0.400000000000006</v>
      </c>
      <c r="D4980">
        <v>1</v>
      </c>
      <c r="E4980">
        <v>1</v>
      </c>
      <c r="F4980">
        <v>0</v>
      </c>
    </row>
    <row r="4981" spans="1:6">
      <c r="A4981" t="s">
        <v>384</v>
      </c>
      <c r="B4981" t="s">
        <v>396</v>
      </c>
      <c r="C4981" s="3">
        <v>-0.326537102758451</v>
      </c>
      <c r="D4981">
        <v>1</v>
      </c>
      <c r="E4981">
        <v>1</v>
      </c>
      <c r="F4981">
        <v>0</v>
      </c>
    </row>
    <row r="4982" spans="1:6">
      <c r="A4982" t="s">
        <v>385</v>
      </c>
      <c r="B4982" t="s">
        <v>34</v>
      </c>
      <c r="C4982" s="3">
        <v>67.99</v>
      </c>
      <c r="D4982">
        <v>1</v>
      </c>
      <c r="E4982">
        <v>1</v>
      </c>
      <c r="F4982">
        <v>0</v>
      </c>
    </row>
    <row r="4983" spans="1:6">
      <c r="A4983" t="s">
        <v>385</v>
      </c>
      <c r="B4983" t="s">
        <v>35</v>
      </c>
      <c r="C4983" s="3">
        <v>7.1235</v>
      </c>
      <c r="D4983">
        <v>1</v>
      </c>
      <c r="E4983">
        <v>1</v>
      </c>
      <c r="F4983">
        <v>0</v>
      </c>
    </row>
    <row r="4984" spans="1:6">
      <c r="A4984" t="s">
        <v>385</v>
      </c>
      <c r="B4984" t="s">
        <v>36</v>
      </c>
      <c r="C4984" s="3">
        <v>484.326765</v>
      </c>
      <c r="D4984">
        <v>1</v>
      </c>
      <c r="E4984">
        <v>1</v>
      </c>
      <c r="F4984">
        <v>0</v>
      </c>
    </row>
    <row r="4985" spans="1:6">
      <c r="A4985" t="s">
        <v>385</v>
      </c>
      <c r="B4985" t="s">
        <v>40</v>
      </c>
      <c r="C4985" s="3">
        <v>91.9</v>
      </c>
      <c r="D4985">
        <v>1</v>
      </c>
      <c r="E4985">
        <v>1</v>
      </c>
      <c r="F4985">
        <v>0</v>
      </c>
    </row>
    <row r="4986" spans="1:6">
      <c r="A4986" t="s">
        <v>385</v>
      </c>
      <c r="B4986" t="s">
        <v>41</v>
      </c>
      <c r="C4986" s="3">
        <v>97.7</v>
      </c>
      <c r="D4986">
        <v>1</v>
      </c>
      <c r="E4986">
        <v>1</v>
      </c>
      <c r="F4986">
        <v>0</v>
      </c>
    </row>
    <row r="4987" spans="1:6">
      <c r="A4987" t="s">
        <v>385</v>
      </c>
      <c r="B4987" t="s">
        <v>42</v>
      </c>
      <c r="C4987" s="3">
        <v>99.7</v>
      </c>
      <c r="D4987">
        <v>1</v>
      </c>
      <c r="E4987">
        <v>1</v>
      </c>
      <c r="F4987">
        <v>0</v>
      </c>
    </row>
    <row r="4988" spans="1:6">
      <c r="A4988" t="s">
        <v>385</v>
      </c>
      <c r="B4988" t="s">
        <v>46</v>
      </c>
      <c r="C4988" s="3">
        <v>96.9</v>
      </c>
      <c r="D4988">
        <v>1</v>
      </c>
      <c r="E4988">
        <v>1</v>
      </c>
      <c r="F4988">
        <v>0</v>
      </c>
    </row>
    <row r="4989" spans="1:6">
      <c r="A4989" t="s">
        <v>385</v>
      </c>
      <c r="B4989" t="s">
        <v>392</v>
      </c>
      <c r="C4989" s="3">
        <v>46900939822</v>
      </c>
      <c r="D4989">
        <v>1</v>
      </c>
      <c r="E4989">
        <v>1</v>
      </c>
      <c r="F4989">
        <v>0</v>
      </c>
    </row>
    <row r="4990" spans="1:6">
      <c r="A4990" t="s">
        <v>385</v>
      </c>
      <c r="B4990" t="s">
        <v>393</v>
      </c>
      <c r="C4990" s="3">
        <v>169624107042</v>
      </c>
      <c r="D4990">
        <v>1</v>
      </c>
      <c r="E4990">
        <v>1</v>
      </c>
      <c r="F4990">
        <v>0</v>
      </c>
    </row>
    <row r="4991" spans="1:6">
      <c r="A4991" t="s">
        <v>385</v>
      </c>
      <c r="B4991" t="s">
        <v>394</v>
      </c>
      <c r="C4991" s="3">
        <v>3.61664622682963</v>
      </c>
      <c r="D4991">
        <v>1</v>
      </c>
      <c r="E4991">
        <v>1</v>
      </c>
      <c r="F4991">
        <v>0</v>
      </c>
    </row>
    <row r="4992" spans="1:6">
      <c r="A4992" t="s">
        <v>385</v>
      </c>
      <c r="B4992" t="s">
        <v>39</v>
      </c>
      <c r="C4992" s="3">
        <v>-0.511645026701013</v>
      </c>
      <c r="D4992">
        <v>1</v>
      </c>
      <c r="E4992">
        <v>1</v>
      </c>
      <c r="F4992">
        <v>0</v>
      </c>
    </row>
    <row r="4993" spans="1:6">
      <c r="A4993" t="s">
        <v>385</v>
      </c>
      <c r="B4993" t="s">
        <v>43</v>
      </c>
      <c r="C4993" s="3">
        <v>1.60000000000001</v>
      </c>
      <c r="D4993">
        <v>1</v>
      </c>
      <c r="E4993">
        <v>1</v>
      </c>
      <c r="F4993">
        <v>0</v>
      </c>
    </row>
    <row r="4994" spans="1:6">
      <c r="A4994" t="s">
        <v>385</v>
      </c>
      <c r="B4994" t="s">
        <v>44</v>
      </c>
      <c r="C4994" s="3">
        <v>0.600000000000009</v>
      </c>
      <c r="D4994">
        <v>1</v>
      </c>
      <c r="E4994">
        <v>1</v>
      </c>
      <c r="F4994">
        <v>0</v>
      </c>
    </row>
    <row r="4995" spans="1:6">
      <c r="A4995" t="s">
        <v>385</v>
      </c>
      <c r="B4995" t="s">
        <v>45</v>
      </c>
      <c r="C4995" s="3">
        <v>0.100000000000009</v>
      </c>
      <c r="D4995">
        <v>1</v>
      </c>
      <c r="E4995">
        <v>1</v>
      </c>
      <c r="F4995">
        <v>0</v>
      </c>
    </row>
    <row r="4996" spans="1:6">
      <c r="A4996" t="s">
        <v>385</v>
      </c>
      <c r="B4996" t="s">
        <v>396</v>
      </c>
      <c r="C4996" s="3">
        <v>-0.653573536328641</v>
      </c>
      <c r="D4996">
        <v>1</v>
      </c>
      <c r="E4996">
        <v>1</v>
      </c>
      <c r="F4996">
        <v>0</v>
      </c>
    </row>
    <row r="4997" spans="1:6">
      <c r="A4997" t="s">
        <v>386</v>
      </c>
      <c r="B4997" t="s">
        <v>34</v>
      </c>
      <c r="C4997" s="3">
        <v>64.54</v>
      </c>
      <c r="D4997">
        <v>1</v>
      </c>
      <c r="E4997">
        <v>1</v>
      </c>
      <c r="F4997">
        <v>0</v>
      </c>
    </row>
    <row r="4998" spans="1:6">
      <c r="A4998" t="s">
        <v>386</v>
      </c>
      <c r="B4998" t="s">
        <v>35</v>
      </c>
      <c r="C4998" s="3">
        <v>7.12</v>
      </c>
      <c r="D4998">
        <v>1</v>
      </c>
      <c r="E4998">
        <v>1</v>
      </c>
      <c r="F4998">
        <v>0</v>
      </c>
    </row>
    <row r="4999" spans="1:6">
      <c r="A4999" t="s">
        <v>386</v>
      </c>
      <c r="B4999" t="s">
        <v>36</v>
      </c>
      <c r="C4999" s="3">
        <v>459.5248</v>
      </c>
      <c r="D4999">
        <v>1</v>
      </c>
      <c r="E4999">
        <v>1</v>
      </c>
      <c r="F4999">
        <v>0</v>
      </c>
    </row>
    <row r="5000" spans="1:6">
      <c r="A5000" t="s">
        <v>386</v>
      </c>
      <c r="B5000" t="s">
        <v>40</v>
      </c>
      <c r="C5000" s="3">
        <v>92.6</v>
      </c>
      <c r="D5000">
        <v>1</v>
      </c>
      <c r="E5000">
        <v>1</v>
      </c>
      <c r="F5000">
        <v>0</v>
      </c>
    </row>
    <row r="5001" spans="1:6">
      <c r="A5001" t="s">
        <v>386</v>
      </c>
      <c r="B5001" t="s">
        <v>41</v>
      </c>
      <c r="C5001" s="3">
        <v>97.9</v>
      </c>
      <c r="D5001">
        <v>1</v>
      </c>
      <c r="E5001">
        <v>1</v>
      </c>
      <c r="F5001">
        <v>0</v>
      </c>
    </row>
    <row r="5002" spans="1:6">
      <c r="A5002" t="s">
        <v>386</v>
      </c>
      <c r="B5002" t="s">
        <v>42</v>
      </c>
      <c r="C5002" s="3">
        <v>100.2</v>
      </c>
      <c r="D5002">
        <v>1</v>
      </c>
      <c r="E5002">
        <v>1</v>
      </c>
      <c r="F5002">
        <v>0</v>
      </c>
    </row>
    <row r="5003" spans="1:6">
      <c r="A5003" t="s">
        <v>386</v>
      </c>
      <c r="B5003" t="s">
        <v>46</v>
      </c>
      <c r="C5003" s="3">
        <v>97.3</v>
      </c>
      <c r="D5003">
        <v>1</v>
      </c>
      <c r="E5003">
        <v>1</v>
      </c>
      <c r="F5003">
        <v>0</v>
      </c>
    </row>
    <row r="5004" spans="1:6">
      <c r="A5004" t="s">
        <v>386</v>
      </c>
      <c r="B5004" t="s">
        <v>392</v>
      </c>
      <c r="C5004" s="3">
        <v>48336247611</v>
      </c>
      <c r="D5004">
        <v>1</v>
      </c>
      <c r="E5004">
        <v>1</v>
      </c>
      <c r="F5004">
        <v>0</v>
      </c>
    </row>
    <row r="5005" spans="1:6">
      <c r="A5005" t="s">
        <v>386</v>
      </c>
      <c r="B5005" t="s">
        <v>393</v>
      </c>
      <c r="C5005" s="3">
        <v>172850164879</v>
      </c>
      <c r="D5005">
        <v>1</v>
      </c>
      <c r="E5005">
        <v>1</v>
      </c>
      <c r="F5005">
        <v>0</v>
      </c>
    </row>
    <row r="5006" spans="1:6">
      <c r="A5006" t="s">
        <v>386</v>
      </c>
      <c r="B5006" t="s">
        <v>394</v>
      </c>
      <c r="C5006" s="3">
        <v>3.57599469181104</v>
      </c>
      <c r="D5006">
        <v>1</v>
      </c>
      <c r="E5006">
        <v>1</v>
      </c>
      <c r="F5006">
        <v>0</v>
      </c>
    </row>
    <row r="5007" spans="1:6">
      <c r="A5007" t="s">
        <v>386</v>
      </c>
      <c r="B5007" t="s">
        <v>39</v>
      </c>
      <c r="C5007" s="3">
        <v>-5.25669011658171</v>
      </c>
      <c r="D5007">
        <v>1</v>
      </c>
      <c r="E5007">
        <v>1</v>
      </c>
      <c r="F5007">
        <v>0</v>
      </c>
    </row>
    <row r="5008" spans="1:6">
      <c r="A5008" t="s">
        <v>386</v>
      </c>
      <c r="B5008" t="s">
        <v>43</v>
      </c>
      <c r="C5008" s="3">
        <v>0.699999999999989</v>
      </c>
      <c r="D5008">
        <v>1</v>
      </c>
      <c r="E5008">
        <v>1</v>
      </c>
      <c r="F5008">
        <v>0</v>
      </c>
    </row>
    <row r="5009" spans="1:6">
      <c r="A5009" t="s">
        <v>386</v>
      </c>
      <c r="B5009" t="s">
        <v>44</v>
      </c>
      <c r="C5009" s="3">
        <v>0.200000000000003</v>
      </c>
      <c r="D5009">
        <v>1</v>
      </c>
      <c r="E5009">
        <v>1</v>
      </c>
      <c r="F5009">
        <v>0</v>
      </c>
    </row>
    <row r="5010" spans="1:6">
      <c r="A5010" t="s">
        <v>386</v>
      </c>
      <c r="B5010" t="s">
        <v>45</v>
      </c>
      <c r="C5010" s="3">
        <v>0.5</v>
      </c>
      <c r="D5010">
        <v>1</v>
      </c>
      <c r="E5010">
        <v>1</v>
      </c>
      <c r="F5010">
        <v>0</v>
      </c>
    </row>
    <row r="5011" spans="1:6">
      <c r="A5011" t="s">
        <v>386</v>
      </c>
      <c r="B5011" t="s">
        <v>396</v>
      </c>
      <c r="C5011" s="3">
        <v>-1.13037668172657</v>
      </c>
      <c r="D5011">
        <v>1</v>
      </c>
      <c r="E5011">
        <v>1</v>
      </c>
      <c r="F5011">
        <v>0</v>
      </c>
    </row>
    <row r="5012" spans="1:6">
      <c r="A5012" t="s">
        <v>387</v>
      </c>
      <c r="B5012" t="s">
        <v>34</v>
      </c>
      <c r="C5012" s="3">
        <v>63.8</v>
      </c>
      <c r="D5012">
        <v>1</v>
      </c>
      <c r="E5012">
        <v>1</v>
      </c>
      <c r="F5012">
        <v>0</v>
      </c>
    </row>
    <row r="5013" spans="1:6">
      <c r="A5013" t="s">
        <v>387</v>
      </c>
      <c r="B5013" t="s">
        <v>35</v>
      </c>
      <c r="C5013" s="3">
        <v>7.1069</v>
      </c>
      <c r="D5013">
        <v>1</v>
      </c>
      <c r="E5013">
        <v>1</v>
      </c>
      <c r="F5013">
        <v>0</v>
      </c>
    </row>
    <row r="5014" spans="1:6">
      <c r="A5014" t="s">
        <v>387</v>
      </c>
      <c r="B5014" t="s">
        <v>36</v>
      </c>
      <c r="C5014" s="3">
        <v>453.42022</v>
      </c>
      <c r="D5014">
        <v>1</v>
      </c>
      <c r="E5014">
        <v>1</v>
      </c>
      <c r="F5014">
        <v>0</v>
      </c>
    </row>
    <row r="5015" spans="1:6">
      <c r="A5015" t="s">
        <v>387</v>
      </c>
      <c r="B5015" t="s">
        <v>40</v>
      </c>
      <c r="C5015" s="3">
        <v>93.1</v>
      </c>
      <c r="D5015">
        <v>1</v>
      </c>
      <c r="E5015">
        <v>1</v>
      </c>
      <c r="F5015">
        <v>0</v>
      </c>
    </row>
    <row r="5016" spans="1:6">
      <c r="A5016" t="s">
        <v>387</v>
      </c>
      <c r="B5016" t="s">
        <v>41</v>
      </c>
      <c r="C5016" s="3">
        <v>97.8</v>
      </c>
      <c r="D5016">
        <v>1</v>
      </c>
      <c r="E5016">
        <v>1</v>
      </c>
      <c r="F5016">
        <v>0</v>
      </c>
    </row>
    <row r="5017" spans="1:6">
      <c r="A5017" t="s">
        <v>387</v>
      </c>
      <c r="B5017" t="s">
        <v>42</v>
      </c>
      <c r="C5017" s="3">
        <v>100.7</v>
      </c>
      <c r="D5017">
        <v>1</v>
      </c>
      <c r="E5017">
        <v>1</v>
      </c>
      <c r="F5017">
        <v>0</v>
      </c>
    </row>
    <row r="5018" spans="1:6">
      <c r="A5018" t="s">
        <v>387</v>
      </c>
      <c r="B5018" t="s">
        <v>46</v>
      </c>
      <c r="C5018" s="3">
        <v>97.5</v>
      </c>
      <c r="D5018">
        <v>1</v>
      </c>
      <c r="E5018">
        <v>1</v>
      </c>
      <c r="F5018">
        <v>0</v>
      </c>
    </row>
    <row r="5019" spans="1:6">
      <c r="A5019" t="s">
        <v>387</v>
      </c>
      <c r="B5019" t="s">
        <v>392</v>
      </c>
      <c r="C5019" s="3">
        <v>50780289506</v>
      </c>
      <c r="D5019">
        <v>1</v>
      </c>
      <c r="E5019">
        <v>1</v>
      </c>
      <c r="F5019">
        <v>0</v>
      </c>
    </row>
    <row r="5020" spans="1:6">
      <c r="A5020" t="s">
        <v>387</v>
      </c>
      <c r="B5020" t="s">
        <v>393</v>
      </c>
      <c r="C5020" s="3">
        <v>173592426658</v>
      </c>
      <c r="D5020">
        <v>1</v>
      </c>
      <c r="E5020">
        <v>1</v>
      </c>
      <c r="F5020">
        <v>0</v>
      </c>
    </row>
    <row r="5021" spans="1:6">
      <c r="A5021" t="s">
        <v>387</v>
      </c>
      <c r="B5021" t="s">
        <v>394</v>
      </c>
      <c r="C5021" s="3">
        <v>3.41850013748915</v>
      </c>
      <c r="D5021">
        <v>1</v>
      </c>
      <c r="E5021">
        <v>1</v>
      </c>
      <c r="F5021">
        <v>0</v>
      </c>
    </row>
    <row r="5022" spans="1:6">
      <c r="A5022" t="s">
        <v>387</v>
      </c>
      <c r="B5022" t="s">
        <v>39</v>
      </c>
      <c r="C5022" s="3">
        <v>-1.33735785857758</v>
      </c>
      <c r="D5022">
        <v>1</v>
      </c>
      <c r="E5022">
        <v>1</v>
      </c>
      <c r="F5022">
        <v>0</v>
      </c>
    </row>
    <row r="5023" spans="1:6">
      <c r="A5023" t="s">
        <v>387</v>
      </c>
      <c r="B5023" t="s">
        <v>43</v>
      </c>
      <c r="C5023" s="3">
        <v>0.5</v>
      </c>
      <c r="D5023">
        <v>1</v>
      </c>
      <c r="E5023">
        <v>1</v>
      </c>
      <c r="F5023">
        <v>0</v>
      </c>
    </row>
    <row r="5024" spans="1:6">
      <c r="A5024" t="s">
        <v>387</v>
      </c>
      <c r="B5024" t="s">
        <v>44</v>
      </c>
      <c r="C5024" s="3">
        <v>-0.100000000000009</v>
      </c>
      <c r="D5024">
        <v>1</v>
      </c>
      <c r="E5024">
        <v>1</v>
      </c>
      <c r="F5024">
        <v>0</v>
      </c>
    </row>
    <row r="5025" spans="1:6">
      <c r="A5025" t="s">
        <v>387</v>
      </c>
      <c r="B5025" t="s">
        <v>45</v>
      </c>
      <c r="C5025" s="3">
        <v>0.5</v>
      </c>
      <c r="D5025">
        <v>1</v>
      </c>
      <c r="E5025">
        <v>1</v>
      </c>
      <c r="F5025">
        <v>0</v>
      </c>
    </row>
    <row r="5026" spans="1:6">
      <c r="A5026" t="s">
        <v>387</v>
      </c>
      <c r="B5026" t="s">
        <v>396</v>
      </c>
      <c r="C5026" s="3">
        <v>-4.50414743264222</v>
      </c>
      <c r="D5026">
        <v>1</v>
      </c>
      <c r="E5026">
        <v>1</v>
      </c>
      <c r="F5026">
        <v>0</v>
      </c>
    </row>
    <row r="5027" spans="1:6">
      <c r="A5027" t="s">
        <v>388</v>
      </c>
      <c r="B5027" t="s">
        <v>34</v>
      </c>
      <c r="C5027" s="3">
        <v>62.54</v>
      </c>
      <c r="D5027">
        <v>1</v>
      </c>
      <c r="E5027">
        <v>1</v>
      </c>
      <c r="F5027">
        <v>0</v>
      </c>
    </row>
    <row r="5028" spans="1:6">
      <c r="A5028" t="s">
        <v>388</v>
      </c>
      <c r="B5028" t="s">
        <v>35</v>
      </c>
      <c r="C5028" s="3">
        <v>7.0432</v>
      </c>
      <c r="D5028">
        <v>1</v>
      </c>
      <c r="E5028">
        <v>1</v>
      </c>
      <c r="F5028">
        <v>0</v>
      </c>
    </row>
    <row r="5029" spans="1:6">
      <c r="A5029" t="s">
        <v>388</v>
      </c>
      <c r="B5029" t="s">
        <v>36</v>
      </c>
      <c r="C5029" s="3">
        <v>440.481728</v>
      </c>
      <c r="D5029">
        <v>1</v>
      </c>
      <c r="E5029">
        <v>1</v>
      </c>
      <c r="F5029">
        <v>0</v>
      </c>
    </row>
    <row r="5030" spans="1:6">
      <c r="A5030" t="s">
        <v>388</v>
      </c>
      <c r="B5030" t="s">
        <v>40</v>
      </c>
      <c r="C5030" s="3">
        <v>94.3</v>
      </c>
      <c r="D5030">
        <v>1</v>
      </c>
      <c r="E5030">
        <v>1</v>
      </c>
      <c r="F5030">
        <v>0</v>
      </c>
    </row>
    <row r="5031" spans="1:6">
      <c r="A5031" t="s">
        <v>388</v>
      </c>
      <c r="B5031" t="s">
        <v>41</v>
      </c>
      <c r="C5031" s="3">
        <v>98.1</v>
      </c>
      <c r="D5031">
        <v>1</v>
      </c>
      <c r="E5031">
        <v>1</v>
      </c>
      <c r="F5031">
        <v>0</v>
      </c>
    </row>
    <row r="5032" spans="1:6">
      <c r="A5032" t="s">
        <v>388</v>
      </c>
      <c r="B5032" t="s">
        <v>42</v>
      </c>
      <c r="C5032" s="3">
        <v>100.8</v>
      </c>
      <c r="D5032">
        <v>1</v>
      </c>
      <c r="E5032">
        <v>1</v>
      </c>
      <c r="F5032">
        <v>0</v>
      </c>
    </row>
    <row r="5033" spans="1:6">
      <c r="A5033" t="s">
        <v>388</v>
      </c>
      <c r="B5033" t="s">
        <v>46</v>
      </c>
      <c r="C5033" s="3">
        <v>97.9</v>
      </c>
      <c r="D5033">
        <v>1</v>
      </c>
      <c r="E5033">
        <v>1</v>
      </c>
      <c r="F5033">
        <v>0</v>
      </c>
    </row>
    <row r="5034" spans="1:6">
      <c r="A5034" t="s">
        <v>388</v>
      </c>
      <c r="B5034" t="s">
        <v>392</v>
      </c>
      <c r="C5034" s="3">
        <v>55962665042</v>
      </c>
      <c r="D5034">
        <v>1</v>
      </c>
      <c r="E5034">
        <v>1</v>
      </c>
      <c r="F5034">
        <v>0</v>
      </c>
    </row>
    <row r="5035" spans="1:6">
      <c r="A5035" t="s">
        <v>388</v>
      </c>
      <c r="B5035" t="s">
        <v>393</v>
      </c>
      <c r="C5035" s="3">
        <v>189048242379</v>
      </c>
      <c r="D5035">
        <v>1</v>
      </c>
      <c r="E5035">
        <v>1</v>
      </c>
      <c r="F5035">
        <v>0</v>
      </c>
    </row>
    <row r="5036" spans="1:6">
      <c r="A5036" t="s">
        <v>388</v>
      </c>
      <c r="B5036" t="s">
        <v>394</v>
      </c>
      <c r="C5036" s="3">
        <v>3.3781136448223</v>
      </c>
      <c r="D5036">
        <v>1</v>
      </c>
      <c r="E5036">
        <v>1</v>
      </c>
      <c r="F5036">
        <v>0</v>
      </c>
    </row>
    <row r="5037" spans="1:6">
      <c r="A5037" t="s">
        <v>388</v>
      </c>
      <c r="B5037" t="s">
        <v>39</v>
      </c>
      <c r="C5037" s="3">
        <v>-2.89503690822238</v>
      </c>
      <c r="D5037">
        <v>1</v>
      </c>
      <c r="E5037">
        <v>1</v>
      </c>
      <c r="F5037">
        <v>0</v>
      </c>
    </row>
    <row r="5038" spans="1:6">
      <c r="A5038" t="s">
        <v>388</v>
      </c>
      <c r="B5038" t="s">
        <v>43</v>
      </c>
      <c r="C5038" s="3">
        <v>1.2</v>
      </c>
      <c r="D5038">
        <v>1</v>
      </c>
      <c r="E5038">
        <v>1</v>
      </c>
      <c r="F5038">
        <v>0</v>
      </c>
    </row>
    <row r="5039" spans="1:6">
      <c r="A5039" t="s">
        <v>388</v>
      </c>
      <c r="B5039" t="s">
        <v>44</v>
      </c>
      <c r="C5039" s="3">
        <v>0.299999999999997</v>
      </c>
      <c r="D5039">
        <v>1</v>
      </c>
      <c r="E5039">
        <v>1</v>
      </c>
      <c r="F5039">
        <v>0</v>
      </c>
    </row>
    <row r="5040" spans="1:6">
      <c r="A5040" t="s">
        <v>388</v>
      </c>
      <c r="B5040" t="s">
        <v>45</v>
      </c>
      <c r="C5040" s="3">
        <v>0.0999999999999943</v>
      </c>
      <c r="D5040">
        <v>1</v>
      </c>
      <c r="E5040">
        <v>1</v>
      </c>
      <c r="F5040">
        <v>0</v>
      </c>
    </row>
    <row r="5041" spans="1:6">
      <c r="A5041" t="s">
        <v>388</v>
      </c>
      <c r="B5041" t="s">
        <v>396</v>
      </c>
      <c r="C5041" s="3">
        <v>-1.18844381357747</v>
      </c>
      <c r="D5041">
        <v>1</v>
      </c>
      <c r="E5041">
        <v>1</v>
      </c>
      <c r="F5041">
        <v>0</v>
      </c>
    </row>
    <row r="5042" spans="1:6">
      <c r="A5042" t="s">
        <v>389</v>
      </c>
      <c r="B5042" t="s">
        <v>34</v>
      </c>
      <c r="C5042" s="3">
        <v>66.6</v>
      </c>
      <c r="D5042">
        <v>1</v>
      </c>
      <c r="E5042">
        <v>1</v>
      </c>
      <c r="F5042">
        <v>0</v>
      </c>
    </row>
    <row r="5043" spans="1:6">
      <c r="A5043" t="s">
        <v>389</v>
      </c>
      <c r="B5043" t="s">
        <v>35</v>
      </c>
      <c r="C5043" s="3">
        <v>6.9692</v>
      </c>
      <c r="D5043">
        <v>1</v>
      </c>
      <c r="E5043">
        <v>1</v>
      </c>
      <c r="F5043">
        <v>0</v>
      </c>
    </row>
    <row r="5044" spans="1:6">
      <c r="A5044" t="s">
        <v>389</v>
      </c>
      <c r="B5044" t="s">
        <v>36</v>
      </c>
      <c r="C5044" s="3">
        <v>464.14872</v>
      </c>
      <c r="D5044">
        <v>1</v>
      </c>
      <c r="E5044">
        <v>1</v>
      </c>
      <c r="F5044">
        <v>0</v>
      </c>
    </row>
    <row r="5045" spans="1:6">
      <c r="A5045" t="s">
        <v>389</v>
      </c>
      <c r="B5045" t="s">
        <v>40</v>
      </c>
      <c r="C5045" s="3">
        <v>92.9</v>
      </c>
      <c r="D5045">
        <v>1</v>
      </c>
      <c r="E5045">
        <v>1</v>
      </c>
      <c r="F5045">
        <v>0</v>
      </c>
    </row>
    <row r="5046" spans="1:6">
      <c r="A5046" t="s">
        <v>389</v>
      </c>
      <c r="B5046" t="s">
        <v>41</v>
      </c>
      <c r="C5046" s="3">
        <v>98.6</v>
      </c>
      <c r="D5046">
        <v>1</v>
      </c>
      <c r="E5046">
        <v>1</v>
      </c>
      <c r="F5046">
        <v>0</v>
      </c>
    </row>
    <row r="5047" spans="1:6">
      <c r="A5047" t="s">
        <v>389</v>
      </c>
      <c r="B5047" t="s">
        <v>42</v>
      </c>
      <c r="C5047" s="3">
        <v>100.2</v>
      </c>
      <c r="D5047">
        <v>1</v>
      </c>
      <c r="E5047">
        <v>1</v>
      </c>
      <c r="F5047">
        <v>0</v>
      </c>
    </row>
    <row r="5048" spans="1:6">
      <c r="A5048" t="s">
        <v>389</v>
      </c>
      <c r="B5048" t="s">
        <v>46</v>
      </c>
      <c r="C5048" s="3">
        <v>98.6</v>
      </c>
      <c r="D5048">
        <v>1</v>
      </c>
      <c r="E5048">
        <v>1</v>
      </c>
      <c r="F5048">
        <v>0</v>
      </c>
    </row>
    <row r="5049" spans="1:6">
      <c r="A5049" t="s">
        <v>389</v>
      </c>
      <c r="B5049" t="s">
        <v>392</v>
      </c>
      <c r="C5049" s="3">
        <v>48888659441</v>
      </c>
      <c r="D5049">
        <v>1</v>
      </c>
      <c r="E5049">
        <v>1</v>
      </c>
      <c r="F5049">
        <v>0</v>
      </c>
    </row>
    <row r="5050" spans="1:6">
      <c r="A5050" t="s">
        <v>389</v>
      </c>
      <c r="B5050" t="s">
        <v>393</v>
      </c>
      <c r="C5050" s="3">
        <v>156102476890</v>
      </c>
      <c r="D5050">
        <v>1</v>
      </c>
      <c r="E5050">
        <v>1</v>
      </c>
      <c r="F5050">
        <v>0</v>
      </c>
    </row>
    <row r="5051" spans="1:6">
      <c r="A5051" t="s">
        <v>389</v>
      </c>
      <c r="B5051" t="s">
        <v>394</v>
      </c>
      <c r="C5051" s="3">
        <v>3.19302019476292</v>
      </c>
      <c r="D5051">
        <v>1</v>
      </c>
      <c r="E5051">
        <v>1</v>
      </c>
      <c r="F5051">
        <v>0</v>
      </c>
    </row>
    <row r="5052" spans="1:6">
      <c r="A5052" t="s">
        <v>389</v>
      </c>
      <c r="B5052" t="s">
        <v>39</v>
      </c>
      <c r="C5052" s="3">
        <v>5.23360537332559</v>
      </c>
      <c r="D5052">
        <v>1</v>
      </c>
      <c r="E5052">
        <v>1</v>
      </c>
      <c r="F5052">
        <v>0</v>
      </c>
    </row>
    <row r="5053" spans="1:6">
      <c r="A5053" t="s">
        <v>389</v>
      </c>
      <c r="B5053" t="s">
        <v>43</v>
      </c>
      <c r="C5053" s="3">
        <v>-1.39999999999999</v>
      </c>
      <c r="D5053">
        <v>1</v>
      </c>
      <c r="E5053">
        <v>1</v>
      </c>
      <c r="F5053">
        <v>0</v>
      </c>
    </row>
    <row r="5054" spans="1:6">
      <c r="A5054" t="s">
        <v>389</v>
      </c>
      <c r="B5054" t="s">
        <v>44</v>
      </c>
      <c r="C5054" s="3">
        <v>0.5</v>
      </c>
      <c r="D5054">
        <v>1</v>
      </c>
      <c r="E5054">
        <v>1</v>
      </c>
      <c r="F5054">
        <v>0</v>
      </c>
    </row>
    <row r="5055" spans="1:6">
      <c r="A5055" t="s">
        <v>389</v>
      </c>
      <c r="B5055" t="s">
        <v>45</v>
      </c>
      <c r="C5055" s="3">
        <v>-0.599999999999994</v>
      </c>
      <c r="D5055">
        <v>1</v>
      </c>
      <c r="E5055">
        <v>1</v>
      </c>
      <c r="F5055">
        <v>0</v>
      </c>
    </row>
    <row r="5056" spans="1:6">
      <c r="A5056" t="s">
        <v>389</v>
      </c>
      <c r="B5056" t="s">
        <v>396</v>
      </c>
      <c r="C5056" s="3">
        <v>-5.6350222043747</v>
      </c>
      <c r="D5056">
        <v>1</v>
      </c>
      <c r="E5056">
        <v>1</v>
      </c>
      <c r="F5056">
        <v>0</v>
      </c>
    </row>
    <row r="5057" spans="1:6">
      <c r="A5057" t="s">
        <v>390</v>
      </c>
      <c r="B5057" t="s">
        <v>34</v>
      </c>
      <c r="C5057" s="3">
        <v>70.89</v>
      </c>
      <c r="D5057">
        <v>1</v>
      </c>
      <c r="E5057">
        <v>1</v>
      </c>
      <c r="F5057">
        <v>0</v>
      </c>
    </row>
    <row r="5058" spans="1:6">
      <c r="A5058" t="s">
        <v>390</v>
      </c>
      <c r="B5058" t="s">
        <v>35</v>
      </c>
      <c r="C5058" s="3">
        <v>6.9064</v>
      </c>
      <c r="D5058">
        <v>1</v>
      </c>
      <c r="E5058">
        <v>1</v>
      </c>
      <c r="F5058">
        <v>0</v>
      </c>
    </row>
    <row r="5059" spans="1:6">
      <c r="A5059" t="s">
        <v>390</v>
      </c>
      <c r="B5059" t="s">
        <v>36</v>
      </c>
      <c r="C5059" s="3">
        <v>489.594696</v>
      </c>
      <c r="D5059">
        <v>1</v>
      </c>
      <c r="E5059">
        <v>1</v>
      </c>
      <c r="F5059">
        <v>0</v>
      </c>
    </row>
    <row r="5060" spans="1:6">
      <c r="A5060" t="s">
        <v>390</v>
      </c>
      <c r="B5060" t="s">
        <v>40</v>
      </c>
      <c r="C5060" s="3">
        <v>91.6</v>
      </c>
      <c r="D5060">
        <v>1</v>
      </c>
      <c r="E5060">
        <v>1</v>
      </c>
      <c r="F5060">
        <v>0</v>
      </c>
    </row>
    <row r="5061" spans="1:6">
      <c r="A5061" t="s">
        <v>390</v>
      </c>
      <c r="B5061" t="s">
        <v>41</v>
      </c>
      <c r="C5061" s="3">
        <v>99.1</v>
      </c>
      <c r="D5061">
        <v>1</v>
      </c>
      <c r="E5061">
        <v>1</v>
      </c>
      <c r="F5061">
        <v>0</v>
      </c>
    </row>
    <row r="5062" spans="1:6">
      <c r="A5062" t="s">
        <v>390</v>
      </c>
      <c r="B5062" t="s">
        <v>42</v>
      </c>
      <c r="C5062" s="3">
        <v>101.3</v>
      </c>
      <c r="D5062">
        <v>1</v>
      </c>
      <c r="E5062">
        <v>1</v>
      </c>
      <c r="F5062">
        <v>0</v>
      </c>
    </row>
    <row r="5063" spans="1:6">
      <c r="A5063" t="s">
        <v>390</v>
      </c>
      <c r="B5063" t="s">
        <v>46</v>
      </c>
      <c r="C5063" s="3">
        <v>99.3</v>
      </c>
      <c r="D5063">
        <v>1</v>
      </c>
      <c r="E5063">
        <v>1</v>
      </c>
      <c r="F5063">
        <v>0</v>
      </c>
    </row>
    <row r="5064" spans="1:6">
      <c r="A5064" t="s">
        <v>390</v>
      </c>
      <c r="B5064" t="s">
        <v>392</v>
      </c>
      <c r="C5064" s="3">
        <v>48045363286</v>
      </c>
      <c r="D5064">
        <v>1</v>
      </c>
      <c r="E5064">
        <v>1</v>
      </c>
      <c r="F5064">
        <v>0</v>
      </c>
    </row>
    <row r="5065" spans="1:6">
      <c r="A5065" t="s">
        <v>390</v>
      </c>
      <c r="B5065" t="s">
        <v>393</v>
      </c>
      <c r="C5065" s="3">
        <v>155487504853</v>
      </c>
      <c r="D5065">
        <v>1</v>
      </c>
      <c r="E5065">
        <v>1</v>
      </c>
      <c r="F5065">
        <v>0</v>
      </c>
    </row>
    <row r="5066" spans="1:6">
      <c r="A5066" t="s">
        <v>390</v>
      </c>
      <c r="B5066" t="s">
        <v>394</v>
      </c>
      <c r="C5066" s="3">
        <v>3.23626452624426</v>
      </c>
      <c r="D5066">
        <v>1</v>
      </c>
      <c r="E5066">
        <v>1</v>
      </c>
      <c r="F5066">
        <v>0</v>
      </c>
    </row>
    <row r="5067" spans="1:6">
      <c r="A5067" t="s">
        <v>390</v>
      </c>
      <c r="B5067" t="s">
        <v>39</v>
      </c>
      <c r="C5067" s="3">
        <v>5.33728796931455</v>
      </c>
      <c r="D5067">
        <v>1</v>
      </c>
      <c r="E5067">
        <v>1</v>
      </c>
      <c r="F5067">
        <v>0</v>
      </c>
    </row>
    <row r="5068" spans="1:6">
      <c r="A5068" t="s">
        <v>390</v>
      </c>
      <c r="B5068" t="s">
        <v>43</v>
      </c>
      <c r="C5068" s="3">
        <v>-1.30000000000001</v>
      </c>
      <c r="D5068">
        <v>1</v>
      </c>
      <c r="E5068">
        <v>1</v>
      </c>
      <c r="F5068">
        <v>0</v>
      </c>
    </row>
    <row r="5069" spans="1:6">
      <c r="A5069" t="s">
        <v>390</v>
      </c>
      <c r="B5069" t="s">
        <v>44</v>
      </c>
      <c r="C5069" s="3">
        <v>0.5</v>
      </c>
      <c r="D5069">
        <v>1</v>
      </c>
      <c r="E5069">
        <v>1</v>
      </c>
      <c r="F5069">
        <v>0</v>
      </c>
    </row>
    <row r="5070" spans="1:6">
      <c r="A5070" t="s">
        <v>390</v>
      </c>
      <c r="B5070" t="s">
        <v>45</v>
      </c>
      <c r="C5070" s="3">
        <v>1.09999999999999</v>
      </c>
      <c r="D5070">
        <v>1</v>
      </c>
      <c r="E5070">
        <v>1</v>
      </c>
      <c r="F5070">
        <v>0</v>
      </c>
    </row>
    <row r="5071" spans="1:6">
      <c r="A5071" t="s">
        <v>390</v>
      </c>
      <c r="B5071" t="s">
        <v>396</v>
      </c>
      <c r="C5071" s="3">
        <v>1.34525022660654</v>
      </c>
      <c r="D5071">
        <v>1</v>
      </c>
      <c r="E5071">
        <v>1</v>
      </c>
      <c r="F507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4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30" customWidth="1"/>
    <col min="2" max="2" width="25" customWidth="1"/>
    <col min="3" max="3" width="62" customWidth="1"/>
    <col min="4" max="4" width="24" customWidth="1"/>
  </cols>
  <sheetData>
    <row r="1" ht="28" customHeight="1" spans="1:4">
      <c r="A1" s="1" t="s">
        <v>399</v>
      </c>
      <c r="B1" s="1" t="s">
        <v>404</v>
      </c>
      <c r="C1" s="1" t="s">
        <v>405</v>
      </c>
      <c r="D1" s="1" t="s">
        <v>406</v>
      </c>
    </row>
    <row r="2" spans="1:4">
      <c r="A2" s="2" t="s">
        <v>33</v>
      </c>
      <c r="B2" s="2" t="s">
        <v>407</v>
      </c>
      <c r="C2" s="2" t="s">
        <v>408</v>
      </c>
      <c r="D2" s="2" t="s">
        <v>409</v>
      </c>
    </row>
    <row r="3" spans="1:4">
      <c r="A3" s="2" t="s">
        <v>34</v>
      </c>
      <c r="B3" s="2" t="s">
        <v>410</v>
      </c>
      <c r="C3" s="2" t="s">
        <v>411</v>
      </c>
      <c r="D3" s="2" t="s">
        <v>412</v>
      </c>
    </row>
    <row r="4" spans="1:4">
      <c r="A4" s="2" t="s">
        <v>35</v>
      </c>
      <c r="B4" s="2" t="s">
        <v>413</v>
      </c>
      <c r="C4" s="2" t="s">
        <v>414</v>
      </c>
      <c r="D4" s="2" t="s">
        <v>415</v>
      </c>
    </row>
    <row r="5" spans="1:4">
      <c r="A5" s="2" t="s">
        <v>36</v>
      </c>
      <c r="B5" s="2" t="s">
        <v>416</v>
      </c>
      <c r="C5" s="2" t="s">
        <v>417</v>
      </c>
      <c r="D5" s="2" t="s">
        <v>418</v>
      </c>
    </row>
    <row r="6" spans="1:4">
      <c r="A6" s="2" t="s">
        <v>37</v>
      </c>
      <c r="B6" s="2" t="s">
        <v>419</v>
      </c>
      <c r="C6" s="2" t="s">
        <v>420</v>
      </c>
      <c r="D6" s="2" t="s">
        <v>418</v>
      </c>
    </row>
    <row r="7" spans="1:4">
      <c r="A7" s="2" t="s">
        <v>38</v>
      </c>
      <c r="B7" s="2" t="s">
        <v>419</v>
      </c>
      <c r="C7" s="2" t="s">
        <v>421</v>
      </c>
      <c r="D7" s="2" t="s">
        <v>418</v>
      </c>
    </row>
    <row r="8" spans="1:4">
      <c r="A8" s="2" t="s">
        <v>39</v>
      </c>
      <c r="B8" s="2" t="s">
        <v>419</v>
      </c>
      <c r="C8" s="2" t="s">
        <v>422</v>
      </c>
      <c r="D8" s="2" t="s">
        <v>418</v>
      </c>
    </row>
    <row r="9" spans="1:4">
      <c r="A9" s="2" t="s">
        <v>40</v>
      </c>
      <c r="B9" s="2" t="s">
        <v>423</v>
      </c>
      <c r="C9" s="2" t="s">
        <v>424</v>
      </c>
      <c r="D9" s="2" t="s">
        <v>425</v>
      </c>
    </row>
    <row r="10" spans="1:4">
      <c r="A10" s="2" t="s">
        <v>41</v>
      </c>
      <c r="B10" s="2" t="s">
        <v>423</v>
      </c>
      <c r="C10" s="2" t="s">
        <v>426</v>
      </c>
      <c r="D10" s="2" t="s">
        <v>425</v>
      </c>
    </row>
    <row r="11" spans="1:4">
      <c r="A11" s="2" t="s">
        <v>42</v>
      </c>
      <c r="B11" s="2" t="s">
        <v>423</v>
      </c>
      <c r="C11" s="2" t="s">
        <v>427</v>
      </c>
      <c r="D11" s="2" t="s">
        <v>425</v>
      </c>
    </row>
    <row r="12" spans="1:4">
      <c r="A12" s="2" t="s">
        <v>43</v>
      </c>
      <c r="B12" s="2" t="s">
        <v>428</v>
      </c>
      <c r="C12" s="2" t="s">
        <v>429</v>
      </c>
      <c r="D12" s="2" t="s">
        <v>418</v>
      </c>
    </row>
    <row r="13" spans="1:4">
      <c r="A13" s="2" t="s">
        <v>44</v>
      </c>
      <c r="B13" s="2" t="s">
        <v>428</v>
      </c>
      <c r="C13" s="2" t="s">
        <v>430</v>
      </c>
      <c r="D13" s="2" t="s">
        <v>418</v>
      </c>
    </row>
    <row r="14" spans="1:4">
      <c r="A14" s="2" t="s">
        <v>45</v>
      </c>
      <c r="B14" s="2" t="s">
        <v>428</v>
      </c>
      <c r="C14" s="2" t="s">
        <v>431</v>
      </c>
      <c r="D14" s="2" t="s">
        <v>418</v>
      </c>
    </row>
    <row r="15" spans="1:4">
      <c r="A15" s="2" t="s">
        <v>46</v>
      </c>
      <c r="B15" s="2" t="s">
        <v>432</v>
      </c>
      <c r="C15" s="2" t="s">
        <v>433</v>
      </c>
      <c r="D15" s="2" t="s">
        <v>425</v>
      </c>
    </row>
    <row r="16" spans="1:4">
      <c r="A16" s="2" t="s">
        <v>47</v>
      </c>
      <c r="B16" s="2" t="s">
        <v>434</v>
      </c>
      <c r="C16" s="2" t="s">
        <v>435</v>
      </c>
      <c r="D16" s="2" t="s">
        <v>425</v>
      </c>
    </row>
    <row r="17" spans="1:4">
      <c r="A17" s="2" t="s">
        <v>48</v>
      </c>
      <c r="B17" s="2" t="s">
        <v>434</v>
      </c>
      <c r="C17" s="2" t="s">
        <v>436</v>
      </c>
      <c r="D17" s="2" t="s">
        <v>425</v>
      </c>
    </row>
    <row r="18" spans="1:4">
      <c r="A18" s="2" t="s">
        <v>49</v>
      </c>
      <c r="B18" s="2" t="s">
        <v>437</v>
      </c>
      <c r="C18" s="2" t="s">
        <v>438</v>
      </c>
      <c r="D18" s="2" t="s">
        <v>418</v>
      </c>
    </row>
    <row r="19" spans="1:4">
      <c r="A19" s="2" t="s">
        <v>50</v>
      </c>
      <c r="B19" s="2" t="s">
        <v>437</v>
      </c>
      <c r="C19" s="2" t="s">
        <v>439</v>
      </c>
      <c r="D19" s="2" t="s">
        <v>418</v>
      </c>
    </row>
    <row r="20" spans="1:4">
      <c r="A20" s="2" t="s">
        <v>51</v>
      </c>
      <c r="B20" s="2" t="s">
        <v>437</v>
      </c>
      <c r="C20" s="2" t="s">
        <v>440</v>
      </c>
      <c r="D20" s="2" t="s">
        <v>418</v>
      </c>
    </row>
    <row r="21" spans="1:4">
      <c r="A21" s="2" t="s">
        <v>52</v>
      </c>
      <c r="B21" s="2" t="s">
        <v>437</v>
      </c>
      <c r="C21" s="2" t="s">
        <v>441</v>
      </c>
      <c r="D21" s="2" t="s">
        <v>418</v>
      </c>
    </row>
    <row r="22" spans="1:4">
      <c r="A22" s="2" t="s">
        <v>391</v>
      </c>
      <c r="B22" s="2" t="s">
        <v>442</v>
      </c>
      <c r="C22" s="2" t="s">
        <v>443</v>
      </c>
      <c r="D22" s="2" t="s">
        <v>444</v>
      </c>
    </row>
    <row r="23" spans="1:4">
      <c r="A23" s="2" t="s">
        <v>392</v>
      </c>
      <c r="B23" s="2" t="s">
        <v>445</v>
      </c>
      <c r="C23" s="2" t="s">
        <v>446</v>
      </c>
      <c r="D23" s="2" t="s">
        <v>444</v>
      </c>
    </row>
    <row r="24" spans="1:4">
      <c r="A24" s="2" t="s">
        <v>393</v>
      </c>
      <c r="B24" s="2" t="s">
        <v>447</v>
      </c>
      <c r="C24" s="2" t="s">
        <v>448</v>
      </c>
      <c r="D24" s="2" t="s">
        <v>444</v>
      </c>
    </row>
    <row r="25" spans="1:4">
      <c r="A25" s="2" t="s">
        <v>394</v>
      </c>
      <c r="B25" s="2" t="s">
        <v>449</v>
      </c>
      <c r="C25" s="2" t="s">
        <v>450</v>
      </c>
      <c r="D25" s="2" t="s">
        <v>418</v>
      </c>
    </row>
    <row r="26" spans="1:4">
      <c r="A26" s="2" t="s">
        <v>395</v>
      </c>
      <c r="B26" s="2" t="s">
        <v>419</v>
      </c>
      <c r="C26" s="2" t="s">
        <v>451</v>
      </c>
      <c r="D26" s="2" t="s">
        <v>418</v>
      </c>
    </row>
    <row r="27" spans="1:4">
      <c r="A27" s="2" t="s">
        <v>396</v>
      </c>
      <c r="B27" s="2" t="s">
        <v>419</v>
      </c>
      <c r="C27" s="2" t="s">
        <v>452</v>
      </c>
      <c r="D27" s="2" t="s">
        <v>418</v>
      </c>
    </row>
    <row r="28" spans="1:4">
      <c r="A28" s="2" t="s">
        <v>397</v>
      </c>
      <c r="B28" s="2" t="s">
        <v>437</v>
      </c>
      <c r="C28" s="2" t="s">
        <v>453</v>
      </c>
      <c r="D28" s="2" t="s">
        <v>418</v>
      </c>
    </row>
    <row r="29" spans="1:4">
      <c r="A29" s="2" t="s">
        <v>399</v>
      </c>
      <c r="B29" s="2" t="s">
        <v>454</v>
      </c>
      <c r="C29" s="2" t="s">
        <v>455</v>
      </c>
      <c r="D29" s="2" t="s">
        <v>454</v>
      </c>
    </row>
    <row r="30" spans="1:4">
      <c r="A30" s="2" t="s">
        <v>400</v>
      </c>
      <c r="B30" s="2" t="s">
        <v>454</v>
      </c>
      <c r="C30" s="2" t="s">
        <v>455</v>
      </c>
      <c r="D30" s="2" t="s">
        <v>454</v>
      </c>
    </row>
    <row r="31" spans="1:4">
      <c r="A31" s="2" t="s">
        <v>401</v>
      </c>
      <c r="B31" s="2" t="s">
        <v>437</v>
      </c>
      <c r="C31" s="2" t="s">
        <v>456</v>
      </c>
      <c r="D31" s="2" t="s">
        <v>418</v>
      </c>
    </row>
    <row r="32" spans="1:4">
      <c r="A32" s="2" t="s">
        <v>402</v>
      </c>
      <c r="B32" s="2" t="s">
        <v>437</v>
      </c>
      <c r="C32" s="2" t="s">
        <v>457</v>
      </c>
      <c r="D32" s="2" t="s">
        <v>418</v>
      </c>
    </row>
    <row r="33" spans="1:4">
      <c r="A33" s="2" t="s">
        <v>403</v>
      </c>
      <c r="B33" s="2" t="s">
        <v>437</v>
      </c>
      <c r="C33" s="2" t="s">
        <v>458</v>
      </c>
      <c r="D33" s="2" t="s">
        <v>418</v>
      </c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45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9" defaultRowHeight="14" outlineLevelCol="3"/>
  <cols>
    <col min="1" max="1" width="29" customWidth="1"/>
    <col min="2" max="2" width="34" customWidth="1"/>
    <col min="3" max="3" width="73" customWidth="1"/>
    <col min="4" max="4" width="65" customWidth="1"/>
  </cols>
  <sheetData>
    <row r="1" ht="28" customHeight="1" spans="1:4">
      <c r="A1" s="1" t="s">
        <v>459</v>
      </c>
      <c r="B1" s="1" t="s">
        <v>460</v>
      </c>
      <c r="C1" s="1" t="s">
        <v>461</v>
      </c>
      <c r="D1" s="1" t="s">
        <v>462</v>
      </c>
    </row>
    <row r="2" ht="28" spans="1:4">
      <c r="A2" s="2" t="s">
        <v>463</v>
      </c>
      <c r="B2" s="2" t="s">
        <v>464</v>
      </c>
      <c r="C2" s="2" t="s">
        <v>465</v>
      </c>
      <c r="D2" s="2" t="s">
        <v>466</v>
      </c>
    </row>
    <row r="3" spans="1:4">
      <c r="A3" s="2" t="s">
        <v>467</v>
      </c>
      <c r="B3" s="2" t="s">
        <v>468</v>
      </c>
      <c r="C3" s="2" t="s">
        <v>469</v>
      </c>
      <c r="D3" s="2" t="s">
        <v>470</v>
      </c>
    </row>
    <row r="4" ht="28" spans="1:4">
      <c r="A4" s="2" t="s">
        <v>471</v>
      </c>
      <c r="B4" s="2" t="s">
        <v>472</v>
      </c>
      <c r="C4" s="2" t="s">
        <v>473</v>
      </c>
      <c r="D4" s="2" t="s">
        <v>474</v>
      </c>
    </row>
    <row r="5" ht="28" spans="1:4">
      <c r="A5" s="2" t="s">
        <v>475</v>
      </c>
      <c r="B5" s="2" t="s">
        <v>476</v>
      </c>
      <c r="C5" s="2" t="s">
        <v>477</v>
      </c>
      <c r="D5" s="2" t="s">
        <v>478</v>
      </c>
    </row>
    <row r="6" spans="1:4">
      <c r="A6" s="2"/>
      <c r="B6" s="2"/>
      <c r="C6" s="2"/>
      <c r="D6" s="2"/>
    </row>
    <row r="7" spans="1:4">
      <c r="A7" s="2" t="s">
        <v>479</v>
      </c>
      <c r="B7" s="2" t="s">
        <v>480</v>
      </c>
      <c r="C7" s="2"/>
      <c r="D7" s="2"/>
    </row>
    <row r="8" spans="1:4">
      <c r="A8" s="2" t="s">
        <v>481</v>
      </c>
      <c r="B8" s="2" t="s">
        <v>482</v>
      </c>
      <c r="C8" s="2"/>
      <c r="D8" s="2"/>
    </row>
    <row r="9" ht="28" spans="1:4">
      <c r="A9" s="2" t="s">
        <v>483</v>
      </c>
      <c r="B9" s="2">
        <v>338</v>
      </c>
      <c r="C9" s="2"/>
      <c r="D9" s="2"/>
    </row>
    <row r="10" ht="28" spans="1:4">
      <c r="A10" s="2" t="s">
        <v>484</v>
      </c>
      <c r="B10" s="2">
        <v>134</v>
      </c>
      <c r="C10" s="2"/>
      <c r="D10" s="2"/>
    </row>
    <row r="11" spans="1:4">
      <c r="A11" s="2" t="s">
        <v>485</v>
      </c>
      <c r="B11" s="2">
        <v>335</v>
      </c>
      <c r="C11" s="2"/>
      <c r="D11" s="2"/>
    </row>
    <row r="12" spans="1:4">
      <c r="A12" s="2" t="s">
        <v>486</v>
      </c>
      <c r="B12" s="2">
        <v>323</v>
      </c>
      <c r="C12" s="2"/>
      <c r="D12" s="2"/>
    </row>
    <row r="13" spans="1:4">
      <c r="A13" s="2" t="s">
        <v>487</v>
      </c>
      <c r="B13" s="2">
        <v>130</v>
      </c>
      <c r="C13" s="2"/>
      <c r="D13" s="2"/>
    </row>
    <row r="14" ht="56" spans="1:4">
      <c r="A14" s="2" t="s">
        <v>488</v>
      </c>
      <c r="B14" s="2" t="s">
        <v>489</v>
      </c>
      <c r="C14" s="2"/>
      <c r="D14" s="2"/>
    </row>
    <row r="15" spans="1:4">
      <c r="A15" s="2" t="s">
        <v>490</v>
      </c>
      <c r="B15" s="2" t="s">
        <v>398</v>
      </c>
      <c r="C15" s="2"/>
      <c r="D15" s="2"/>
    </row>
    <row r="16" spans="1:4">
      <c r="A16" s="2" t="s">
        <v>491</v>
      </c>
      <c r="B16" s="2" t="s">
        <v>492</v>
      </c>
      <c r="C16" s="2"/>
      <c r="D16" s="2"/>
    </row>
    <row r="17" ht="28" spans="1:4">
      <c r="A17" s="2" t="s">
        <v>493</v>
      </c>
      <c r="B17" s="2" t="s">
        <v>494</v>
      </c>
      <c r="C17" s="2"/>
      <c r="D17" s="2"/>
    </row>
    <row r="18" ht="84" spans="1:4">
      <c r="A18" s="2" t="s">
        <v>495</v>
      </c>
      <c r="B18" s="2" t="s">
        <v>496</v>
      </c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Monthly_338</vt:lpstr>
      <vt:lpstr>Customs_134</vt:lpstr>
      <vt:lpstr>Fig2_observations</vt:lpstr>
      <vt:lpstr>Dictionary</vt:lpstr>
      <vt:lpstr>Source_and_QA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2026-10-19T10:46:00Z</dcterms:created>
  <dcterms:modified xsi:type="dcterms:W3CDTF">2026-10-19T10:54:32Z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B24E93DDB3234A06AA9FFAE09686CA17_12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